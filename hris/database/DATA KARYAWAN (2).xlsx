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D:\Documents\Database Karyawan\"/>
    </mc:Choice>
  </mc:AlternateContent>
  <xr:revisionPtr revIDLastSave="0" documentId="13_ncr:1_{CC8C512B-5126-4F81-BD2C-DE2FFE82F1AF}" xr6:coauthVersionLast="47" xr6:coauthVersionMax="47" xr10:uidLastSave="{00000000-0000-0000-0000-000000000000}"/>
  <bookViews>
    <workbookView xWindow="-120" yWindow="-120" windowWidth="20730" windowHeight="11160" tabRatio="297" xr2:uid="{A2C702F7-16C3-4139-9526-D12C963FA9F9}"/>
  </bookViews>
  <sheets>
    <sheet name="DATA" sheetId="1" r:id="rId1"/>
    <sheet name="DATA (2)" sheetId="5" state="hidden" r:id="rId2"/>
  </sheets>
  <definedNames>
    <definedName name="_xlnm._FilterDatabase" localSheetId="0" hidden="1">DATA!$A$4:$BS$530</definedName>
    <definedName name="_xlnm._FilterDatabase" localSheetId="1" hidden="1">'DATA (2)'!$A$1:$AB$488</definedName>
    <definedName name="_xlnm.Print_Area" localSheetId="0">DATA!$D$428:$BG$452</definedName>
    <definedName name="_xlnm.Print_Area" localSheetId="1">'DATA (2)'!$C$1:$J$6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31" i="1" l="1"/>
  <c r="A532" i="1"/>
  <c r="A533" i="1"/>
  <c r="A534" i="1"/>
  <c r="A535" i="1"/>
  <c r="A536" i="1"/>
  <c r="A537" i="1"/>
  <c r="A6" i="1" l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" i="1"/>
  <c r="P488" i="5" l="1"/>
  <c r="M488" i="5"/>
  <c r="A488" i="5"/>
  <c r="P487" i="5"/>
  <c r="M487" i="5"/>
  <c r="A487" i="5"/>
  <c r="A486" i="5"/>
  <c r="A485" i="5"/>
  <c r="P484" i="5"/>
  <c r="M484" i="5"/>
  <c r="A484" i="5"/>
  <c r="P483" i="5"/>
  <c r="M483" i="5"/>
  <c r="P482" i="5"/>
  <c r="M482" i="5"/>
  <c r="P481" i="5"/>
  <c r="M481" i="5"/>
  <c r="P480" i="5"/>
  <c r="M480" i="5"/>
  <c r="P479" i="5"/>
  <c r="M479" i="5"/>
  <c r="P478" i="5"/>
  <c r="M478" i="5"/>
  <c r="P477" i="5"/>
  <c r="M477" i="5"/>
  <c r="P476" i="5"/>
  <c r="M476" i="5"/>
  <c r="P475" i="5"/>
  <c r="M475" i="5"/>
  <c r="P474" i="5"/>
  <c r="M474" i="5"/>
  <c r="P473" i="5"/>
  <c r="M473" i="5"/>
  <c r="P472" i="5"/>
  <c r="M472" i="5"/>
  <c r="P470" i="5"/>
  <c r="M470" i="5"/>
  <c r="P469" i="5"/>
  <c r="M469" i="5"/>
  <c r="P468" i="5"/>
  <c r="M468" i="5"/>
  <c r="P467" i="5"/>
  <c r="M467" i="5"/>
  <c r="P466" i="5"/>
  <c r="M466" i="5"/>
  <c r="P465" i="5"/>
  <c r="M465" i="5"/>
  <c r="P464" i="5"/>
  <c r="M464" i="5"/>
  <c r="P463" i="5"/>
  <c r="M463" i="5"/>
  <c r="P462" i="5"/>
  <c r="M462" i="5"/>
  <c r="P461" i="5"/>
  <c r="M461" i="5"/>
  <c r="P460" i="5"/>
  <c r="M460" i="5"/>
  <c r="P459" i="5"/>
  <c r="M459" i="5"/>
  <c r="P458" i="5"/>
  <c r="M458" i="5"/>
  <c r="P457" i="5"/>
  <c r="M457" i="5"/>
  <c r="A457" i="5"/>
  <c r="P456" i="5"/>
  <c r="M456" i="5"/>
  <c r="P455" i="5"/>
  <c r="M455" i="5"/>
  <c r="P454" i="5"/>
  <c r="M454" i="5"/>
  <c r="P451" i="5"/>
  <c r="M451" i="5"/>
  <c r="P448" i="5"/>
  <c r="M448" i="5"/>
  <c r="P442" i="5"/>
  <c r="M442" i="5"/>
  <c r="P441" i="5"/>
  <c r="M441" i="5"/>
  <c r="P440" i="5"/>
  <c r="M440" i="5"/>
  <c r="P439" i="5"/>
  <c r="M439" i="5"/>
  <c r="P437" i="5"/>
  <c r="M437" i="5"/>
  <c r="P435" i="5"/>
  <c r="M435" i="5"/>
  <c r="P434" i="5"/>
  <c r="M434" i="5"/>
  <c r="P432" i="5"/>
  <c r="M432" i="5"/>
  <c r="P431" i="5"/>
  <c r="M431" i="5"/>
  <c r="P430" i="5"/>
  <c r="M430" i="5"/>
  <c r="P429" i="5"/>
  <c r="M429" i="5"/>
  <c r="P428" i="5"/>
  <c r="M428" i="5"/>
  <c r="P427" i="5"/>
  <c r="M427" i="5"/>
  <c r="P426" i="5"/>
  <c r="M426" i="5"/>
  <c r="P424" i="5"/>
  <c r="M424" i="5"/>
  <c r="P422" i="5"/>
  <c r="M422" i="5"/>
  <c r="P421" i="5"/>
  <c r="M421" i="5"/>
  <c r="P418" i="5"/>
  <c r="M418" i="5"/>
  <c r="P417" i="5"/>
  <c r="M417" i="5"/>
  <c r="M416" i="5"/>
  <c r="P415" i="5"/>
  <c r="M415" i="5"/>
  <c r="P414" i="5"/>
  <c r="M414" i="5"/>
  <c r="P411" i="5"/>
  <c r="M411" i="5"/>
  <c r="P410" i="5"/>
  <c r="M410" i="5"/>
  <c r="P408" i="5"/>
  <c r="M408" i="5"/>
  <c r="P407" i="5"/>
  <c r="M407" i="5"/>
  <c r="P405" i="5"/>
  <c r="M405" i="5"/>
  <c r="P403" i="5"/>
  <c r="M403" i="5"/>
  <c r="P400" i="5"/>
  <c r="M400" i="5"/>
  <c r="P399" i="5"/>
  <c r="M399" i="5"/>
  <c r="P398" i="5"/>
  <c r="M398" i="5"/>
  <c r="P397" i="5"/>
  <c r="M397" i="5"/>
  <c r="P396" i="5"/>
  <c r="M396" i="5"/>
  <c r="P395" i="5"/>
  <c r="M395" i="5"/>
  <c r="P394" i="5"/>
  <c r="M394" i="5"/>
  <c r="P393" i="5"/>
  <c r="M393" i="5"/>
  <c r="P392" i="5"/>
  <c r="M392" i="5"/>
  <c r="P391" i="5"/>
  <c r="M391" i="5"/>
  <c r="P390" i="5"/>
  <c r="M390" i="5"/>
  <c r="P389" i="5"/>
  <c r="M389" i="5"/>
  <c r="P387" i="5"/>
  <c r="M387" i="5"/>
  <c r="P386" i="5"/>
  <c r="M386" i="5"/>
  <c r="P385" i="5"/>
  <c r="M385" i="5"/>
  <c r="P384" i="5"/>
  <c r="M384" i="5"/>
  <c r="P383" i="5"/>
  <c r="M383" i="5"/>
  <c r="P382" i="5"/>
  <c r="M382" i="5"/>
  <c r="P381" i="5"/>
  <c r="M381" i="5"/>
  <c r="P380" i="5"/>
  <c r="M380" i="5"/>
  <c r="P379" i="5"/>
  <c r="M379" i="5"/>
  <c r="P378" i="5"/>
  <c r="M378" i="5"/>
  <c r="P377" i="5"/>
  <c r="M377" i="5"/>
  <c r="P376" i="5"/>
  <c r="M376" i="5"/>
  <c r="P375" i="5"/>
  <c r="M375" i="5"/>
  <c r="P373" i="5"/>
  <c r="M373" i="5"/>
  <c r="P372" i="5"/>
  <c r="M372" i="5"/>
  <c r="P371" i="5"/>
  <c r="M371" i="5"/>
  <c r="P370" i="5"/>
  <c r="M370" i="5"/>
  <c r="P369" i="5"/>
  <c r="M369" i="5"/>
  <c r="P368" i="5"/>
  <c r="M368" i="5"/>
  <c r="P367" i="5"/>
  <c r="M367" i="5"/>
  <c r="P366" i="5"/>
  <c r="M366" i="5"/>
  <c r="P365" i="5"/>
  <c r="M365" i="5"/>
  <c r="P364" i="5"/>
  <c r="M364" i="5"/>
  <c r="P363" i="5"/>
  <c r="M363" i="5"/>
  <c r="P362" i="5"/>
  <c r="M362" i="5"/>
  <c r="P361" i="5"/>
  <c r="M361" i="5"/>
  <c r="P360" i="5"/>
  <c r="M360" i="5"/>
  <c r="P359" i="5"/>
  <c r="M359" i="5"/>
  <c r="P358" i="5"/>
  <c r="M358" i="5"/>
  <c r="P357" i="5"/>
  <c r="M357" i="5"/>
  <c r="P356" i="5"/>
  <c r="M356" i="5"/>
  <c r="P355" i="5"/>
  <c r="M355" i="5"/>
  <c r="P354" i="5"/>
  <c r="M354" i="5"/>
  <c r="P353" i="5"/>
  <c r="M353" i="5"/>
  <c r="P352" i="5"/>
  <c r="M352" i="5"/>
  <c r="P351" i="5"/>
  <c r="M351" i="5"/>
  <c r="P350" i="5"/>
  <c r="M350" i="5"/>
  <c r="P349" i="5"/>
  <c r="M349" i="5"/>
  <c r="P348" i="5"/>
  <c r="M348" i="5"/>
  <c r="P347" i="5"/>
  <c r="M347" i="5"/>
  <c r="P346" i="5"/>
  <c r="M346" i="5"/>
  <c r="P345" i="5"/>
  <c r="M345" i="5"/>
  <c r="P343" i="5"/>
  <c r="M343" i="5"/>
  <c r="P342" i="5"/>
  <c r="M342" i="5"/>
  <c r="P341" i="5"/>
  <c r="M341" i="5"/>
  <c r="P340" i="5"/>
  <c r="M340" i="5"/>
  <c r="P339" i="5"/>
  <c r="M339" i="5"/>
  <c r="P338" i="5"/>
  <c r="M338" i="5"/>
  <c r="P337" i="5"/>
  <c r="M337" i="5"/>
  <c r="P336" i="5"/>
  <c r="M336" i="5"/>
  <c r="P335" i="5"/>
  <c r="M335" i="5"/>
  <c r="P334" i="5"/>
  <c r="M334" i="5"/>
  <c r="P333" i="5"/>
  <c r="M333" i="5"/>
  <c r="P331" i="5"/>
  <c r="M331" i="5"/>
  <c r="P330" i="5"/>
  <c r="M330" i="5"/>
  <c r="P329" i="5"/>
  <c r="M329" i="5"/>
  <c r="P328" i="5"/>
  <c r="M328" i="5"/>
  <c r="P327" i="5"/>
  <c r="M327" i="5"/>
  <c r="P326" i="5"/>
  <c r="M326" i="5"/>
  <c r="P325" i="5"/>
  <c r="M325" i="5"/>
  <c r="P324" i="5"/>
  <c r="M324" i="5"/>
  <c r="P323" i="5"/>
  <c r="M323" i="5"/>
  <c r="P322" i="5"/>
  <c r="M322" i="5"/>
  <c r="P321" i="5"/>
  <c r="M321" i="5"/>
  <c r="P320" i="5"/>
  <c r="M320" i="5"/>
  <c r="P319" i="5"/>
  <c r="M319" i="5"/>
  <c r="P318" i="5"/>
  <c r="M318" i="5"/>
  <c r="P317" i="5"/>
  <c r="M317" i="5"/>
  <c r="P316" i="5"/>
  <c r="M316" i="5"/>
  <c r="P315" i="5"/>
  <c r="M315" i="5"/>
  <c r="P314" i="5"/>
  <c r="M314" i="5"/>
  <c r="P313" i="5"/>
  <c r="M313" i="5"/>
  <c r="P312" i="5"/>
  <c r="M312" i="5"/>
  <c r="P311" i="5"/>
  <c r="M311" i="5"/>
  <c r="P310" i="5"/>
  <c r="M310" i="5"/>
  <c r="P309" i="5"/>
  <c r="M309" i="5"/>
  <c r="P308" i="5"/>
  <c r="M308" i="5"/>
  <c r="P306" i="5"/>
  <c r="M306" i="5"/>
  <c r="P305" i="5"/>
  <c r="M305" i="5"/>
  <c r="P304" i="5"/>
  <c r="M304" i="5"/>
  <c r="P303" i="5"/>
  <c r="M303" i="5"/>
  <c r="P302" i="5"/>
  <c r="M302" i="5"/>
  <c r="P301" i="5"/>
  <c r="M301" i="5"/>
  <c r="P300" i="5"/>
  <c r="M300" i="5"/>
  <c r="P299" i="5"/>
  <c r="M299" i="5"/>
  <c r="P298" i="5"/>
  <c r="M298" i="5"/>
  <c r="P297" i="5"/>
  <c r="M297" i="5"/>
  <c r="P296" i="5"/>
  <c r="M296" i="5"/>
  <c r="P295" i="5"/>
  <c r="M295" i="5"/>
  <c r="P294" i="5"/>
  <c r="M294" i="5"/>
  <c r="P293" i="5"/>
  <c r="M293" i="5"/>
  <c r="P292" i="5"/>
  <c r="M292" i="5"/>
  <c r="P291" i="5"/>
  <c r="M291" i="5"/>
  <c r="P290" i="5"/>
  <c r="M290" i="5"/>
  <c r="P289" i="5"/>
  <c r="M289" i="5"/>
  <c r="P288" i="5"/>
  <c r="M288" i="5"/>
  <c r="P287" i="5"/>
  <c r="M287" i="5"/>
  <c r="P286" i="5"/>
  <c r="M286" i="5"/>
  <c r="P285" i="5"/>
  <c r="M285" i="5"/>
  <c r="P284" i="5"/>
  <c r="M284" i="5"/>
  <c r="P283" i="5"/>
  <c r="M283" i="5"/>
  <c r="P282" i="5"/>
  <c r="M282" i="5"/>
  <c r="P281" i="5"/>
  <c r="M281" i="5"/>
  <c r="P280" i="5"/>
  <c r="M280" i="5"/>
  <c r="P279" i="5"/>
  <c r="M279" i="5"/>
  <c r="P278" i="5"/>
  <c r="M278" i="5"/>
  <c r="P277" i="5"/>
  <c r="M277" i="5"/>
  <c r="P276" i="5"/>
  <c r="M276" i="5"/>
  <c r="P275" i="5"/>
  <c r="M275" i="5"/>
  <c r="P274" i="5"/>
  <c r="M274" i="5"/>
  <c r="P273" i="5"/>
  <c r="M273" i="5"/>
  <c r="P272" i="5"/>
  <c r="M272" i="5"/>
  <c r="P271" i="5"/>
  <c r="M271" i="5"/>
  <c r="P270" i="5"/>
  <c r="M270" i="5"/>
  <c r="P269" i="5"/>
  <c r="M269" i="5"/>
  <c r="P268" i="5"/>
  <c r="M268" i="5"/>
  <c r="P267" i="5"/>
  <c r="M267" i="5"/>
  <c r="P266" i="5"/>
  <c r="M266" i="5"/>
  <c r="P265" i="5"/>
  <c r="M265" i="5"/>
  <c r="P264" i="5"/>
  <c r="M264" i="5"/>
  <c r="P263" i="5"/>
  <c r="M263" i="5"/>
  <c r="P262" i="5"/>
  <c r="M262" i="5"/>
  <c r="P261" i="5"/>
  <c r="M261" i="5"/>
  <c r="P260" i="5"/>
  <c r="M260" i="5"/>
  <c r="P259" i="5"/>
  <c r="M259" i="5"/>
  <c r="P258" i="5"/>
  <c r="M258" i="5"/>
  <c r="P257" i="5"/>
  <c r="M257" i="5"/>
  <c r="P256" i="5"/>
  <c r="M256" i="5"/>
  <c r="P255" i="5"/>
  <c r="M255" i="5"/>
  <c r="P254" i="5"/>
  <c r="M254" i="5"/>
  <c r="P253" i="5"/>
  <c r="M253" i="5"/>
  <c r="P252" i="5"/>
  <c r="M252" i="5"/>
  <c r="P251" i="5"/>
  <c r="M251" i="5"/>
  <c r="P249" i="5"/>
  <c r="M249" i="5"/>
  <c r="P248" i="5"/>
  <c r="M248" i="5"/>
  <c r="P247" i="5"/>
  <c r="M247" i="5"/>
  <c r="P246" i="5"/>
  <c r="M246" i="5"/>
  <c r="P245" i="5"/>
  <c r="M245" i="5"/>
  <c r="P244" i="5"/>
  <c r="M244" i="5"/>
  <c r="P243" i="5"/>
  <c r="M243" i="5"/>
  <c r="P242" i="5"/>
  <c r="M242" i="5"/>
  <c r="P241" i="5"/>
  <c r="M241" i="5"/>
  <c r="P240" i="5"/>
  <c r="M240" i="5"/>
  <c r="P239" i="5"/>
  <c r="M239" i="5"/>
  <c r="P238" i="5"/>
  <c r="M238" i="5"/>
  <c r="P237" i="5"/>
  <c r="M237" i="5"/>
  <c r="P236" i="5"/>
  <c r="M236" i="5"/>
  <c r="P235" i="5"/>
  <c r="M235" i="5"/>
  <c r="P234" i="5"/>
  <c r="M234" i="5"/>
  <c r="P233" i="5"/>
  <c r="M233" i="5"/>
  <c r="P232" i="5"/>
  <c r="M232" i="5"/>
  <c r="P231" i="5"/>
  <c r="M231" i="5"/>
  <c r="P230" i="5"/>
  <c r="M230" i="5"/>
  <c r="P229" i="5"/>
  <c r="M229" i="5"/>
  <c r="P228" i="5"/>
  <c r="M228" i="5"/>
  <c r="P227" i="5"/>
  <c r="M227" i="5"/>
  <c r="P226" i="5"/>
  <c r="M226" i="5"/>
  <c r="P225" i="5"/>
  <c r="M225" i="5"/>
  <c r="P224" i="5"/>
  <c r="M224" i="5"/>
  <c r="P223" i="5"/>
  <c r="M223" i="5"/>
  <c r="O222" i="5"/>
  <c r="M222" i="5"/>
  <c r="A222" i="5"/>
  <c r="P221" i="5"/>
  <c r="M221" i="5"/>
  <c r="P220" i="5"/>
  <c r="M220" i="5"/>
  <c r="P219" i="5"/>
  <c r="M219" i="5"/>
  <c r="P218" i="5"/>
  <c r="M218" i="5"/>
  <c r="P217" i="5"/>
  <c r="M217" i="5"/>
  <c r="P216" i="5"/>
  <c r="M216" i="5"/>
  <c r="P215" i="5"/>
  <c r="M215" i="5"/>
  <c r="P214" i="5"/>
  <c r="M214" i="5"/>
  <c r="P213" i="5"/>
  <c r="M213" i="5"/>
  <c r="P212" i="5"/>
  <c r="M212" i="5"/>
  <c r="P211" i="5"/>
  <c r="M211" i="5"/>
  <c r="P210" i="5"/>
  <c r="M210" i="5"/>
  <c r="P209" i="5"/>
  <c r="M209" i="5"/>
  <c r="P208" i="5"/>
  <c r="M208" i="5"/>
  <c r="P207" i="5"/>
  <c r="M207" i="5"/>
  <c r="P206" i="5"/>
  <c r="M206" i="5"/>
  <c r="O205" i="5"/>
  <c r="L205" i="5"/>
  <c r="A205" i="5"/>
  <c r="O204" i="5"/>
  <c r="L204" i="5"/>
  <c r="A204" i="5"/>
  <c r="P203" i="5"/>
  <c r="M203" i="5"/>
  <c r="P202" i="5"/>
  <c r="M202" i="5"/>
  <c r="P201" i="5"/>
  <c r="M201" i="5"/>
  <c r="P200" i="5"/>
  <c r="M200" i="5"/>
  <c r="P198" i="5"/>
  <c r="M198" i="5"/>
  <c r="P197" i="5"/>
  <c r="M197" i="5"/>
  <c r="O196" i="5"/>
  <c r="A196" i="5"/>
  <c r="P195" i="5"/>
  <c r="M195" i="5"/>
  <c r="P194" i="5"/>
  <c r="M194" i="5"/>
  <c r="P193" i="5"/>
  <c r="M193" i="5"/>
  <c r="P192" i="5"/>
  <c r="M192" i="5"/>
  <c r="P191" i="5"/>
  <c r="M191" i="5"/>
  <c r="O190" i="5"/>
  <c r="L190" i="5"/>
  <c r="A190" i="5"/>
  <c r="P189" i="5"/>
  <c r="M189" i="5"/>
  <c r="P188" i="5"/>
  <c r="M188" i="5"/>
  <c r="P187" i="5"/>
  <c r="M187" i="5"/>
  <c r="P186" i="5"/>
  <c r="M186" i="5"/>
  <c r="P185" i="5"/>
  <c r="M185" i="5"/>
  <c r="P184" i="5"/>
  <c r="M184" i="5"/>
  <c r="P183" i="5"/>
  <c r="M183" i="5"/>
  <c r="P182" i="5"/>
  <c r="M182" i="5"/>
  <c r="P181" i="5"/>
  <c r="M181" i="5"/>
  <c r="P180" i="5"/>
  <c r="M180" i="5"/>
  <c r="P179" i="5"/>
  <c r="M179" i="5"/>
  <c r="P178" i="5"/>
  <c r="M178" i="5"/>
  <c r="P177" i="5"/>
  <c r="M177" i="5"/>
  <c r="P176" i="5"/>
  <c r="M176" i="5"/>
  <c r="P175" i="5"/>
  <c r="M175" i="5"/>
  <c r="P174" i="5"/>
  <c r="M174" i="5"/>
  <c r="P173" i="5"/>
  <c r="M173" i="5"/>
  <c r="P172" i="5"/>
  <c r="M172" i="5"/>
  <c r="P171" i="5"/>
  <c r="M171" i="5"/>
  <c r="P170" i="5"/>
  <c r="M170" i="5"/>
  <c r="P169" i="5"/>
  <c r="M169" i="5"/>
  <c r="P168" i="5"/>
  <c r="M168" i="5"/>
  <c r="P167" i="5"/>
  <c r="M167" i="5"/>
  <c r="P166" i="5"/>
  <c r="M166" i="5"/>
  <c r="P165" i="5"/>
  <c r="M165" i="5"/>
  <c r="A165" i="5"/>
  <c r="P164" i="5"/>
  <c r="M164" i="5"/>
  <c r="P163" i="5"/>
  <c r="M163" i="5"/>
  <c r="P162" i="5"/>
  <c r="M162" i="5"/>
  <c r="P161" i="5"/>
  <c r="M161" i="5"/>
  <c r="P160" i="5"/>
  <c r="M160" i="5"/>
  <c r="P159" i="5"/>
  <c r="M159" i="5"/>
  <c r="P158" i="5"/>
  <c r="M158" i="5"/>
  <c r="P157" i="5"/>
  <c r="M157" i="5"/>
  <c r="P156" i="5"/>
  <c r="M156" i="5"/>
  <c r="P155" i="5"/>
  <c r="M155" i="5"/>
  <c r="P154" i="5"/>
  <c r="M154" i="5"/>
  <c r="P153" i="5"/>
  <c r="M153" i="5"/>
  <c r="P152" i="5"/>
  <c r="M152" i="5"/>
  <c r="P151" i="5"/>
  <c r="M151" i="5"/>
  <c r="P150" i="5"/>
  <c r="M150" i="5"/>
  <c r="P149" i="5"/>
  <c r="M149" i="5"/>
  <c r="P148" i="5"/>
  <c r="M148" i="5"/>
  <c r="P147" i="5"/>
  <c r="M147" i="5"/>
  <c r="P146" i="5"/>
  <c r="M146" i="5"/>
  <c r="P145" i="5"/>
  <c r="M145" i="5"/>
  <c r="P144" i="5"/>
  <c r="M144" i="5"/>
  <c r="P143" i="5"/>
  <c r="M143" i="5"/>
  <c r="P142" i="5"/>
  <c r="M142" i="5"/>
  <c r="P140" i="5"/>
  <c r="M140" i="5"/>
  <c r="P139" i="5"/>
  <c r="M139" i="5"/>
  <c r="P138" i="5"/>
  <c r="M138" i="5"/>
  <c r="P137" i="5"/>
  <c r="M137" i="5"/>
  <c r="P136" i="5"/>
  <c r="M136" i="5"/>
  <c r="P135" i="5"/>
  <c r="M135" i="5"/>
  <c r="P134" i="5"/>
  <c r="M134" i="5"/>
  <c r="P133" i="5"/>
  <c r="M133" i="5"/>
  <c r="P132" i="5"/>
  <c r="M132" i="5"/>
  <c r="P130" i="5"/>
  <c r="M130" i="5"/>
  <c r="P129" i="5"/>
  <c r="M129" i="5"/>
  <c r="P128" i="5"/>
  <c r="M128" i="5"/>
  <c r="P127" i="5"/>
  <c r="M127" i="5"/>
  <c r="A127" i="5"/>
  <c r="P126" i="5"/>
  <c r="M126" i="5"/>
  <c r="P125" i="5"/>
  <c r="M125" i="5"/>
  <c r="P124" i="5"/>
  <c r="M124" i="5"/>
  <c r="P123" i="5"/>
  <c r="M123" i="5"/>
  <c r="L122" i="5"/>
  <c r="A122" i="5"/>
  <c r="P121" i="5"/>
  <c r="M121" i="5"/>
  <c r="P120" i="5"/>
  <c r="M120" i="5"/>
  <c r="P119" i="5"/>
  <c r="M119" i="5"/>
  <c r="P118" i="5"/>
  <c r="M118" i="5"/>
  <c r="P117" i="5"/>
  <c r="M117" i="5"/>
  <c r="P116" i="5"/>
  <c r="M116" i="5"/>
  <c r="P115" i="5"/>
  <c r="M115" i="5"/>
  <c r="P114" i="5"/>
  <c r="M114" i="5"/>
  <c r="A114" i="5"/>
  <c r="P113" i="5"/>
  <c r="M113" i="5"/>
  <c r="P112" i="5"/>
  <c r="M112" i="5"/>
  <c r="P111" i="5"/>
  <c r="M111" i="5"/>
  <c r="P110" i="5"/>
  <c r="M110" i="5"/>
  <c r="A110" i="5"/>
  <c r="P109" i="5"/>
  <c r="M109" i="5"/>
  <c r="A109" i="5"/>
  <c r="O108" i="5"/>
  <c r="L108" i="5"/>
  <c r="A108" i="5"/>
  <c r="O107" i="5"/>
  <c r="L107" i="5"/>
  <c r="A107" i="5"/>
  <c r="P105" i="5"/>
  <c r="M105" i="5"/>
  <c r="P104" i="5"/>
  <c r="M104" i="5"/>
  <c r="A104" i="5"/>
  <c r="P103" i="5"/>
  <c r="M103" i="5"/>
  <c r="P102" i="5"/>
  <c r="M102" i="5"/>
  <c r="P101" i="5"/>
  <c r="M101" i="5"/>
  <c r="A101" i="5"/>
  <c r="P100" i="5"/>
  <c r="M100" i="5"/>
  <c r="P99" i="5"/>
  <c r="M99" i="5"/>
  <c r="A97" i="5"/>
  <c r="M95" i="5"/>
  <c r="P94" i="5"/>
  <c r="M94" i="5"/>
  <c r="P93" i="5"/>
  <c r="M93" i="5"/>
  <c r="A93" i="5"/>
  <c r="P92" i="5"/>
  <c r="M92" i="5"/>
  <c r="A92" i="5"/>
  <c r="P91" i="5"/>
  <c r="M91" i="5"/>
  <c r="A91" i="5"/>
  <c r="P90" i="5"/>
  <c r="M90" i="5"/>
  <c r="P89" i="5"/>
  <c r="M89" i="5"/>
  <c r="P88" i="5"/>
  <c r="M88" i="5"/>
  <c r="P87" i="5"/>
  <c r="M87" i="5"/>
  <c r="P86" i="5"/>
  <c r="M86" i="5"/>
  <c r="P85" i="5"/>
  <c r="M85" i="5"/>
  <c r="A85" i="5"/>
  <c r="P84" i="5"/>
  <c r="M84" i="5"/>
  <c r="P83" i="5"/>
  <c r="M83" i="5"/>
  <c r="A83" i="5"/>
  <c r="P82" i="5"/>
  <c r="M82" i="5"/>
  <c r="A82" i="5"/>
  <c r="P81" i="5"/>
  <c r="M81" i="5"/>
  <c r="A81" i="5"/>
  <c r="P79" i="5"/>
  <c r="M79" i="5"/>
  <c r="P76" i="5"/>
  <c r="M76" i="5"/>
  <c r="A76" i="5"/>
  <c r="P73" i="5"/>
  <c r="M73" i="5"/>
  <c r="P72" i="5"/>
  <c r="M72" i="5"/>
  <c r="P71" i="5"/>
  <c r="M71" i="5"/>
  <c r="A71" i="5"/>
  <c r="P70" i="5"/>
  <c r="M70" i="5"/>
  <c r="P69" i="5"/>
  <c r="M69" i="5"/>
  <c r="P68" i="5"/>
  <c r="M68" i="5"/>
  <c r="P67" i="5"/>
  <c r="M67" i="5"/>
  <c r="P66" i="5"/>
  <c r="M66" i="5"/>
  <c r="P65" i="5"/>
  <c r="M65" i="5"/>
  <c r="P64" i="5"/>
  <c r="M64" i="5"/>
  <c r="P63" i="5"/>
  <c r="M63" i="5"/>
  <c r="P62" i="5"/>
  <c r="M62" i="5"/>
  <c r="P61" i="5"/>
  <c r="M61" i="5"/>
  <c r="P60" i="5"/>
  <c r="M60" i="5"/>
  <c r="P59" i="5"/>
  <c r="M59" i="5"/>
  <c r="P58" i="5"/>
  <c r="M58" i="5"/>
  <c r="P57" i="5"/>
  <c r="M57" i="5"/>
  <c r="P56" i="5"/>
  <c r="M56" i="5"/>
  <c r="P55" i="5"/>
  <c r="M55" i="5"/>
  <c r="P54" i="5"/>
  <c r="M54" i="5"/>
  <c r="P53" i="5"/>
  <c r="M53" i="5"/>
  <c r="P52" i="5"/>
  <c r="M52" i="5"/>
  <c r="P51" i="5"/>
  <c r="M51" i="5"/>
  <c r="P50" i="5"/>
  <c r="M50" i="5"/>
  <c r="P49" i="5"/>
  <c r="M49" i="5"/>
  <c r="P48" i="5"/>
  <c r="M48" i="5"/>
  <c r="P47" i="5"/>
  <c r="M47" i="5"/>
  <c r="P46" i="5"/>
  <c r="M46" i="5"/>
  <c r="P45" i="5"/>
  <c r="M45" i="5"/>
  <c r="P44" i="5"/>
  <c r="M44" i="5"/>
  <c r="P43" i="5"/>
  <c r="M43" i="5"/>
  <c r="P42" i="5"/>
  <c r="M42" i="5"/>
  <c r="P41" i="5"/>
  <c r="M41" i="5"/>
  <c r="P40" i="5"/>
  <c r="M40" i="5"/>
  <c r="P39" i="5"/>
  <c r="M39" i="5"/>
  <c r="P38" i="5"/>
  <c r="M38" i="5"/>
  <c r="P37" i="5"/>
  <c r="M37" i="5"/>
  <c r="P36" i="5"/>
  <c r="M36" i="5"/>
  <c r="P35" i="5"/>
  <c r="M35" i="5"/>
  <c r="P34" i="5"/>
  <c r="M34" i="5"/>
  <c r="P33" i="5"/>
  <c r="M33" i="5"/>
  <c r="P32" i="5"/>
  <c r="M32" i="5"/>
  <c r="P31" i="5"/>
  <c r="M31" i="5"/>
  <c r="P30" i="5"/>
  <c r="M30" i="5"/>
  <c r="P29" i="5"/>
  <c r="M29" i="5"/>
  <c r="P28" i="5"/>
  <c r="M28" i="5"/>
  <c r="P27" i="5"/>
  <c r="M27" i="5"/>
  <c r="P26" i="5"/>
  <c r="M26" i="5"/>
  <c r="P25" i="5"/>
  <c r="M25" i="5"/>
  <c r="P24" i="5"/>
  <c r="M24" i="5"/>
  <c r="P23" i="5"/>
  <c r="M23" i="5"/>
  <c r="P21" i="5"/>
  <c r="M21" i="5"/>
  <c r="P20" i="5"/>
  <c r="M20" i="5"/>
  <c r="O19" i="5"/>
  <c r="L19" i="5"/>
  <c r="A19" i="5"/>
  <c r="P18" i="5"/>
  <c r="M18" i="5"/>
  <c r="P17" i="5"/>
  <c r="M17" i="5"/>
  <c r="P16" i="5"/>
  <c r="M16" i="5"/>
  <c r="P14" i="5"/>
  <c r="M14" i="5"/>
  <c r="P13" i="5"/>
  <c r="M13" i="5"/>
  <c r="P12" i="5"/>
  <c r="M12" i="5"/>
  <c r="P11" i="5"/>
  <c r="M11" i="5"/>
  <c r="P10" i="5"/>
  <c r="M10" i="5"/>
  <c r="P9" i="5"/>
  <c r="M9" i="5"/>
  <c r="P8" i="5"/>
  <c r="M8" i="5"/>
  <c r="P7" i="5"/>
  <c r="M7" i="5"/>
  <c r="P6" i="5"/>
  <c r="M6" i="5"/>
  <c r="P5" i="5"/>
  <c r="M5" i="5"/>
  <c r="P4" i="5"/>
  <c r="M4" i="5"/>
  <c r="P3" i="5"/>
  <c r="M3" i="5"/>
  <c r="P2" i="5"/>
  <c r="M2" i="5"/>
  <c r="A2" i="5"/>
  <c r="A3" i="5" l="1"/>
  <c r="A4" i="5" l="1"/>
  <c r="A5" i="5" l="1"/>
  <c r="A6" i="5" l="1"/>
  <c r="A7" i="5" l="1"/>
  <c r="A8" i="5" l="1"/>
  <c r="A9" i="5" l="1"/>
  <c r="A10" i="5" l="1"/>
  <c r="A11" i="5" l="1"/>
  <c r="A12" i="5" l="1"/>
  <c r="A13" i="5" l="1"/>
  <c r="A14" i="5" l="1"/>
  <c r="A16" i="5" l="1"/>
  <c r="A17" i="5" l="1"/>
  <c r="A18" i="5" l="1"/>
  <c r="A20" i="5" l="1"/>
  <c r="A21" i="5" l="1"/>
  <c r="A23" i="5" l="1"/>
  <c r="A24" i="5" l="1"/>
  <c r="A25" i="5" l="1"/>
  <c r="A26" i="5" l="1"/>
  <c r="A27" i="5" l="1"/>
  <c r="A28" i="5" l="1"/>
  <c r="A29" i="5" l="1"/>
  <c r="A30" i="5" l="1"/>
  <c r="A31" i="5" l="1"/>
  <c r="A32" i="5" l="1"/>
  <c r="A33" i="5" l="1"/>
  <c r="A34" i="5" l="1"/>
  <c r="A35" i="5" l="1"/>
  <c r="A36" i="5" l="1"/>
  <c r="A37" i="5" l="1"/>
  <c r="A38" i="5" l="1"/>
  <c r="A39" i="5" l="1"/>
  <c r="A40" i="5" l="1"/>
  <c r="A41" i="5" l="1"/>
  <c r="A42" i="5" l="1"/>
  <c r="A43" i="5" l="1"/>
  <c r="A44" i="5" l="1"/>
  <c r="A45" i="5" l="1"/>
  <c r="A46" i="5" l="1"/>
  <c r="A47" i="5" l="1"/>
  <c r="A48" i="5" l="1"/>
  <c r="A49" i="5" l="1"/>
  <c r="A50" i="5" l="1"/>
  <c r="A51" i="5" l="1"/>
  <c r="A52" i="5" l="1"/>
  <c r="A53" i="5" l="1"/>
  <c r="A54" i="5" l="1"/>
  <c r="A55" i="5" l="1"/>
  <c r="A56" i="5" l="1"/>
  <c r="A57" i="5" l="1"/>
  <c r="A58" i="5" l="1"/>
  <c r="A59" i="5" l="1"/>
  <c r="A60" i="5" l="1"/>
  <c r="A61" i="5" l="1"/>
  <c r="A62" i="5" l="1"/>
  <c r="A63" i="5" l="1"/>
  <c r="A64" i="5" l="1"/>
  <c r="A65" i="5" l="1"/>
  <c r="A66" i="5" l="1"/>
  <c r="A67" i="5" l="1"/>
  <c r="A68" i="5" l="1"/>
  <c r="A69" i="5" l="1"/>
  <c r="A70" i="5" l="1"/>
  <c r="A72" i="5" l="1"/>
  <c r="A73" i="5" l="1"/>
  <c r="A79" i="5" l="1"/>
  <c r="A84" i="5" l="1"/>
  <c r="A86" i="5" l="1"/>
  <c r="A87" i="5" l="1"/>
  <c r="A88" i="5" l="1"/>
  <c r="A89" i="5" l="1"/>
  <c r="A90" i="5" l="1"/>
  <c r="A94" i="5" l="1"/>
  <c r="A95" i="5" l="1"/>
  <c r="A96" i="5" l="1"/>
  <c r="A99" i="5" l="1"/>
  <c r="A100" i="5" l="1"/>
  <c r="A102" i="5" l="1"/>
  <c r="A103" i="5" l="1"/>
  <c r="A105" i="5" l="1"/>
  <c r="A106" i="5" l="1"/>
  <c r="A113" i="5" l="1"/>
  <c r="A111" i="5"/>
  <c r="A115" i="5" l="1"/>
  <c r="A116" i="5" l="1"/>
  <c r="A117" i="5" l="1"/>
  <c r="A118" i="5" l="1"/>
  <c r="A119" i="5" l="1"/>
  <c r="A120" i="5" l="1"/>
  <c r="A121" i="5" l="1"/>
  <c r="A123" i="5" l="1"/>
  <c r="A124" i="5" l="1"/>
  <c r="A125" i="5" l="1"/>
  <c r="A126" i="5" l="1"/>
  <c r="A128" i="5" l="1"/>
  <c r="A129" i="5" l="1"/>
  <c r="A130" i="5" l="1"/>
  <c r="A132" i="5" l="1"/>
  <c r="A133" i="5" l="1"/>
  <c r="A134" i="5" l="1"/>
  <c r="A135" i="5" l="1"/>
  <c r="A136" i="5" l="1"/>
  <c r="A137" i="5" l="1"/>
  <c r="A138" i="5" l="1"/>
  <c r="A139" i="5" l="1"/>
  <c r="A140" i="5" l="1"/>
  <c r="A142" i="5" l="1"/>
  <c r="A143" i="5" l="1"/>
  <c r="A144" i="5" l="1"/>
  <c r="A145" i="5" l="1"/>
  <c r="A146" i="5" l="1"/>
  <c r="A147" i="5" l="1"/>
  <c r="A148" i="5" l="1"/>
  <c r="A149" i="5" l="1"/>
  <c r="A150" i="5" l="1"/>
  <c r="A151" i="5" l="1"/>
  <c r="A152" i="5" l="1"/>
  <c r="A153" i="5" l="1"/>
  <c r="A154" i="5" l="1"/>
  <c r="A155" i="5" l="1"/>
  <c r="A156" i="5" l="1"/>
  <c r="A157" i="5" l="1"/>
  <c r="A158" i="5" l="1"/>
  <c r="A159" i="5" l="1"/>
  <c r="A160" i="5" l="1"/>
  <c r="A161" i="5" l="1"/>
  <c r="A162" i="5" l="1"/>
  <c r="A163" i="5" l="1"/>
  <c r="A164" i="5" l="1"/>
  <c r="A166" i="5" l="1"/>
  <c r="A167" i="5" l="1"/>
  <c r="A168" i="5" l="1"/>
  <c r="A169" i="5" l="1"/>
  <c r="A170" i="5" l="1"/>
  <c r="A171" i="5" l="1"/>
  <c r="A172" i="5" l="1"/>
  <c r="A173" i="5" l="1"/>
  <c r="A174" i="5" l="1"/>
  <c r="A175" i="5" l="1"/>
  <c r="A176" i="5" l="1"/>
  <c r="A177" i="5" l="1"/>
  <c r="A178" i="5" l="1"/>
  <c r="A179" i="5" l="1"/>
  <c r="A180" i="5" l="1"/>
  <c r="A181" i="5" l="1"/>
  <c r="A182" i="5" l="1"/>
  <c r="A183" i="5" l="1"/>
  <c r="A184" i="5" l="1"/>
  <c r="A185" i="5" l="1"/>
  <c r="A186" i="5" l="1"/>
  <c r="A187" i="5" l="1"/>
  <c r="A188" i="5" l="1"/>
  <c r="A189" i="5" l="1"/>
  <c r="A191" i="5" l="1"/>
  <c r="A192" i="5" l="1"/>
  <c r="A193" i="5" l="1"/>
  <c r="A194" i="5" l="1"/>
  <c r="A195" i="5" l="1"/>
  <c r="A197" i="5" l="1"/>
  <c r="A198" i="5" l="1"/>
  <c r="A199" i="5" l="1"/>
  <c r="A200" i="5" l="1"/>
  <c r="A201" i="5" l="1"/>
  <c r="A202" i="5" l="1"/>
  <c r="A203" i="5" l="1"/>
  <c r="A206" i="5" l="1"/>
  <c r="A207" i="5" l="1"/>
  <c r="A208" i="5" l="1"/>
  <c r="A209" i="5" l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403" i="5" s="1"/>
  <c r="A404" i="5" s="1"/>
  <c r="A405" i="5" s="1"/>
  <c r="A406" i="5" s="1"/>
  <c r="A407" i="5" s="1"/>
  <c r="A408" i="5" s="1"/>
  <c r="A409" i="5" s="1"/>
  <c r="A410" i="5" s="1"/>
  <c r="A411" i="5" s="1"/>
  <c r="A412" i="5" s="1"/>
  <c r="A413" i="5" s="1"/>
  <c r="A414" i="5" s="1"/>
  <c r="A415" i="5" s="1"/>
  <c r="A416" i="5" s="1"/>
  <c r="A417" i="5" s="1"/>
  <c r="A418" i="5" s="1"/>
  <c r="A419" i="5" s="1"/>
  <c r="A420" i="5" s="1"/>
  <c r="A421" i="5" s="1"/>
  <c r="A422" i="5" s="1"/>
  <c r="A423" i="5" s="1"/>
  <c r="A424" i="5" s="1"/>
  <c r="A425" i="5" s="1"/>
  <c r="A426" i="5" s="1"/>
  <c r="A427" i="5" s="1"/>
  <c r="A428" i="5" s="1"/>
  <c r="A429" i="5" s="1"/>
  <c r="A430" i="5" s="1"/>
  <c r="A431" i="5" s="1"/>
  <c r="A432" i="5" s="1"/>
  <c r="A433" i="5" s="1"/>
  <c r="A434" i="5" s="1"/>
  <c r="A435" i="5" s="1"/>
  <c r="A436" i="5" s="1"/>
  <c r="A437" i="5" s="1"/>
  <c r="A438" i="5" s="1"/>
  <c r="A439" i="5" s="1"/>
  <c r="A440" i="5" s="1"/>
  <c r="A441" i="5" s="1"/>
  <c r="A442" i="5" s="1"/>
  <c r="A443" i="5" s="1"/>
  <c r="A444" i="5" s="1"/>
  <c r="A445" i="5" s="1"/>
  <c r="A446" i="5" s="1"/>
  <c r="A447" i="5" s="1"/>
  <c r="A448" i="5" s="1"/>
  <c r="A449" i="5" s="1"/>
  <c r="A450" i="5" s="1"/>
  <c r="A451" i="5" s="1"/>
  <c r="A452" i="5" s="1"/>
  <c r="A453" i="5" s="1"/>
  <c r="A454" i="5" s="1"/>
  <c r="A455" i="5" s="1"/>
  <c r="A456" i="5" s="1"/>
  <c r="A458" i="5" s="1"/>
  <c r="A459" i="5" s="1"/>
  <c r="A460" i="5" s="1"/>
  <c r="A461" i="5" s="1"/>
  <c r="A462" i="5" s="1"/>
  <c r="A463" i="5" s="1"/>
  <c r="A464" i="5" s="1"/>
  <c r="A465" i="5" s="1"/>
  <c r="A466" i="5" s="1"/>
  <c r="A467" i="5" s="1"/>
  <c r="A468" i="5" s="1"/>
  <c r="A469" i="5" s="1"/>
  <c r="A470" i="5" s="1"/>
  <c r="A472" i="5" s="1"/>
  <c r="A473" i="5" s="1"/>
  <c r="A474" i="5" s="1"/>
  <c r="A475" i="5" s="1"/>
  <c r="A476" i="5" s="1"/>
  <c r="A477" i="5" s="1"/>
  <c r="A478" i="5" s="1"/>
  <c r="A479" i="5" s="1"/>
  <c r="A480" i="5" s="1"/>
  <c r="A481" i="5" s="1"/>
  <c r="A482" i="5" s="1"/>
  <c r="A483" i="5" s="1"/>
</calcChain>
</file>

<file path=xl/sharedStrings.xml><?xml version="1.0" encoding="utf-8"?>
<sst xmlns="http://schemas.openxmlformats.org/spreadsheetml/2006/main" count="20030" uniqueCount="3490">
  <si>
    <t>No</t>
  </si>
  <si>
    <t xml:space="preserve">ID </t>
  </si>
  <si>
    <t>NAMA</t>
  </si>
  <si>
    <t>JABATAN</t>
  </si>
  <si>
    <t>DEPARTEMEN</t>
  </si>
  <si>
    <t>UNIT</t>
  </si>
  <si>
    <t>SUB UNIT / AREA</t>
  </si>
  <si>
    <t>GROUP</t>
  </si>
  <si>
    <t>STATUS KARYAWAN</t>
  </si>
  <si>
    <t>TMK</t>
  </si>
  <si>
    <t>MASA KERJA</t>
  </si>
  <si>
    <t>JENIS KELAMIN</t>
  </si>
  <si>
    <t>TANGGAL LAHIR</t>
  </si>
  <si>
    <t>USIA</t>
  </si>
  <si>
    <t>IJAZAH TERAKHIR</t>
  </si>
  <si>
    <t>GAJI TERAKHIR</t>
  </si>
  <si>
    <t>NIK KTP</t>
  </si>
  <si>
    <t>ALAMAT</t>
  </si>
  <si>
    <t>STATUS PERKAWINAN</t>
  </si>
  <si>
    <t>NOMOR HP</t>
  </si>
  <si>
    <t>KONTAK DARURAT</t>
  </si>
  <si>
    <t>NPWP</t>
  </si>
  <si>
    <t>BPJS KES</t>
  </si>
  <si>
    <t>BPJS KETENAGAKERJAAN</t>
  </si>
  <si>
    <t>Status Karyawan</t>
  </si>
  <si>
    <t>No rek</t>
  </si>
  <si>
    <t>K 217</t>
  </si>
  <si>
    <t>ENDIK CAHYONO</t>
  </si>
  <si>
    <t>SPV GBJ &amp; EKSPEDISI</t>
  </si>
  <si>
    <t>EKSPEDISI</t>
  </si>
  <si>
    <t>Tetap</t>
  </si>
  <si>
    <t>Laki-laki</t>
  </si>
  <si>
    <t>SMA</t>
  </si>
  <si>
    <t>3516070207800001</t>
  </si>
  <si>
    <t>Sambisari, RT. 14/ RW. 06, Kutorejo</t>
  </si>
  <si>
    <t>Kawin</t>
  </si>
  <si>
    <t>085645529427</t>
  </si>
  <si>
    <t>0858551789001</t>
  </si>
  <si>
    <t>42.033.836.0-602.000</t>
  </si>
  <si>
    <t>00K40488601</t>
  </si>
  <si>
    <t>00K40488601000</t>
  </si>
  <si>
    <t>Aktif</t>
  </si>
  <si>
    <t>K 158</t>
  </si>
  <si>
    <t>YUDIONO</t>
  </si>
  <si>
    <t>KOORDINATOR</t>
  </si>
  <si>
    <t>Kontrak</t>
  </si>
  <si>
    <t>SMK</t>
  </si>
  <si>
    <t>3516022607830002</t>
  </si>
  <si>
    <t>Jatiombo, 005/003, Centong, Gondang</t>
  </si>
  <si>
    <t>085853944775</t>
  </si>
  <si>
    <t>085704639370</t>
  </si>
  <si>
    <t>0001141677404</t>
  </si>
  <si>
    <t>K 216</t>
  </si>
  <si>
    <t>DEWI TRI PUSPITAWATI</t>
  </si>
  <si>
    <t>STAFF</t>
  </si>
  <si>
    <t>Perempuan</t>
  </si>
  <si>
    <t>3516055707860001</t>
  </si>
  <si>
    <t>Kesono, Candiharjo, RT. 08/ RW. 02, Ngoro</t>
  </si>
  <si>
    <t>085645028770</t>
  </si>
  <si>
    <t>081331340519</t>
  </si>
  <si>
    <t>0001895134691</t>
  </si>
  <si>
    <t>K 195</t>
  </si>
  <si>
    <t>IRA MAYASARI</t>
  </si>
  <si>
    <t>ADMIN</t>
  </si>
  <si>
    <t>3516057105860005</t>
  </si>
  <si>
    <t>Manduro M.G RT. 04, RW. 01, Manduro M.G</t>
  </si>
  <si>
    <t>08563386699</t>
  </si>
  <si>
    <t>0001895138921</t>
  </si>
  <si>
    <t>45047449580</t>
  </si>
  <si>
    <t>16382</t>
  </si>
  <si>
    <t>PUJI SUSANTI</t>
  </si>
  <si>
    <t>Harian Lepas</t>
  </si>
  <si>
    <t>S1</t>
  </si>
  <si>
    <t>3516064904910001</t>
  </si>
  <si>
    <t>Pungging, 002/005, Pungging, Pungging</t>
  </si>
  <si>
    <t>085851661061</t>
  </si>
  <si>
    <t>085815564379</t>
  </si>
  <si>
    <t>FARADINA NUR RACHMI</t>
  </si>
  <si>
    <t>OPERATOR</t>
  </si>
  <si>
    <t>3508035009940007</t>
  </si>
  <si>
    <t>Wates, 001/001, Watesnegoro, Ngoro</t>
  </si>
  <si>
    <t>TK/0</t>
  </si>
  <si>
    <t>7690420133</t>
  </si>
  <si>
    <t>BUDI SUSANTO</t>
  </si>
  <si>
    <t>3516052007850002</t>
  </si>
  <si>
    <t>Glatik, 002/005, Watesnegoro, Ngoro</t>
  </si>
  <si>
    <t>085730708786</t>
  </si>
  <si>
    <t>085707375341</t>
  </si>
  <si>
    <t>0001895134263</t>
  </si>
  <si>
    <t>DEDI SUSANTO</t>
  </si>
  <si>
    <t>MUHAMMAD AINUN NAJIB</t>
  </si>
  <si>
    <t>3516050502950001</t>
  </si>
  <si>
    <t>Sidorejo, 002/005, Wonosari, Ngoro</t>
  </si>
  <si>
    <t>087765819461</t>
  </si>
  <si>
    <t>AGUS DWI CAHYONO</t>
  </si>
  <si>
    <t>3516062108960003</t>
  </si>
  <si>
    <t>Dempel, 003/002, Tumapel, Dlanggu</t>
  </si>
  <si>
    <t>085606943497</t>
  </si>
  <si>
    <t>HERI TRIHARSONO</t>
  </si>
  <si>
    <t>3516060902960002</t>
  </si>
  <si>
    <t>Pungging, 007/004, Pungging, Pungging</t>
  </si>
  <si>
    <t>08557067563</t>
  </si>
  <si>
    <t>081915810429</t>
  </si>
  <si>
    <t>K 120</t>
  </si>
  <si>
    <t>MULYO GIRI ASMORO</t>
  </si>
  <si>
    <t>3515091311820002</t>
  </si>
  <si>
    <t>Kedung Turi, 003/004, Janti, Tulangan</t>
  </si>
  <si>
    <t>081336575612</t>
  </si>
  <si>
    <t>K 430</t>
  </si>
  <si>
    <t>FEBRI</t>
  </si>
  <si>
    <t>3516082002930001</t>
  </si>
  <si>
    <t>Panjer, 002/001, Tunggalpager, Pungging</t>
  </si>
  <si>
    <t>0895341399395</t>
  </si>
  <si>
    <t>089680795559</t>
  </si>
  <si>
    <t>MUHAMMAD DAVID IRWANTO</t>
  </si>
  <si>
    <t>HELPER</t>
  </si>
  <si>
    <t>Driver</t>
  </si>
  <si>
    <t>3515021511850001</t>
  </si>
  <si>
    <t>Glonggong, 001/002, Kedungkembar, Prambon</t>
  </si>
  <si>
    <t>081336271918</t>
  </si>
  <si>
    <t>WULYO BASRONI</t>
  </si>
  <si>
    <t>SMP</t>
  </si>
  <si>
    <t>315712912760005</t>
  </si>
  <si>
    <t>Bahudan, 005/001, Wuluh, Kesamben</t>
  </si>
  <si>
    <t>083857403022</t>
  </si>
  <si>
    <t>085736031805</t>
  </si>
  <si>
    <t>SUKANDAR</t>
  </si>
  <si>
    <t>ERWIN ANITA KURNIAWAN</t>
  </si>
  <si>
    <t>Muat</t>
  </si>
  <si>
    <t>Borongan</t>
  </si>
  <si>
    <t>3517200101910002</t>
  </si>
  <si>
    <t>Dsn. Adisono, Ds. Lebaksono, RT. 02/RW. 02</t>
  </si>
  <si>
    <t>085748206797</t>
  </si>
  <si>
    <t>085732411230</t>
  </si>
  <si>
    <t>AJI HENDRA LESMANA</t>
  </si>
  <si>
    <t>3516062606910001</t>
  </si>
  <si>
    <t>Pungging Krisik, 003/010, Balongmasin, Pungging</t>
  </si>
  <si>
    <t>085707575247</t>
  </si>
  <si>
    <t>085707575289</t>
  </si>
  <si>
    <t>IFAN ASHARI</t>
  </si>
  <si>
    <t>3516062602930003</t>
  </si>
  <si>
    <t>Pungging, 003/005, Pungging, Pungging</t>
  </si>
  <si>
    <t>087742132677</t>
  </si>
  <si>
    <t>WITONO</t>
  </si>
  <si>
    <t>3516072602810003</t>
  </si>
  <si>
    <t>Manduro, 015/003, Manduro MG, Ngoro</t>
  </si>
  <si>
    <t>085608407375</t>
  </si>
  <si>
    <t>085785810063</t>
  </si>
  <si>
    <t>HARTOKO</t>
  </si>
  <si>
    <t>3516031111770001</t>
  </si>
  <si>
    <t>Tanjung Anom, 002/005, Tanjungkenongo, Pacet</t>
  </si>
  <si>
    <t>0878581635</t>
  </si>
  <si>
    <t>081936250189</t>
  </si>
  <si>
    <t>MOH ZAINUL</t>
  </si>
  <si>
    <t>3516052605950001</t>
  </si>
  <si>
    <t>Kandangan, 006/002, Kunjorowesi, Ngoro</t>
  </si>
  <si>
    <t>082338110515</t>
  </si>
  <si>
    <t>HEDU</t>
  </si>
  <si>
    <t>SD</t>
  </si>
  <si>
    <t>3516051806810002</t>
  </si>
  <si>
    <t>Kandangan, 005/002, Kunjorowesi, Ngoro</t>
  </si>
  <si>
    <t>085847699028</t>
  </si>
  <si>
    <t>DEDY ARDIANSYAH</t>
  </si>
  <si>
    <t>3516060612970003</t>
  </si>
  <si>
    <t>Pungging, 006/004, Pungging, Pungging</t>
  </si>
  <si>
    <t>Belum Kawin</t>
  </si>
  <si>
    <t>087849074136</t>
  </si>
  <si>
    <t>SODIKIN</t>
  </si>
  <si>
    <t>3516062910790003</t>
  </si>
  <si>
    <t>085732199949</t>
  </si>
  <si>
    <t>081515868012</t>
  </si>
  <si>
    <t>SUWIKNYO</t>
  </si>
  <si>
    <t>3514121506800002</t>
  </si>
  <si>
    <t>Melian, 005/010, Kejapanan, Gempol</t>
  </si>
  <si>
    <t>085755357419</t>
  </si>
  <si>
    <t>YONI ISMAWAN</t>
  </si>
  <si>
    <t>3516062108840001</t>
  </si>
  <si>
    <t>Pungging, 005/005, Pungging, Pungging</t>
  </si>
  <si>
    <t>ERIK ANDRIANTO</t>
  </si>
  <si>
    <t>3516060812990003</t>
  </si>
  <si>
    <t>Sumberrejo, 002/004, Kintelan, Puri</t>
  </si>
  <si>
    <t>082338083645</t>
  </si>
  <si>
    <t>085604711003</t>
  </si>
  <si>
    <t>SUJA'I</t>
  </si>
  <si>
    <t>3516050209830003</t>
  </si>
  <si>
    <t>085856345443</t>
  </si>
  <si>
    <t>085792766878</t>
  </si>
  <si>
    <t>SUTIKNO</t>
  </si>
  <si>
    <t>3516050612860001</t>
  </si>
  <si>
    <t>Glatik, 004/004, Watesnegoro, Ngoro</t>
  </si>
  <si>
    <t>0858527866002</t>
  </si>
  <si>
    <t>081515064916</t>
  </si>
  <si>
    <t>JOYO MAWANTO</t>
  </si>
  <si>
    <t>3516051710800002</t>
  </si>
  <si>
    <t>Sekantong, 005/001, Kunjorowesi, Ngoro</t>
  </si>
  <si>
    <t>085855222633</t>
  </si>
  <si>
    <t>085748490727</t>
  </si>
  <si>
    <t>SAMSUL HADI</t>
  </si>
  <si>
    <t>3506152812820004</t>
  </si>
  <si>
    <t>Kleco, 011/007, Centong, Gondang</t>
  </si>
  <si>
    <t>M JULFI KARSA</t>
  </si>
  <si>
    <t>3516061808980003</t>
  </si>
  <si>
    <t>Sumberjo, 001/006, Sawo, Kutorejo</t>
  </si>
  <si>
    <t>0895335648531</t>
  </si>
  <si>
    <t>SUWITO</t>
  </si>
  <si>
    <t>3516072006800002</t>
  </si>
  <si>
    <t>Sambisari, 014/006, Kutorejo</t>
  </si>
  <si>
    <t>085843700685</t>
  </si>
  <si>
    <t>085706785162</t>
  </si>
  <si>
    <t>DIDIK TRIYONO</t>
  </si>
  <si>
    <t>3516051409830001</t>
  </si>
  <si>
    <t>Jasem, 001/005, Jasem, Ngoro</t>
  </si>
  <si>
    <t>DIMAS MARDIANTO</t>
  </si>
  <si>
    <t>SEPTI DWI CAHYONO</t>
  </si>
  <si>
    <t>YUNUS PRASETYO</t>
  </si>
  <si>
    <t>THAUFAN SETIYO UTOMO</t>
  </si>
  <si>
    <t>GUDANG BAHAN BAKU</t>
  </si>
  <si>
    <t>K/2</t>
  </si>
  <si>
    <t>082247774756</t>
  </si>
  <si>
    <t>081289728082</t>
  </si>
  <si>
    <t>0001140569515</t>
  </si>
  <si>
    <t>6141001415</t>
  </si>
  <si>
    <t>K 370</t>
  </si>
  <si>
    <t>YUNI SULISTYANA</t>
  </si>
  <si>
    <t>3506136206950004</t>
  </si>
  <si>
    <t>Perum Griya Modopuro Perkasa C-32, Mojosari</t>
  </si>
  <si>
    <t>081332430027</t>
  </si>
  <si>
    <t>08772526048</t>
  </si>
  <si>
    <t>AGOES SETYAWAN</t>
  </si>
  <si>
    <t>Forklift Incoming</t>
  </si>
  <si>
    <t>3514110105710001</t>
  </si>
  <si>
    <t>Perum Kebonwaris II/A-08, 004/001, Kebonwaris, Pandaan</t>
  </si>
  <si>
    <t>081330115563</t>
  </si>
  <si>
    <t>081234677203</t>
  </si>
  <si>
    <t>97N00048505</t>
  </si>
  <si>
    <t>K 281</t>
  </si>
  <si>
    <t>MOHAMMAD SAMSUDIN</t>
  </si>
  <si>
    <t>3516050409900001</t>
  </si>
  <si>
    <t>Buluresik, 019/004, Manduro MG, Ngoro</t>
  </si>
  <si>
    <t>085854902925</t>
  </si>
  <si>
    <t>085852684121</t>
  </si>
  <si>
    <t>0001895111144</t>
  </si>
  <si>
    <t>K 50</t>
  </si>
  <si>
    <t>MUHAMMAD SHOKEH</t>
  </si>
  <si>
    <t>3516052112820001</t>
  </si>
  <si>
    <t>Glatik, 005/005, Watesnegoro, Ngoro</t>
  </si>
  <si>
    <t>085648529326</t>
  </si>
  <si>
    <t>089659748800</t>
  </si>
  <si>
    <t>T 016</t>
  </si>
  <si>
    <t>WINDARTO NUGROHO</t>
  </si>
  <si>
    <t>3573012802740001</t>
  </si>
  <si>
    <t>Bunul Rejo, 003/014, Malang</t>
  </si>
  <si>
    <t>085816177728</t>
  </si>
  <si>
    <t>02N50048348</t>
  </si>
  <si>
    <t>K 286</t>
  </si>
  <si>
    <t>SULTHON ARIFIN</t>
  </si>
  <si>
    <t>3516052612910002</t>
  </si>
  <si>
    <t>Kandangan, 001/002, Kunjorowesi, Ngoro</t>
  </si>
  <si>
    <t>085815235868</t>
  </si>
  <si>
    <t>0001895107871</t>
  </si>
  <si>
    <t>K 362</t>
  </si>
  <si>
    <t>AGUS SUPARTONO</t>
  </si>
  <si>
    <t>3516062809820004</t>
  </si>
  <si>
    <t>Pungging, 001/003, Pungging, Pungging</t>
  </si>
  <si>
    <t>085812607976</t>
  </si>
  <si>
    <t>082331360518</t>
  </si>
  <si>
    <t>K 272</t>
  </si>
  <si>
    <t>FERI EFENDI</t>
  </si>
  <si>
    <t>3523192112870001</t>
  </si>
  <si>
    <t>Sumbertugu, 001/007, Sawo, Kutorejo</t>
  </si>
  <si>
    <t>085755708654</t>
  </si>
  <si>
    <t>083826778771</t>
  </si>
  <si>
    <t>GALIH INDRIAN PRASETYO</t>
  </si>
  <si>
    <t>K 007</t>
  </si>
  <si>
    <t>SUDIONO</t>
  </si>
  <si>
    <t>GUDANG BAHAN PEMBANTU</t>
  </si>
  <si>
    <t>3514111701770001</t>
  </si>
  <si>
    <t>Kedondong, 001/001, Sumbergedang, Pandaan</t>
  </si>
  <si>
    <t>085706644430</t>
  </si>
  <si>
    <t>081547175244</t>
  </si>
  <si>
    <t>0001141677393</t>
  </si>
  <si>
    <t>ANDRI SANJAYA</t>
  </si>
  <si>
    <t>Checker</t>
  </si>
  <si>
    <t>3516050409810001</t>
  </si>
  <si>
    <t>Gunungsari, 003/001, Watesnegoro, Ngoro</t>
  </si>
  <si>
    <t>085648659938</t>
  </si>
  <si>
    <t>K 250</t>
  </si>
  <si>
    <t>FANDI ACHMAD PRANOWO</t>
  </si>
  <si>
    <t>3516050101930001</t>
  </si>
  <si>
    <t>Wates, 004/008, Watesnegoro, Ngoro</t>
  </si>
  <si>
    <t>081259866664</t>
  </si>
  <si>
    <t>081217744406</t>
  </si>
  <si>
    <t>TRYANDIKA RIZKAT PRASHODANG</t>
  </si>
  <si>
    <t>3523161812020002</t>
  </si>
  <si>
    <t>Jl Panglima Ima Sudirman, 003/002, Sukolilo, Tuban</t>
  </si>
  <si>
    <t>081333483254</t>
  </si>
  <si>
    <t>08113176377</t>
  </si>
  <si>
    <t>MUCHAMMAD BACHRUL ULUM</t>
  </si>
  <si>
    <t>GUDANG BARANG JADI</t>
  </si>
  <si>
    <t>D3</t>
  </si>
  <si>
    <t>3525151009970005</t>
  </si>
  <si>
    <t>Wates, 009/002, Cangkir, Driyorejo, Gresik</t>
  </si>
  <si>
    <t>K/1</t>
  </si>
  <si>
    <t>2711257782</t>
  </si>
  <si>
    <t>K 410</t>
  </si>
  <si>
    <t>DIAN PRISTIANAWATI</t>
  </si>
  <si>
    <t>3515017105910001</t>
  </si>
  <si>
    <t>Ds. Mindugading, RT 13, RW 04 Tarik Sidoarjo</t>
  </si>
  <si>
    <t>085648563985</t>
  </si>
  <si>
    <t>085645733881</t>
  </si>
  <si>
    <t>0001801727649</t>
  </si>
  <si>
    <t>K 411</t>
  </si>
  <si>
    <t>SOFI HUTAMAN WIJAYA</t>
  </si>
  <si>
    <t>STB</t>
  </si>
  <si>
    <t>3576012511810001</t>
  </si>
  <si>
    <t>Tambah suruh, 002/006, Tambakagung, Puri</t>
  </si>
  <si>
    <t>085607985657</t>
  </si>
  <si>
    <t>085607906398</t>
  </si>
  <si>
    <t>0001794859042</t>
  </si>
  <si>
    <t>K 131</t>
  </si>
  <si>
    <t>MOH JAENI</t>
  </si>
  <si>
    <t>3516051609830002</t>
  </si>
  <si>
    <t>Manduro, 007/002, Manduro MG, Ngoro</t>
  </si>
  <si>
    <t>081528808564</t>
  </si>
  <si>
    <t>085645629187</t>
  </si>
  <si>
    <t>0001143279213</t>
  </si>
  <si>
    <t>K 240</t>
  </si>
  <si>
    <t>SUNARTO</t>
  </si>
  <si>
    <t>3514121403730004</t>
  </si>
  <si>
    <t>Penanggungan, 004/027, Kejapanan, Gempol</t>
  </si>
  <si>
    <t>082338912461</t>
  </si>
  <si>
    <t>081332844584</t>
  </si>
  <si>
    <t>0001895135556</t>
  </si>
  <si>
    <t>K 157</t>
  </si>
  <si>
    <t>TOMI AJI</t>
  </si>
  <si>
    <t>Forklift</t>
  </si>
  <si>
    <t>3516052211870003</t>
  </si>
  <si>
    <t>Kecapangan, 004/004, Ngoro, Ngoro</t>
  </si>
  <si>
    <t>085645185862</t>
  </si>
  <si>
    <t>087863461467</t>
  </si>
  <si>
    <t>0001143279178</t>
  </si>
  <si>
    <t>AHMAD MANSUR</t>
  </si>
  <si>
    <t>3516081908820002</t>
  </si>
  <si>
    <t>Pungging, 007/005, Pungging, Pungging</t>
  </si>
  <si>
    <t>08818495772</t>
  </si>
  <si>
    <t>085730047145</t>
  </si>
  <si>
    <t>0001156486768</t>
  </si>
  <si>
    <t>SUGENG ARIF</t>
  </si>
  <si>
    <t>FAIZAL RIDA SANDI</t>
  </si>
  <si>
    <t>3516062212940002</t>
  </si>
  <si>
    <t>Dsn. Pungging, Ds. Pungging, RT 03/RW 05, Pungging</t>
  </si>
  <si>
    <t>085739659024</t>
  </si>
  <si>
    <t>082333067175</t>
  </si>
  <si>
    <t>MUHAMMAD RIDHWAN</t>
  </si>
  <si>
    <t>3516052801080003</t>
  </si>
  <si>
    <t>Manduro, 009/002, Manduro MG, Ngoro</t>
  </si>
  <si>
    <t>089688206852</t>
  </si>
  <si>
    <t>085606666613</t>
  </si>
  <si>
    <t>ANANDA TRI HANDOKO</t>
  </si>
  <si>
    <t>3516060202000001</t>
  </si>
  <si>
    <t>Pungging, 002/003, Pungging, Pungging</t>
  </si>
  <si>
    <t>082143108013</t>
  </si>
  <si>
    <t>085607921716</t>
  </si>
  <si>
    <t>0001177049812</t>
  </si>
  <si>
    <t>MOKHAMAD NUR ADI YANTO</t>
  </si>
  <si>
    <t>3515011308030002</t>
  </si>
  <si>
    <t>Juglang, 001/001, Singogalih, Tarik</t>
  </si>
  <si>
    <t>089514626376</t>
  </si>
  <si>
    <t>DEDY SUSANTO</t>
  </si>
  <si>
    <t>Timbangan</t>
  </si>
  <si>
    <t>3516071710920002</t>
  </si>
  <si>
    <t>Dsn. Lamongan, RT 09, RW. 003, Ds. Kalipuro, Pungging</t>
  </si>
  <si>
    <t>Tidak Aktif</t>
  </si>
  <si>
    <t>NUR HIDAYAT WASIS</t>
  </si>
  <si>
    <t>3516162605910002</t>
  </si>
  <si>
    <t>Dsn. Ketapang, RT. 02, RW. 07, Ds. Mojolebak, Jetis</t>
  </si>
  <si>
    <t>085606787004</t>
  </si>
  <si>
    <t>082140508059</t>
  </si>
  <si>
    <t>DONY REFANDI</t>
  </si>
  <si>
    <t>NANDITO PUTRA SETIAWAN</t>
  </si>
  <si>
    <t>3515070507040001</t>
  </si>
  <si>
    <t>Kalipecabean, 001/005, Candi, Sidoarjo</t>
  </si>
  <si>
    <t>081252951375</t>
  </si>
  <si>
    <t>MUHAMMAD RAGIL IRIANTO</t>
  </si>
  <si>
    <t>3504060901020001</t>
  </si>
  <si>
    <t xml:space="preserve">Dsn. Kanigoro, RT.02, RW. 08, Ds. Pungging </t>
  </si>
  <si>
    <t>087853196729</t>
  </si>
  <si>
    <t>085806935336</t>
  </si>
  <si>
    <t>0001801727650</t>
  </si>
  <si>
    <t>ERWIN AL FARIS</t>
  </si>
  <si>
    <t>RONNY KESUNA</t>
  </si>
  <si>
    <t>KABAG</t>
  </si>
  <si>
    <t>HRD &amp; GA</t>
  </si>
  <si>
    <t>IMROTIN</t>
  </si>
  <si>
    <t>NUR LAILI AMILATUL FADILAH</t>
  </si>
  <si>
    <t>DITA TRI</t>
  </si>
  <si>
    <t>MUHAIMIN ALI MAHDI</t>
  </si>
  <si>
    <t>SITI QOWIYAH</t>
  </si>
  <si>
    <t>0891842090</t>
  </si>
  <si>
    <t>063</t>
  </si>
  <si>
    <t>SYAIFUDDIN</t>
  </si>
  <si>
    <t>Umum</t>
  </si>
  <si>
    <t>3514112105690001</t>
  </si>
  <si>
    <t>Gelang, 002/003, Tawangrejo, Pandaan</t>
  </si>
  <si>
    <t>085655934262</t>
  </si>
  <si>
    <t>089611065454</t>
  </si>
  <si>
    <t>ada</t>
  </si>
  <si>
    <t>1</t>
  </si>
  <si>
    <t>AINUL YAQIN</t>
  </si>
  <si>
    <t>3516053006910002</t>
  </si>
  <si>
    <t>Gajah Mungkur, 021/005, Manduro MG, Ngoro</t>
  </si>
  <si>
    <t>081615160031</t>
  </si>
  <si>
    <t>085732937221</t>
  </si>
  <si>
    <t>2</t>
  </si>
  <si>
    <t>SULISNAN</t>
  </si>
  <si>
    <t>Kembangan, 001/003, Kembangringgit, Pungging</t>
  </si>
  <si>
    <t>081333768989</t>
  </si>
  <si>
    <t>0851733577142</t>
  </si>
  <si>
    <t>5</t>
  </si>
  <si>
    <t>JAVED FATAHILLAH</t>
  </si>
  <si>
    <t>3516061705970002</t>
  </si>
  <si>
    <t>Pungging, 002/005, Pungging</t>
  </si>
  <si>
    <t>0816597060</t>
  </si>
  <si>
    <t>3</t>
  </si>
  <si>
    <t>TAYUBI</t>
  </si>
  <si>
    <t>3516062507790003</t>
  </si>
  <si>
    <t>Mejero, 001/003, Karangdieng, Kutorjeo</t>
  </si>
  <si>
    <t>082139661596</t>
  </si>
  <si>
    <t>085790805185</t>
  </si>
  <si>
    <t>0001895118333</t>
  </si>
  <si>
    <t>6</t>
  </si>
  <si>
    <t>MISDI</t>
  </si>
  <si>
    <t>Ipal</t>
  </si>
  <si>
    <t>3516062712710003</t>
  </si>
  <si>
    <t>085606297262</t>
  </si>
  <si>
    <t>085732832877</t>
  </si>
  <si>
    <t>7</t>
  </si>
  <si>
    <t>SUBHAN</t>
  </si>
  <si>
    <t>3516050805920003</t>
  </si>
  <si>
    <t>Wonosari, 001/003, Wonosari, Ngoro</t>
  </si>
  <si>
    <t>085606280272</t>
  </si>
  <si>
    <t>0857071922013</t>
  </si>
  <si>
    <t>8</t>
  </si>
  <si>
    <t>KASTONO</t>
  </si>
  <si>
    <t>3516061106760002</t>
  </si>
  <si>
    <t>Pungging, 004/005, Pungging, Pungging</t>
  </si>
  <si>
    <t>0895334861291</t>
  </si>
  <si>
    <t>9</t>
  </si>
  <si>
    <t>SUDARSO</t>
  </si>
  <si>
    <t>3516056067840004</t>
  </si>
  <si>
    <t>Gunung Sari, 002/001, Watesnegoro, Ngoro</t>
  </si>
  <si>
    <t>085606651983</t>
  </si>
  <si>
    <t>10</t>
  </si>
  <si>
    <t>SATOHAN</t>
  </si>
  <si>
    <t>3516050601640002</t>
  </si>
  <si>
    <t>Sedati, 003/003, Sedati, Ngoro</t>
  </si>
  <si>
    <t>12</t>
  </si>
  <si>
    <t>HARSONO</t>
  </si>
  <si>
    <t>3516051304580001</t>
  </si>
  <si>
    <t>Dsn. Glatik, Ds. Watesnegoro RT. 02/ RW. 02</t>
  </si>
  <si>
    <t>085791787236</t>
  </si>
  <si>
    <t>13</t>
  </si>
  <si>
    <t>AKBAR</t>
  </si>
  <si>
    <t>Pallet</t>
  </si>
  <si>
    <t>14</t>
  </si>
  <si>
    <t>VIQI BAIHAQI</t>
  </si>
  <si>
    <t>15</t>
  </si>
  <si>
    <t>MUHAMMAD RACHMADANI</t>
  </si>
  <si>
    <t>0 tahun 0 bulan</t>
  </si>
  <si>
    <t>19 tahun</t>
  </si>
  <si>
    <t>3516052110060000</t>
  </si>
  <si>
    <t>Glatik, 002/002 Watesnegoro, Ngoro, Mojokerto</t>
  </si>
  <si>
    <t>16</t>
  </si>
  <si>
    <t>NOPAN SANJAYA</t>
  </si>
  <si>
    <t>3516063001020003</t>
  </si>
  <si>
    <t>Pasinan Dadap, 049/012, Sekargadung, Punging</t>
  </si>
  <si>
    <t>MUHAMMAD RIZMANSYAH</t>
  </si>
  <si>
    <t>SUYONO</t>
  </si>
  <si>
    <t>M YAHYA</t>
  </si>
  <si>
    <t>17</t>
  </si>
  <si>
    <t>DEDIK IRWANTO</t>
  </si>
  <si>
    <t>Ball Press</t>
  </si>
  <si>
    <t>3516052410850003</t>
  </si>
  <si>
    <t>Sambong, 005/001, Jasem, Ngoro</t>
  </si>
  <si>
    <t>085853686330</t>
  </si>
  <si>
    <t>085748257011</t>
  </si>
  <si>
    <t>18</t>
  </si>
  <si>
    <t>PONADI</t>
  </si>
  <si>
    <t>3516052407630001</t>
  </si>
  <si>
    <t>Dsn. Dateng, Ds. Watesnegoro, RT. 04/ RW. 07</t>
  </si>
  <si>
    <t>-</t>
  </si>
  <si>
    <t>085745165257</t>
  </si>
  <si>
    <t>19</t>
  </si>
  <si>
    <t>YANTO</t>
  </si>
  <si>
    <t xml:space="preserve">TEKNISI </t>
  </si>
  <si>
    <t>Dsn. Wates, RT. 01/ RW. 08, Ds. Watesnegoro, Ngoro</t>
  </si>
  <si>
    <t>0881027298271</t>
  </si>
  <si>
    <t>20</t>
  </si>
  <si>
    <t>TAMIN</t>
  </si>
  <si>
    <t>3516050907730001</t>
  </si>
  <si>
    <t>Bangkal, 002/001, Candiharjo, Ngoro</t>
  </si>
  <si>
    <t>085234151247</t>
  </si>
  <si>
    <t>21</t>
  </si>
  <si>
    <t>ERIK IDRIS GOVINDA</t>
  </si>
  <si>
    <t>3515123012900002</t>
  </si>
  <si>
    <t>Seketi, 003/005, Seketi, Balongbendo</t>
  </si>
  <si>
    <t>22</t>
  </si>
  <si>
    <t>AHMAD HANIF SETIAWAN</t>
  </si>
  <si>
    <t>3516062206030003</t>
  </si>
  <si>
    <t>23</t>
  </si>
  <si>
    <t>CHANANG AJI YOSO</t>
  </si>
  <si>
    <t>3518131808990002</t>
  </si>
  <si>
    <t>Kemuning, 010/002, Kemuning, Tarik</t>
  </si>
  <si>
    <t>24</t>
  </si>
  <si>
    <t>GATOT ADI SAPUTRO</t>
  </si>
  <si>
    <t>11</t>
  </si>
  <si>
    <t>TUJIANTO</t>
  </si>
  <si>
    <t>3516051104870004</t>
  </si>
  <si>
    <t>085790809553</t>
  </si>
  <si>
    <t>085706177656</t>
  </si>
  <si>
    <t>4</t>
  </si>
  <si>
    <t>BUDI HARJO</t>
  </si>
  <si>
    <t>3516051004870005</t>
  </si>
  <si>
    <t>Dsn. Wonosari, RT.04/ RW. 01, Ngoro</t>
  </si>
  <si>
    <t>081615155733</t>
  </si>
  <si>
    <t>085853454026</t>
  </si>
  <si>
    <t>PRIO</t>
  </si>
  <si>
    <t>IT</t>
  </si>
  <si>
    <t>Surabaya</t>
  </si>
  <si>
    <t>KEVIN</t>
  </si>
  <si>
    <t>Sales</t>
  </si>
  <si>
    <t>Delima Tengah 1 / 19</t>
  </si>
  <si>
    <t>ZUHDI ABDILLAH HIDAYAT</t>
  </si>
  <si>
    <t>Patung 03/002, Dusun Pungging, Pungging, Kec. Pungging, Kabupaten Mojokerto, Jawa Timur 61384</t>
  </si>
  <si>
    <t>5222194652</t>
  </si>
  <si>
    <t>SUNDARI</t>
  </si>
  <si>
    <t>PURCHASING</t>
  </si>
  <si>
    <t>DS. MANDURO, NGORO, MOJOKERTO</t>
  </si>
  <si>
    <t>DAMAYANTI NILA AGUSTIN</t>
  </si>
  <si>
    <t>Azarine Cluster B10, Dsn. Rungkut RT.18/RW.06, Ds. Randuharjo, Kec. Pungging, Kab. Mojokerto</t>
  </si>
  <si>
    <t>FEBIANA PUSPITA JATININGTYAS</t>
  </si>
  <si>
    <t>Pacarkembang Sinoman No. 8, 0003/006, Pacarkembang, Tambaksari, Surabaya</t>
  </si>
  <si>
    <t>KURNIA DWI FEBRIYANTO</t>
  </si>
  <si>
    <t>MARKETING</t>
  </si>
  <si>
    <t>1000236957</t>
  </si>
  <si>
    <t>AMELIYA SEPTIA ARINI</t>
  </si>
  <si>
    <t>3516164509020002</t>
  </si>
  <si>
    <t>Kwangen, 004/002, Sidorejo, Jetis</t>
  </si>
  <si>
    <t>085711726983</t>
  </si>
  <si>
    <t>085606226859</t>
  </si>
  <si>
    <t>EGA SETIAWAN</t>
  </si>
  <si>
    <t>0500560436</t>
  </si>
  <si>
    <t>ANDI EKA PRASETYA</t>
  </si>
  <si>
    <t>MEKANIK ELEKTRIK</t>
  </si>
  <si>
    <t>30 tahun</t>
  </si>
  <si>
    <t>Vila Regensi TNG II Blok FH-8/14, 006/011, Gelam Jaya, Pasar Kemis, Tangerang, Banten</t>
  </si>
  <si>
    <t>M IKHWAN SYARIFUDIN</t>
  </si>
  <si>
    <t>Listrik</t>
  </si>
  <si>
    <t>3516072503930002</t>
  </si>
  <si>
    <t>Kedungsari, 002/002, Gedangan, Kutorejo</t>
  </si>
  <si>
    <t>085645550554</t>
  </si>
  <si>
    <t>085645225106</t>
  </si>
  <si>
    <t>0001895133238</t>
  </si>
  <si>
    <t>AJI BAGUS SAPUTRO</t>
  </si>
  <si>
    <t>TEKNISI</t>
  </si>
  <si>
    <t>3516120704040002</t>
  </si>
  <si>
    <t>Wates Umpak, 001/001, Watesumpak, Trowulan</t>
  </si>
  <si>
    <t>085649164199</t>
  </si>
  <si>
    <t>081254611011</t>
  </si>
  <si>
    <t>IVANILLA PRIMADILLA</t>
  </si>
  <si>
    <t>3573040912950003</t>
  </si>
  <si>
    <t>Jl. Bandungbarat, 001/005, Ketok Tunggal Pager, Punging</t>
  </si>
  <si>
    <t>082257059864</t>
  </si>
  <si>
    <t>0895360230597</t>
  </si>
  <si>
    <t>0001162510176</t>
  </si>
  <si>
    <t>T 23</t>
  </si>
  <si>
    <t>SUPARJO</t>
  </si>
  <si>
    <t>3516052701790001</t>
  </si>
  <si>
    <t>Sirno, 003/005, Purwojati, Ngoro</t>
  </si>
  <si>
    <t>081266553046</t>
  </si>
  <si>
    <t>085745164185</t>
  </si>
  <si>
    <t>0001130410113</t>
  </si>
  <si>
    <t>02N50063503</t>
  </si>
  <si>
    <t>MOHAMMAD FARICH RACHMAN</t>
  </si>
  <si>
    <t>Mekanik</t>
  </si>
  <si>
    <t>3525101309020002</t>
  </si>
  <si>
    <t>Ponganan Krajan, 003/001, Ponganan, Manyar</t>
  </si>
  <si>
    <t>088805013486</t>
  </si>
  <si>
    <t>087803447667</t>
  </si>
  <si>
    <t>AHMAD RAHMATULLOH 2</t>
  </si>
  <si>
    <t>3578051904070004</t>
  </si>
  <si>
    <t>Kedungdoro, 006/002, Tegalsari, Surabaya</t>
  </si>
  <si>
    <t>082141192082</t>
  </si>
  <si>
    <t>082133635001</t>
  </si>
  <si>
    <t>HERMAWAN RAHAYU</t>
  </si>
  <si>
    <t>Boiler</t>
  </si>
  <si>
    <t>3516052007690003</t>
  </si>
  <si>
    <t>Prime Park Residance, C5 02, Simo angin-angin, Wonoayu</t>
  </si>
  <si>
    <t>085815072049</t>
  </si>
  <si>
    <t>085812413588</t>
  </si>
  <si>
    <t>02N50048249</t>
  </si>
  <si>
    <t>SUSANTO</t>
  </si>
  <si>
    <t>Corr</t>
  </si>
  <si>
    <t>3510093006740011</t>
  </si>
  <si>
    <t>Wates, 002/008, Watesnegoro, Ngoro</t>
  </si>
  <si>
    <t>081331721980</t>
  </si>
  <si>
    <t>085732140943</t>
  </si>
  <si>
    <t>WARDANI</t>
  </si>
  <si>
    <t>K 317</t>
  </si>
  <si>
    <t>JATMIKO</t>
  </si>
  <si>
    <t>3516061203830002</t>
  </si>
  <si>
    <t>Pungging, 003/004, Pungging, Pungging</t>
  </si>
  <si>
    <t>085706949576</t>
  </si>
  <si>
    <t>085655151661</t>
  </si>
  <si>
    <t>0001043659708</t>
  </si>
  <si>
    <t>MUCH DULMANAB</t>
  </si>
  <si>
    <t>3516050206790001</t>
  </si>
  <si>
    <t>Gunungsari, 002/001, Watesnegoro, Ngoro</t>
  </si>
  <si>
    <t>081559935603</t>
  </si>
  <si>
    <t>085704033765</t>
  </si>
  <si>
    <t>0001141587573</t>
  </si>
  <si>
    <t>PANCA DWI CAHYONO</t>
  </si>
  <si>
    <t>3516061803750003</t>
  </si>
  <si>
    <t>Bajangan, 001/010, Kembangringgit, Pungging</t>
  </si>
  <si>
    <t>087816322799</t>
  </si>
  <si>
    <t>081334495108</t>
  </si>
  <si>
    <t>MASKUR HIDAYATULLOH</t>
  </si>
  <si>
    <t>3516052808850002</t>
  </si>
  <si>
    <t>Manduro, 006/002, Manduro MG, Ngoro</t>
  </si>
  <si>
    <t>085607222985</t>
  </si>
  <si>
    <t>087718928521</t>
  </si>
  <si>
    <t>K 429</t>
  </si>
  <si>
    <t>JOKO ISMANU</t>
  </si>
  <si>
    <t>3516051804730003</t>
  </si>
  <si>
    <t>Sinoman GG. VI / 27, 003/002, Miji, Kranggan</t>
  </si>
  <si>
    <t>085731648885</t>
  </si>
  <si>
    <t>081330506102</t>
  </si>
  <si>
    <t>0001308648475</t>
  </si>
  <si>
    <t>RAHMAT BUDI SLAMET</t>
  </si>
  <si>
    <t>Flexo</t>
  </si>
  <si>
    <t>3516072908920001</t>
  </si>
  <si>
    <t>Mejero, 003/003, Karangdieng, Kutorjeo</t>
  </si>
  <si>
    <t>087853063739</t>
  </si>
  <si>
    <t>081335065747</t>
  </si>
  <si>
    <t>K 228</t>
  </si>
  <si>
    <t>SANTOSO</t>
  </si>
  <si>
    <t>3517150909810004</t>
  </si>
  <si>
    <t>Mambang, 003/001, Tondowulan, Pandaan</t>
  </si>
  <si>
    <t>085854095475</t>
  </si>
  <si>
    <t>085238875478</t>
  </si>
  <si>
    <t>12044954191</t>
  </si>
  <si>
    <t>DHEDEK ADI SAPUTRO</t>
  </si>
  <si>
    <t>3506181710940003</t>
  </si>
  <si>
    <t>Griya Bhayangkar Permai Blok 0-18, 021/008, Urungagung, Sidoarjo</t>
  </si>
  <si>
    <t>085733940003</t>
  </si>
  <si>
    <t>085790379134</t>
  </si>
  <si>
    <t>AKHMAD SYAFRI NUR FAIZIN</t>
  </si>
  <si>
    <t>3151622621</t>
  </si>
  <si>
    <t>SUHENDRO</t>
  </si>
  <si>
    <t>MOCHAMAD FIKRI NURFUADI</t>
  </si>
  <si>
    <t>3516052610960002</t>
  </si>
  <si>
    <t>Dateng, 003/007, Watesnegoro, Ngoro</t>
  </si>
  <si>
    <t>08819499283</t>
  </si>
  <si>
    <t>081336231119</t>
  </si>
  <si>
    <t>MOCHAMAD SUHENDRO</t>
  </si>
  <si>
    <t>3516060106940001</t>
  </si>
  <si>
    <t>085730670127</t>
  </si>
  <si>
    <t>MOH SAIHONI</t>
  </si>
  <si>
    <t>3516051012850006</t>
  </si>
  <si>
    <t>Sekantong, 003/001, Kunjorowesi, Ngoro</t>
  </si>
  <si>
    <t>085748840081</t>
  </si>
  <si>
    <t>085746950502</t>
  </si>
  <si>
    <t>MUKHAMAD KHUSEINI</t>
  </si>
  <si>
    <t>3516082108970002</t>
  </si>
  <si>
    <t>Ngagrok, 003/001, Leminggir, Mojosari</t>
  </si>
  <si>
    <t>087857084070</t>
  </si>
  <si>
    <t>082230074054</t>
  </si>
  <si>
    <t>HANDRIAN YULIV FATUR</t>
  </si>
  <si>
    <t>3504181507030002</t>
  </si>
  <si>
    <t>Suwaluh, 003/002, Pakel, Tulungagung</t>
  </si>
  <si>
    <t>085791378972</t>
  </si>
  <si>
    <t>082330960068</t>
  </si>
  <si>
    <t>MUARA MAJU PARILIAN SIREGAR</t>
  </si>
  <si>
    <t>SPV</t>
  </si>
  <si>
    <t>PPIC</t>
  </si>
  <si>
    <t>1408060406890001</t>
  </si>
  <si>
    <t>Jasem, 004/005, Jasem, Ngoro</t>
  </si>
  <si>
    <t>081232347494</t>
  </si>
  <si>
    <t>RAMA BAGASKARA</t>
  </si>
  <si>
    <t>DESIGN</t>
  </si>
  <si>
    <t>Kec. Candi, Kab. Sidoarjo</t>
  </si>
  <si>
    <t>0183481557</t>
  </si>
  <si>
    <t>MEFTAHOL ARIFIN HIDAYATULLAH</t>
  </si>
  <si>
    <t>Mojokerto</t>
  </si>
  <si>
    <t>SUPRIANI</t>
  </si>
  <si>
    <t>D1</t>
  </si>
  <si>
    <t>Pandaan</t>
  </si>
  <si>
    <t>BIMO DWI SETIAWAN</t>
  </si>
  <si>
    <t>Kembang Kuning Kramat 2 , Surabaya</t>
  </si>
  <si>
    <t>PUTRA RIZQY NUGRAHA</t>
  </si>
  <si>
    <t>3524070308950001</t>
  </si>
  <si>
    <t>Sedayulawas, 004/001, Sedayulawas, Brondong, Lamongan</t>
  </si>
  <si>
    <t>089512026357</t>
  </si>
  <si>
    <t>085385898971</t>
  </si>
  <si>
    <t>Persiapan</t>
  </si>
  <si>
    <t>K 367</t>
  </si>
  <si>
    <t>AKHMAD ZAINI</t>
  </si>
  <si>
    <t>3514121804830001</t>
  </si>
  <si>
    <t>Diyeng, 006/012, Jeruk Purut, Gempol</t>
  </si>
  <si>
    <t>085812580558</t>
  </si>
  <si>
    <t>085730094268</t>
  </si>
  <si>
    <t>K 280</t>
  </si>
  <si>
    <t>ABD AZIS</t>
  </si>
  <si>
    <t>3516051106850001</t>
  </si>
  <si>
    <t>Wonosari, 003/003, Wonosari, Ngoro</t>
  </si>
  <si>
    <t>085707191997</t>
  </si>
  <si>
    <t>085731748399</t>
  </si>
  <si>
    <t>15047449234</t>
  </si>
  <si>
    <t>ALEX INDRIAWAN</t>
  </si>
  <si>
    <t>3517121310990002</t>
  </si>
  <si>
    <t>Babadan, 004/002, Wuluh, Kesamben, Jombang</t>
  </si>
  <si>
    <t>6141025420</t>
  </si>
  <si>
    <t>ALFAN MUHAIMIN</t>
  </si>
  <si>
    <t>3515022411980001</t>
  </si>
  <si>
    <t>Jedong, 011/003, Jedongcangkring, Prambon</t>
  </si>
  <si>
    <t>6141010937</t>
  </si>
  <si>
    <t>SUYANTO</t>
  </si>
  <si>
    <t>Pisau</t>
  </si>
  <si>
    <t>3516060303820001</t>
  </si>
  <si>
    <t>Arjosari, 001/001, Randuharjo, Pungging</t>
  </si>
  <si>
    <t>081232935434</t>
  </si>
  <si>
    <t>0001141673174</t>
  </si>
  <si>
    <t>RUSMAWAN</t>
  </si>
  <si>
    <t>APR, Setting, Draft</t>
  </si>
  <si>
    <t>Koord Setting</t>
  </si>
  <si>
    <t>35171225110730003</t>
  </si>
  <si>
    <t>Babadan, 004/002, Wuluh, Kesamben</t>
  </si>
  <si>
    <t>085232444474</t>
  </si>
  <si>
    <t>K 220</t>
  </si>
  <si>
    <t>WANUJI</t>
  </si>
  <si>
    <t>Setting</t>
  </si>
  <si>
    <t>3516051911820001</t>
  </si>
  <si>
    <t>Glatik, 02/04, Watesnegoro, Ngoro</t>
  </si>
  <si>
    <t>085608725859</t>
  </si>
  <si>
    <t>085749942500</t>
  </si>
  <si>
    <t>K 275</t>
  </si>
  <si>
    <t>RIZAL RAMADHAN</t>
  </si>
  <si>
    <t>3509211306830004</t>
  </si>
  <si>
    <t>Buluresik, 017/004, Manduro MG, Ngoro</t>
  </si>
  <si>
    <t>085732136889</t>
  </si>
  <si>
    <t>085852685530</t>
  </si>
  <si>
    <t>K 169</t>
  </si>
  <si>
    <t>AGUS TARUNO WIBOWO</t>
  </si>
  <si>
    <t>APR</t>
  </si>
  <si>
    <t>3516050108840005</t>
  </si>
  <si>
    <t>Manduro, 011/003, Manduro MG, Ngoro</t>
  </si>
  <si>
    <t>085706745213</t>
  </si>
  <si>
    <t>085852566951</t>
  </si>
  <si>
    <t>0001895144951</t>
  </si>
  <si>
    <t>FARIS FAHMI RIZALDI</t>
  </si>
  <si>
    <t>3515111102020002</t>
  </si>
  <si>
    <t>Bareng Krajan, 002/001, Bareng Krajan, Krian</t>
  </si>
  <si>
    <t>088803877973</t>
  </si>
  <si>
    <t>GIBRAN MAULANA NAUFALDY</t>
  </si>
  <si>
    <t>3578011606020001</t>
  </si>
  <si>
    <t>Warugunung, 002/001, Warugunung, Karangpilang, Surabaya</t>
  </si>
  <si>
    <t>083849560464</t>
  </si>
  <si>
    <t>DWI CAHYONO</t>
  </si>
  <si>
    <t>ACHMAD TAUFIQ</t>
  </si>
  <si>
    <t>Graha Surya Mas, Dusun Ngagrok, Desa Tempel, Kec. Krian, Kab. Sidoarjo</t>
  </si>
  <si>
    <t xml:space="preserve">DEWI KUMALA SARI </t>
  </si>
  <si>
    <t xml:space="preserve">Wonocolo rt.13 rw.05 no.05 taman sidoarjo </t>
  </si>
  <si>
    <t>SAFRILLAIL DWI ARDIANSYAH</t>
  </si>
  <si>
    <t>3522141004030004</t>
  </si>
  <si>
    <t>Bakalan, 011/002, Kapas, Bojonegoro</t>
  </si>
  <si>
    <t>085156376722</t>
  </si>
  <si>
    <t>TRI WIJININGSIH</t>
  </si>
  <si>
    <t>Dsn. Wates RT 04 RW 08 Ds. Wates negoro, kec. Ngoro kab. Mojokerto</t>
  </si>
  <si>
    <t xml:space="preserve">AFRIDAH LAILIA HANUM </t>
  </si>
  <si>
    <t>Dsn. Mengungkung RT 003/RW 001 Ds. Simbaringin Kec. Kutorejo Kab. Mojokerto</t>
  </si>
  <si>
    <t>EMKA AKBAR REZA</t>
  </si>
  <si>
    <t>MUKHAMMAD MISBAKHUL UMAM</t>
  </si>
  <si>
    <t>7415435754</t>
  </si>
  <si>
    <t>REFRINA CHARISSADI FIRDAUS</t>
  </si>
  <si>
    <t>6140994896</t>
  </si>
  <si>
    <t>SUCIPTO</t>
  </si>
  <si>
    <t>PRODUKSI</t>
  </si>
  <si>
    <t>CORR</t>
  </si>
  <si>
    <t xml:space="preserve">BENNY OKTA SUSILA </t>
  </si>
  <si>
    <t>UMUM</t>
  </si>
  <si>
    <t>3516140810920001</t>
  </si>
  <si>
    <t>Ngudu Lor, 003/007, Bandung, Gedeg</t>
  </si>
  <si>
    <t>087806365041</t>
  </si>
  <si>
    <t>085704778477</t>
  </si>
  <si>
    <t>RANGGI AULIA WIRAWAN</t>
  </si>
  <si>
    <t>3516070404930001</t>
  </si>
  <si>
    <t>Sambisari, 011/005, Kutorejo, Kutorejo</t>
  </si>
  <si>
    <t>08977294352</t>
  </si>
  <si>
    <t>089683034625</t>
  </si>
  <si>
    <t>AGUS SUMANJAYA</t>
  </si>
  <si>
    <t>3516060503910001</t>
  </si>
  <si>
    <t>Banyuurip, 001/001, Mojorejo, Pungging</t>
  </si>
  <si>
    <t>08155639580</t>
  </si>
  <si>
    <t>085731203438</t>
  </si>
  <si>
    <t>MIFTAFUL DICKI LIBEA AMANA</t>
  </si>
  <si>
    <t>T 18</t>
  </si>
  <si>
    <t>MEDI HARIYANTO</t>
  </si>
  <si>
    <t>3516052605780002</t>
  </si>
  <si>
    <t>Glatik, 002/002, Watesnegoro, Ngoro</t>
  </si>
  <si>
    <t>085607220299</t>
  </si>
  <si>
    <t>087703260760</t>
  </si>
  <si>
    <t>0001130405286</t>
  </si>
  <si>
    <t>K 011</t>
  </si>
  <si>
    <t>BAGAS HARI PURNOMO</t>
  </si>
  <si>
    <t>KASHIFT</t>
  </si>
  <si>
    <t>3518152305820001</t>
  </si>
  <si>
    <t>Patung, 003/002, Pungging, Pungging</t>
  </si>
  <si>
    <t>08786633255</t>
  </si>
  <si>
    <t>087742150886</t>
  </si>
  <si>
    <t>K 012</t>
  </si>
  <si>
    <t>M FARCHUL HUDI</t>
  </si>
  <si>
    <t>3516051909810002</t>
  </si>
  <si>
    <t>081239007411</t>
  </si>
  <si>
    <t>081332822678</t>
  </si>
  <si>
    <t>0001148211832</t>
  </si>
  <si>
    <t>ZAINUL ARIFIN 1</t>
  </si>
  <si>
    <t>3516061204750001</t>
  </si>
  <si>
    <t>085648756767</t>
  </si>
  <si>
    <t>081228811280</t>
  </si>
  <si>
    <t>0001130410124</t>
  </si>
  <si>
    <t>K 018</t>
  </si>
  <si>
    <t>SYARONI</t>
  </si>
  <si>
    <t>B Flute</t>
  </si>
  <si>
    <t>Zainul</t>
  </si>
  <si>
    <t>3516051407830001</t>
  </si>
  <si>
    <t>Buluresik, 018/004, Manduro MG, Ngoro</t>
  </si>
  <si>
    <t>081559996522</t>
  </si>
  <si>
    <t>082230299630</t>
  </si>
  <si>
    <t>0001146175053</t>
  </si>
  <si>
    <t>K-008</t>
  </si>
  <si>
    <t>ABDUL ROHMAN</t>
  </si>
  <si>
    <t>Bagas</t>
  </si>
  <si>
    <t>3516052703800001</t>
  </si>
  <si>
    <t>Gunung Sari, 003/001, Watesnegoro, Ngoro</t>
  </si>
  <si>
    <t>081555440800</t>
  </si>
  <si>
    <t>081520382358</t>
  </si>
  <si>
    <t>0001141677448</t>
  </si>
  <si>
    <t>k 270</t>
  </si>
  <si>
    <t>AGUS SUGIARTO</t>
  </si>
  <si>
    <t>3516052508900002</t>
  </si>
  <si>
    <t>Manduro, 013/003, Manduro MG, Ngoro</t>
  </si>
  <si>
    <t>082195637413</t>
  </si>
  <si>
    <t>082232917223</t>
  </si>
  <si>
    <t>K 291</t>
  </si>
  <si>
    <t>IMAM WAHYUDI</t>
  </si>
  <si>
    <t>Hudi</t>
  </si>
  <si>
    <t>3516050111620006</t>
  </si>
  <si>
    <t>Bangsri, 002/002, Kembangsri, Ngoro</t>
  </si>
  <si>
    <t>085730919623</t>
  </si>
  <si>
    <t>0001895055682</t>
  </si>
  <si>
    <t>K-044</t>
  </si>
  <si>
    <t>IRWAN SUGIANTO</t>
  </si>
  <si>
    <t>C Flute</t>
  </si>
  <si>
    <t>3516071101840001</t>
  </si>
  <si>
    <t>Kenjoro. 005/002, Windurejo, Kutorejo</t>
  </si>
  <si>
    <t>081935035700</t>
  </si>
  <si>
    <t>085648955159</t>
  </si>
  <si>
    <t>11024228667001</t>
  </si>
  <si>
    <t>K-356</t>
  </si>
  <si>
    <t>RUDI HARTANTO</t>
  </si>
  <si>
    <t>3514120810920002</t>
  </si>
  <si>
    <t>Jurang Pelen Tegalan, 001/019, Bulusari, Gempol</t>
  </si>
  <si>
    <t>085815675415</t>
  </si>
  <si>
    <t>085607014935</t>
  </si>
  <si>
    <t>18089051215</t>
  </si>
  <si>
    <t>K-358</t>
  </si>
  <si>
    <t xml:space="preserve"> DARMAJI</t>
  </si>
  <si>
    <t>3516072807800001</t>
  </si>
  <si>
    <t>Glatik, 004/005, Watesnegoro, Ngoro</t>
  </si>
  <si>
    <t>0882010327313</t>
  </si>
  <si>
    <t>18089051231</t>
  </si>
  <si>
    <t>K 122</t>
  </si>
  <si>
    <t>SYAIFUDIN</t>
  </si>
  <si>
    <t>NC Cutter</t>
  </si>
  <si>
    <t>3516051310820003</t>
  </si>
  <si>
    <t>Adisono, 003/002, Lebaksono, Pungging</t>
  </si>
  <si>
    <t>085791738902</t>
  </si>
  <si>
    <t>085646132487</t>
  </si>
  <si>
    <t>K 357</t>
  </si>
  <si>
    <t>JAPIR SUNYOTO</t>
  </si>
  <si>
    <t>3516060303880004</t>
  </si>
  <si>
    <t>Simpang, 002/001, Simpang, Prambon</t>
  </si>
  <si>
    <t>081515201226</t>
  </si>
  <si>
    <t>K 227</t>
  </si>
  <si>
    <t>MOHAMMAD FUAD</t>
  </si>
  <si>
    <t>3516051302850003</t>
  </si>
  <si>
    <t>081514186979</t>
  </si>
  <si>
    <t>085791740131</t>
  </si>
  <si>
    <t>K 193</t>
  </si>
  <si>
    <t>ANDIK ALFATA</t>
  </si>
  <si>
    <t>Double Backer</t>
  </si>
  <si>
    <t>3516050901770002</t>
  </si>
  <si>
    <t>Kecapangan, 003/003, Ngoro, Ngoro</t>
  </si>
  <si>
    <t>082143624593</t>
  </si>
  <si>
    <t>082139943520</t>
  </si>
  <si>
    <t>K 355</t>
  </si>
  <si>
    <t>MUNDIR</t>
  </si>
  <si>
    <t>3516051003850002</t>
  </si>
  <si>
    <t>Jl Hamengkubowono, 003/010, Seduri, Mojosari</t>
  </si>
  <si>
    <t>089620103094</t>
  </si>
  <si>
    <t>K-030</t>
  </si>
  <si>
    <t>SUKAMTO</t>
  </si>
  <si>
    <t>3514120101800001</t>
  </si>
  <si>
    <t>Manduro, 005/001, Manduro MG, Ngoro</t>
  </si>
  <si>
    <t>081357063657</t>
  </si>
  <si>
    <t>081515687522</t>
  </si>
  <si>
    <t>0001308667566</t>
  </si>
  <si>
    <t>JALI</t>
  </si>
  <si>
    <t>Glue</t>
  </si>
  <si>
    <t>3516051505820005</t>
  </si>
  <si>
    <t>Wates, 001/008, Watesnegoro, Ngoro</t>
  </si>
  <si>
    <t>081553843226</t>
  </si>
  <si>
    <t>08548504487</t>
  </si>
  <si>
    <t>02N50063453</t>
  </si>
  <si>
    <t>K-049</t>
  </si>
  <si>
    <t>EKO HADI KUSUMO</t>
  </si>
  <si>
    <t>3516050111830002</t>
  </si>
  <si>
    <t>Jajar, 006/002, Jasem, Ngoro</t>
  </si>
  <si>
    <t>081217620883</t>
  </si>
  <si>
    <t>0821324301066</t>
  </si>
  <si>
    <t>NUR WAHYUDI</t>
  </si>
  <si>
    <t>3516060808890003</t>
  </si>
  <si>
    <t>Pungging, 002/004, Pungging, Pungging</t>
  </si>
  <si>
    <t>0895343019288</t>
  </si>
  <si>
    <t>085766429972</t>
  </si>
  <si>
    <t>K 369</t>
  </si>
  <si>
    <t>MUCHAMAD HERMAWAN</t>
  </si>
  <si>
    <t>WAKIL OPERATOR</t>
  </si>
  <si>
    <t>3516060704970002</t>
  </si>
  <si>
    <t>085336600900</t>
  </si>
  <si>
    <t>0003053675182</t>
  </si>
  <si>
    <t>WAHYU SATRIO SETIAWAN</t>
  </si>
  <si>
    <t>3516050110990003</t>
  </si>
  <si>
    <t>Sebani, RT, 03/ RW, 01, Tanjangrono, Ngoro</t>
  </si>
  <si>
    <t>085843159569</t>
  </si>
  <si>
    <t>085645552712</t>
  </si>
  <si>
    <t>HL-017</t>
  </si>
  <si>
    <t>SUYONO 1</t>
  </si>
  <si>
    <t>3506020305800008</t>
  </si>
  <si>
    <t>HL-111</t>
  </si>
  <si>
    <t>SUDARMANTO</t>
  </si>
  <si>
    <t>3516052505910003</t>
  </si>
  <si>
    <t>Glatik, Watesnegoro, Ngoro</t>
  </si>
  <si>
    <t>085859520901</t>
  </si>
  <si>
    <t>082229461805</t>
  </si>
  <si>
    <t>DENI ADI SETIAWAN</t>
  </si>
  <si>
    <t>3516061703980001</t>
  </si>
  <si>
    <t>081945381597</t>
  </si>
  <si>
    <t>DWI HARIYANTO</t>
  </si>
  <si>
    <t>Dorong WIP</t>
  </si>
  <si>
    <t>3516062006930001</t>
  </si>
  <si>
    <t>085785337558</t>
  </si>
  <si>
    <t>085859105362</t>
  </si>
  <si>
    <t>IMAM SYAFI'I 2</t>
  </si>
  <si>
    <t>3516051206980003</t>
  </si>
  <si>
    <t>Kecapangan, 002/005, Ngoro, Ngoro</t>
  </si>
  <si>
    <t>087856813829</t>
  </si>
  <si>
    <t>081958466428</t>
  </si>
  <si>
    <t>SOLTAN RIYANTO</t>
  </si>
  <si>
    <t>3516061901040002</t>
  </si>
  <si>
    <t>085669619873</t>
  </si>
  <si>
    <t>085746031495</t>
  </si>
  <si>
    <t>MARSONO</t>
  </si>
  <si>
    <t>3516060702880003</t>
  </si>
  <si>
    <t>Pungging, 003/003, Pungging, Pungging</t>
  </si>
  <si>
    <t>087770451868</t>
  </si>
  <si>
    <t>085736137220</t>
  </si>
  <si>
    <t>ACHMAD AGUNG FAUJI</t>
  </si>
  <si>
    <t>3516050807940001</t>
  </si>
  <si>
    <t>Gunungsari, 001/001, Watesnegoro, Ngoro</t>
  </si>
  <si>
    <t>085336182067</t>
  </si>
  <si>
    <t>085259348910</t>
  </si>
  <si>
    <t>AINUL ROFIK</t>
  </si>
  <si>
    <t>3516060406910001</t>
  </si>
  <si>
    <t>Kebonsari, RT. 20/ RW. 08, Sekargadung</t>
  </si>
  <si>
    <t>087857327352</t>
  </si>
  <si>
    <t>BAGUS WICAKSONO</t>
  </si>
  <si>
    <t>WIP</t>
  </si>
  <si>
    <t>3516062309930001</t>
  </si>
  <si>
    <t>Pungging, 003/005. Pungging, Pungging</t>
  </si>
  <si>
    <t>081218162774</t>
  </si>
  <si>
    <t>SUGIYANTO</t>
  </si>
  <si>
    <t>3515091510810005</t>
  </si>
  <si>
    <t>Sudimoro Utara, 002/001, Sudimoro, Tulangan</t>
  </si>
  <si>
    <t>BERTHOLOMEUS PI</t>
  </si>
  <si>
    <t>53080903040000001</t>
  </si>
  <si>
    <t>Japanan, 011/012, Melikan</t>
  </si>
  <si>
    <t>0895323712901</t>
  </si>
  <si>
    <t>087861912977</t>
  </si>
  <si>
    <t>REYNALDO</t>
  </si>
  <si>
    <t>3151873179</t>
  </si>
  <si>
    <t>ROBBY INDRA KUSUMA</t>
  </si>
  <si>
    <t>FLEXO</t>
  </si>
  <si>
    <t>K 248</t>
  </si>
  <si>
    <t>MUKHLISIN</t>
  </si>
  <si>
    <t>3516051007900002</t>
  </si>
  <si>
    <t>Manduro, 0011/003, Manduro MG, Ngoro</t>
  </si>
  <si>
    <t>085707471666</t>
  </si>
  <si>
    <t>MAULIA FIGO ARIAN DIVA</t>
  </si>
  <si>
    <t>ANASRULLAH</t>
  </si>
  <si>
    <t>AGUS SUTRISNO</t>
  </si>
  <si>
    <t>PENDI RUMINTO</t>
  </si>
  <si>
    <t>3514110809750007</t>
  </si>
  <si>
    <t>Jl WR Supratman, 002/001, Kanyuran, Tawangrejo</t>
  </si>
  <si>
    <t>085816113620</t>
  </si>
  <si>
    <t>K-002</t>
  </si>
  <si>
    <t>SUNARIYO</t>
  </si>
  <si>
    <t>3516050502800004</t>
  </si>
  <si>
    <t>081515166900</t>
  </si>
  <si>
    <t>085856181641</t>
  </si>
  <si>
    <t>REKI CAHYA ABIANDSA</t>
  </si>
  <si>
    <t>3576011801990002</t>
  </si>
  <si>
    <t>Lingk, Balongkrai, 006/001, Pulorejo, Prajurit Kulon</t>
  </si>
  <si>
    <t>6105461228</t>
  </si>
  <si>
    <t>K 095</t>
  </si>
  <si>
    <t>AHMAD KHOIRI</t>
  </si>
  <si>
    <t>Flexo 1</t>
  </si>
  <si>
    <t>3516051205790007</t>
  </si>
  <si>
    <t>085730534600</t>
  </si>
  <si>
    <t>08983911357</t>
  </si>
  <si>
    <t>0001142700816</t>
  </si>
  <si>
    <t>K-163</t>
  </si>
  <si>
    <t>HASBULLOH HUDA</t>
  </si>
  <si>
    <t>Flexo 2</t>
  </si>
  <si>
    <t>Figo</t>
  </si>
  <si>
    <t>3516052010860003</t>
  </si>
  <si>
    <t>Pungging, 004/003, Pungging, Pungging</t>
  </si>
  <si>
    <t>0895341879000</t>
  </si>
  <si>
    <t>0895334861267</t>
  </si>
  <si>
    <t>0001895090589</t>
  </si>
  <si>
    <t>K 056</t>
  </si>
  <si>
    <t>JUMADI</t>
  </si>
  <si>
    <t>Anas</t>
  </si>
  <si>
    <t>3514122212790002</t>
  </si>
  <si>
    <t>Bandulan, 001/007, Kejapanan, Gempol</t>
  </si>
  <si>
    <t>0881026189054</t>
  </si>
  <si>
    <t>15047449614</t>
  </si>
  <si>
    <t>K 053</t>
  </si>
  <si>
    <t>MUH SUDIONO</t>
  </si>
  <si>
    <t>Muklis</t>
  </si>
  <si>
    <t>3516050406820001</t>
  </si>
  <si>
    <t>Manduro, 004/001, Manduro MG, Ngoro</t>
  </si>
  <si>
    <t>085854259959</t>
  </si>
  <si>
    <t>K-164</t>
  </si>
  <si>
    <t>KHOIRUL ANAM</t>
  </si>
  <si>
    <t xml:space="preserve">Flexo 4 </t>
  </si>
  <si>
    <t>3516050906860003</t>
  </si>
  <si>
    <t>085807401052</t>
  </si>
  <si>
    <t>085792556964</t>
  </si>
  <si>
    <t>K-118</t>
  </si>
  <si>
    <t>KOKO WICAHYONO</t>
  </si>
  <si>
    <t>Flexo 4</t>
  </si>
  <si>
    <t>3515021009800003</t>
  </si>
  <si>
    <t>Wonosari, 006/002, Klantingsari, Tarik</t>
  </si>
  <si>
    <t>085231317901</t>
  </si>
  <si>
    <t>08523335261</t>
  </si>
  <si>
    <t>0001895140809</t>
  </si>
  <si>
    <t>K-090</t>
  </si>
  <si>
    <t>TAUFIQ HIDAYAT</t>
  </si>
  <si>
    <t>3515051511820005</t>
  </si>
  <si>
    <t>Ngering, 012/005, Legok, Gempol</t>
  </si>
  <si>
    <t>088230649074</t>
  </si>
  <si>
    <t>0882009461337</t>
  </si>
  <si>
    <t>HL-039</t>
  </si>
  <si>
    <t>IFTAHUR ROZIKIN</t>
  </si>
  <si>
    <t>Flexo 5</t>
  </si>
  <si>
    <t>3516050212920001</t>
  </si>
  <si>
    <t>Mojo, 001/005, Kesemen, Ngoro</t>
  </si>
  <si>
    <t>087722206259</t>
  </si>
  <si>
    <t>085706312195</t>
  </si>
  <si>
    <t>K-165</t>
  </si>
  <si>
    <t>MUHAMMAD NUR ROKHIM</t>
  </si>
  <si>
    <t>3516050501860001</t>
  </si>
  <si>
    <t>085852226249</t>
  </si>
  <si>
    <t>085655515577</t>
  </si>
  <si>
    <t>K-098</t>
  </si>
  <si>
    <t>ANDIK IRAWAN</t>
  </si>
  <si>
    <t>3516050705840001</t>
  </si>
  <si>
    <t>085854903199</t>
  </si>
  <si>
    <t>0001141677472</t>
  </si>
  <si>
    <t>K-144</t>
  </si>
  <si>
    <t>SUMALIYANTO</t>
  </si>
  <si>
    <t>Flexo 6</t>
  </si>
  <si>
    <t>3516050601850002</t>
  </si>
  <si>
    <t>Manduro, 022/005, Manduro MG, Ngoro</t>
  </si>
  <si>
    <t>081515655372</t>
  </si>
  <si>
    <t>085815134996</t>
  </si>
  <si>
    <t>K-309</t>
  </si>
  <si>
    <t>M SAIDIL ZAINURI</t>
  </si>
  <si>
    <t>3516051508880002</t>
  </si>
  <si>
    <t>08565555591</t>
  </si>
  <si>
    <t>089699901911</t>
  </si>
  <si>
    <t>K-101</t>
  </si>
  <si>
    <t>EKA CAHYANTO</t>
  </si>
  <si>
    <t>3516051308830001</t>
  </si>
  <si>
    <t>085748476403</t>
  </si>
  <si>
    <t>089509389516</t>
  </si>
  <si>
    <t>0001142700772</t>
  </si>
  <si>
    <t>HL-233</t>
  </si>
  <si>
    <t>ANDRI SETIAWAN</t>
  </si>
  <si>
    <t>Flexo 7</t>
  </si>
  <si>
    <t>3516051203930002</t>
  </si>
  <si>
    <t>Glatik, 002/004, Watesnegoro, Ngoro</t>
  </si>
  <si>
    <t>085733824711</t>
  </si>
  <si>
    <t>085606094784</t>
  </si>
  <si>
    <t>K 242</t>
  </si>
  <si>
    <t>BUDI KUSWANTO</t>
  </si>
  <si>
    <t>3516052705810002</t>
  </si>
  <si>
    <t>085856596736</t>
  </si>
  <si>
    <t>081333209440</t>
  </si>
  <si>
    <t>HL-036</t>
  </si>
  <si>
    <t>TARMAJI</t>
  </si>
  <si>
    <t>3516052507870003</t>
  </si>
  <si>
    <t>085732717036</t>
  </si>
  <si>
    <t>082338082027</t>
  </si>
  <si>
    <t>K-152</t>
  </si>
  <si>
    <t>ROKHIM</t>
  </si>
  <si>
    <t>Flexo 8</t>
  </si>
  <si>
    <t>3516050510830002</t>
  </si>
  <si>
    <t>0895321295457</t>
  </si>
  <si>
    <t>085606076660</t>
  </si>
  <si>
    <t>0001143279246</t>
  </si>
  <si>
    <t>K 233</t>
  </si>
  <si>
    <t>AGUS SOLEH</t>
  </si>
  <si>
    <t>3516052008890005</t>
  </si>
  <si>
    <t>085730441911</t>
  </si>
  <si>
    <t>085730442090</t>
  </si>
  <si>
    <t>0001123400766</t>
  </si>
  <si>
    <t>K 150</t>
  </si>
  <si>
    <t>AMIN THOHARI</t>
  </si>
  <si>
    <t>3516050103850003</t>
  </si>
  <si>
    <t>085755729993</t>
  </si>
  <si>
    <t>085606758014</t>
  </si>
  <si>
    <t>0001141673152</t>
  </si>
  <si>
    <t>YUNUS DWI PRASETYO</t>
  </si>
  <si>
    <t>Flexo 9</t>
  </si>
  <si>
    <t>3516061804980004</t>
  </si>
  <si>
    <t>Manukan, 002/006, Balongmasin, Pungging</t>
  </si>
  <si>
    <t>082336743780</t>
  </si>
  <si>
    <t>081953651037</t>
  </si>
  <si>
    <t>HL-239</t>
  </si>
  <si>
    <t>IMAM SYAFI'I 1</t>
  </si>
  <si>
    <t>3516052206930001</t>
  </si>
  <si>
    <t>Pungging, 004/004, Pungging, Pungging</t>
  </si>
  <si>
    <t>0895380833800</t>
  </si>
  <si>
    <t>085746032172</t>
  </si>
  <si>
    <t>K 064</t>
  </si>
  <si>
    <t>HERI TRIONO</t>
  </si>
  <si>
    <t>3516052011750001</t>
  </si>
  <si>
    <t>0895327454333</t>
  </si>
  <si>
    <t>085645532855</t>
  </si>
  <si>
    <t>DIDIK SANTOSO</t>
  </si>
  <si>
    <t>3516061709860001</t>
  </si>
  <si>
    <t>Pungging, 006/005, Pungging, Pungging</t>
  </si>
  <si>
    <t>085746032884</t>
  </si>
  <si>
    <t>082233431622</t>
  </si>
  <si>
    <t>YUDA PRATAMA</t>
  </si>
  <si>
    <t>3516060503990001</t>
  </si>
  <si>
    <t>Saradan, 002/004, Purworejo, Pungging</t>
  </si>
  <si>
    <t>083829999658</t>
  </si>
  <si>
    <t>087866773594</t>
  </si>
  <si>
    <t>RENALDY PAMUNGKAS</t>
  </si>
  <si>
    <t>3516062705990001</t>
  </si>
  <si>
    <t>085974108525</t>
  </si>
  <si>
    <t>085895606669</t>
  </si>
  <si>
    <t>BUDI SUHENDRA</t>
  </si>
  <si>
    <t>3516062911950001</t>
  </si>
  <si>
    <t>085606164551</t>
  </si>
  <si>
    <t>085606164556</t>
  </si>
  <si>
    <t>DINNO CAHYONO PUTRA</t>
  </si>
  <si>
    <t>3515101512970001</t>
  </si>
  <si>
    <t>Pager, 004/001, Pagerngumbuk, Wonoayu</t>
  </si>
  <si>
    <t>085643536572</t>
  </si>
  <si>
    <t>089644593161</t>
  </si>
  <si>
    <t>PARIADI</t>
  </si>
  <si>
    <t>3516061908820001</t>
  </si>
  <si>
    <t>081554142344</t>
  </si>
  <si>
    <t xml:space="preserve">HL-258
</t>
  </si>
  <si>
    <t>PINGKI IMAM BASUKI</t>
  </si>
  <si>
    <t>3516061706960004</t>
  </si>
  <si>
    <t>0895803300526</t>
  </si>
  <si>
    <t>085784911355</t>
  </si>
  <si>
    <t>HL-060</t>
  </si>
  <si>
    <t>SUTONO 2</t>
  </si>
  <si>
    <t>3516052903920004</t>
  </si>
  <si>
    <t>Sekantong, 001/001, Kunjorowesi, Ngoro</t>
  </si>
  <si>
    <t>085855099336</t>
  </si>
  <si>
    <t>0895392134141</t>
  </si>
  <si>
    <t>HL-234</t>
  </si>
  <si>
    <t>JAINUL ARIFIN</t>
  </si>
  <si>
    <t>3516060102970001</t>
  </si>
  <si>
    <t>0895804188030</t>
  </si>
  <si>
    <t>089514035923</t>
  </si>
  <si>
    <t>HL-058</t>
  </si>
  <si>
    <t>IRON MUNDIR</t>
  </si>
  <si>
    <t>3516050608920004</t>
  </si>
  <si>
    <t>085648636180</t>
  </si>
  <si>
    <t>085731875394</t>
  </si>
  <si>
    <t>HL-052</t>
  </si>
  <si>
    <t>FATHUR ROHMAN</t>
  </si>
  <si>
    <t>3516050210880002</t>
  </si>
  <si>
    <t>Manduro, 007/002, Manduro, Ngoro</t>
  </si>
  <si>
    <t>081615159484</t>
  </si>
  <si>
    <t>085856596394</t>
  </si>
  <si>
    <t>HL-032</t>
  </si>
  <si>
    <t>AHMAD SHALEH</t>
  </si>
  <si>
    <t>3516040201840001</t>
  </si>
  <si>
    <t>Jedong wetan, 024/002, Wotanmasjedong, Ngoro</t>
  </si>
  <si>
    <t>085785844496</t>
  </si>
  <si>
    <t>085813349332</t>
  </si>
  <si>
    <t>HL-056</t>
  </si>
  <si>
    <t>HERI PURNOMO</t>
  </si>
  <si>
    <t>3516051110900001</t>
  </si>
  <si>
    <t>Manduro, 003/001, Manduro MG, Ngoro</t>
  </si>
  <si>
    <t>081615471313</t>
  </si>
  <si>
    <t>081775114836</t>
  </si>
  <si>
    <t>M SHOLEH</t>
  </si>
  <si>
    <t>3516051803900001</t>
  </si>
  <si>
    <t>Kecapangan, 001/005, Ngoro, Ngoro</t>
  </si>
  <si>
    <t>085852295477</t>
  </si>
  <si>
    <t>081336013735</t>
  </si>
  <si>
    <t>HL-206</t>
  </si>
  <si>
    <t>ANDI SUJARWO</t>
  </si>
  <si>
    <t>3513050511880001</t>
  </si>
  <si>
    <t>Karanglo, 003/002, Kembangringgit, Pungging</t>
  </si>
  <si>
    <t>085236870538</t>
  </si>
  <si>
    <t>085792701175</t>
  </si>
  <si>
    <t>HL-083</t>
  </si>
  <si>
    <t>ZAINUL ABIDIN</t>
  </si>
  <si>
    <t>3516060711970002</t>
  </si>
  <si>
    <t>Belahan, 019/006, Randubango, Mojosari</t>
  </si>
  <si>
    <t>081299745100</t>
  </si>
  <si>
    <t>081232138654</t>
  </si>
  <si>
    <t>3516101010910001</t>
  </si>
  <si>
    <t>Kauman, 001/001, Bangsal, Bangsal</t>
  </si>
  <si>
    <t>K 127</t>
  </si>
  <si>
    <t>MUHAMMAD YUNUS</t>
  </si>
  <si>
    <t>3516102709990001</t>
  </si>
  <si>
    <t>Pendowo, 009/003, Ngrowo, Bangsal</t>
  </si>
  <si>
    <t>0881036192857</t>
  </si>
  <si>
    <t>087871552226</t>
  </si>
  <si>
    <t>HARDI WIDHI PURBOWO</t>
  </si>
  <si>
    <t>3516062408970005</t>
  </si>
  <si>
    <t>Pungging Krisik, 001/08, Balongmasin, Pungging</t>
  </si>
  <si>
    <t>081331196815</t>
  </si>
  <si>
    <t>085608444965</t>
  </si>
  <si>
    <t>IWAN SUKANTO</t>
  </si>
  <si>
    <t>3516051304870002</t>
  </si>
  <si>
    <t>087759049679</t>
  </si>
  <si>
    <t>083166440411</t>
  </si>
  <si>
    <t>RUDI HARTONO</t>
  </si>
  <si>
    <t>3156052211750003</t>
  </si>
  <si>
    <t>082336741565</t>
  </si>
  <si>
    <t>085184656920</t>
  </si>
  <si>
    <t>MIKO YULIANSA</t>
  </si>
  <si>
    <t>MUHAMMAD JUMAIN</t>
  </si>
  <si>
    <t>3516100310910001</t>
  </si>
  <si>
    <t>085606935192</t>
  </si>
  <si>
    <t>089682919831</t>
  </si>
  <si>
    <t>MOKHAMMAD SUTRISNO</t>
  </si>
  <si>
    <t>3516050403960001</t>
  </si>
  <si>
    <t>Polaman, 002/009, Purwojati, Ngoro</t>
  </si>
  <si>
    <t>085952916756</t>
  </si>
  <si>
    <t>0882009508399</t>
  </si>
  <si>
    <t>MOHAMMAD ALDI YULIANTO</t>
  </si>
  <si>
    <t>3516061807050004</t>
  </si>
  <si>
    <t>082331327391</t>
  </si>
  <si>
    <t>082245692017</t>
  </si>
  <si>
    <t>ABDUL ROY MAFA</t>
  </si>
  <si>
    <t>3516050908070001</t>
  </si>
  <si>
    <t>Manduro MG, 014/003, Manduro Mangungajah</t>
  </si>
  <si>
    <t>087855096412</t>
  </si>
  <si>
    <t>081717586391</t>
  </si>
  <si>
    <t>M. IMAM SOBIRIN</t>
  </si>
  <si>
    <t>3516052304880008</t>
  </si>
  <si>
    <t>085730780711</t>
  </si>
  <si>
    <t>085755202093</t>
  </si>
  <si>
    <t>ADITYA</t>
  </si>
  <si>
    <t>ABULLAIS ASMORO QONDI</t>
  </si>
  <si>
    <t>3516051306920004</t>
  </si>
  <si>
    <t>Sumberbendo, 019/002, Lolawang, Ngoro</t>
  </si>
  <si>
    <t>085646494829</t>
  </si>
  <si>
    <t>085708865716</t>
  </si>
  <si>
    <t>HL-143</t>
  </si>
  <si>
    <t>MUHAMMAD SYAMSUL ARIF HAMDI</t>
  </si>
  <si>
    <t>3516050304940001</t>
  </si>
  <si>
    <t>085804592388</t>
  </si>
  <si>
    <t>085891620441</t>
  </si>
  <si>
    <t>EKO SUNAWAN</t>
  </si>
  <si>
    <t>3516051307850004</t>
  </si>
  <si>
    <t>085746032914</t>
  </si>
  <si>
    <t>EKO SUPRAYITNO</t>
  </si>
  <si>
    <t>3516062412830001</t>
  </si>
  <si>
    <t>085259952957</t>
  </si>
  <si>
    <t>085904338243</t>
  </si>
  <si>
    <t>ACHMAD ISMAIL</t>
  </si>
  <si>
    <t>3516072811920001</t>
  </si>
  <si>
    <t>082331195666</t>
  </si>
  <si>
    <t>085746369426</t>
  </si>
  <si>
    <t>K 132</t>
  </si>
  <si>
    <t>AGUNG DWI LAKSONO</t>
  </si>
  <si>
    <t>3516060705000001</t>
  </si>
  <si>
    <t>085757304392</t>
  </si>
  <si>
    <t>081615246523</t>
  </si>
  <si>
    <t>SUCIPTO 2</t>
  </si>
  <si>
    <t>3516060208990002</t>
  </si>
  <si>
    <t>081339426704</t>
  </si>
  <si>
    <t>085606630496</t>
  </si>
  <si>
    <t>UMAR</t>
  </si>
  <si>
    <t>3516051512840001</t>
  </si>
  <si>
    <t>Ngetrep, 003/002, Sedati, Ngoro</t>
  </si>
  <si>
    <t>081246866117</t>
  </si>
  <si>
    <t>085735168441</t>
  </si>
  <si>
    <t>HAVIS DWI SEPTIYANTO</t>
  </si>
  <si>
    <t>3156060709000001</t>
  </si>
  <si>
    <t>082335195576</t>
  </si>
  <si>
    <t>085866146434</t>
  </si>
  <si>
    <t>AHMAD FAUZAN WAHID</t>
  </si>
  <si>
    <t>3516061004070002</t>
  </si>
  <si>
    <t>Purworejo, 012/002, Purworejo, Pungging</t>
  </si>
  <si>
    <t>6141014401</t>
  </si>
  <si>
    <t>FARUQ AFVERO</t>
  </si>
  <si>
    <t>3516061804030001</t>
  </si>
  <si>
    <t>081330424085</t>
  </si>
  <si>
    <t>081235418518</t>
  </si>
  <si>
    <t>MUHAMMAD IKSANUDIN</t>
  </si>
  <si>
    <t>3516062801050001</t>
  </si>
  <si>
    <t>087719614033</t>
  </si>
  <si>
    <t>082132936502</t>
  </si>
  <si>
    <t>IDRIS</t>
  </si>
  <si>
    <t>3516051706840006</t>
  </si>
  <si>
    <t>085732645876</t>
  </si>
  <si>
    <t>KHOMSIN</t>
  </si>
  <si>
    <t>3154121508780006</t>
  </si>
  <si>
    <t>083856413827</t>
  </si>
  <si>
    <t>MAHFUD</t>
  </si>
  <si>
    <t>3516050708870003</t>
  </si>
  <si>
    <t>085749800044</t>
  </si>
  <si>
    <t>085974108537</t>
  </si>
  <si>
    <t>RONI</t>
  </si>
  <si>
    <t>ENDIN FACHRUDIN MASTHURO</t>
  </si>
  <si>
    <t>3516051607020003</t>
  </si>
  <si>
    <t>Manduro, 001/003, Manduro MG, Ngoro</t>
  </si>
  <si>
    <t>085732507494</t>
  </si>
  <si>
    <t>085732507493</t>
  </si>
  <si>
    <t>AHMAD FADHILAH RAMADHANI</t>
  </si>
  <si>
    <t>3516051310060004</t>
  </si>
  <si>
    <t>085785167626</t>
  </si>
  <si>
    <t>085853948473</t>
  </si>
  <si>
    <t>MUCH SOCHIM</t>
  </si>
  <si>
    <t>3514170108880003</t>
  </si>
  <si>
    <t>Jurang Pelen Tegalan, 002/019, Bulusari, Gempol</t>
  </si>
  <si>
    <t>085649257665</t>
  </si>
  <si>
    <t>085733683660</t>
  </si>
  <si>
    <t>SUTONO 1</t>
  </si>
  <si>
    <t>3516051205770002</t>
  </si>
  <si>
    <t>Manduro, 005/001, Manduro, Ngoro</t>
  </si>
  <si>
    <t>0895428464784</t>
  </si>
  <si>
    <t>MOHAMMAD KHOIRU ULIN NUHA</t>
  </si>
  <si>
    <t>FIRLIAN IRVAQIA FIJAR</t>
  </si>
  <si>
    <t>3516060411040001</t>
  </si>
  <si>
    <t>085855642776</t>
  </si>
  <si>
    <t>082257591237</t>
  </si>
  <si>
    <t>MOKHAMAD DIRLY SAPUTRA</t>
  </si>
  <si>
    <t>3516081008060002</t>
  </si>
  <si>
    <t>Jotangan. 008/004, Jotangan, Mojosari</t>
  </si>
  <si>
    <t>6140878284</t>
  </si>
  <si>
    <t>AGUS PURWANTO</t>
  </si>
  <si>
    <t>3516052205760001</t>
  </si>
  <si>
    <t>085749133235</t>
  </si>
  <si>
    <t>MAULANA TIM TRI S</t>
  </si>
  <si>
    <t>3516061407000002</t>
  </si>
  <si>
    <t>08819643807</t>
  </si>
  <si>
    <t>ALFIAN DWI MARKUS</t>
  </si>
  <si>
    <t>3516060903010002</t>
  </si>
  <si>
    <t>085851642759</t>
  </si>
  <si>
    <t>085646519523</t>
  </si>
  <si>
    <t>AHMAD DIO YANUAR</t>
  </si>
  <si>
    <t>3578040301950004</t>
  </si>
  <si>
    <t>083830998638</t>
  </si>
  <si>
    <t>088231045227</t>
  </si>
  <si>
    <t>MUHAMMAD RUQUL HAIKAL</t>
  </si>
  <si>
    <t>3516061407070001</t>
  </si>
  <si>
    <t>Balongmasin, 003/002, Balongmasin, Pungging</t>
  </si>
  <si>
    <t>6141028437</t>
  </si>
  <si>
    <t>YUDI PRIANTOKO</t>
  </si>
  <si>
    <t>3156061705980006</t>
  </si>
  <si>
    <t>087712647212</t>
  </si>
  <si>
    <t>0878164373532</t>
  </si>
  <si>
    <t>DWI SUTOMO</t>
  </si>
  <si>
    <t>3516052902960002</t>
  </si>
  <si>
    <t>ANGGI YULIANTO</t>
  </si>
  <si>
    <t>TRI SATRIA HADI HIDAYAT</t>
  </si>
  <si>
    <t>3516052101070002</t>
  </si>
  <si>
    <t>Kecapangan, 005/003, Ngoro, Ngoro</t>
  </si>
  <si>
    <t>083189932969</t>
  </si>
  <si>
    <t>082139696092</t>
  </si>
  <si>
    <t>MUHAMMAD ASYKARU NAASIK</t>
  </si>
  <si>
    <t>3511610108060001</t>
  </si>
  <si>
    <t>Sumberpandan, 020/006, Mojotamping, Bangsal</t>
  </si>
  <si>
    <t>6141021343</t>
  </si>
  <si>
    <t>MUHAMMAD LATIF</t>
  </si>
  <si>
    <t>3516050901910002</t>
  </si>
  <si>
    <t>Kedungkembar, 003/003, Kedungkembar, Prambon</t>
  </si>
  <si>
    <t>085815374468</t>
  </si>
  <si>
    <t>IMAM SUBANDI</t>
  </si>
  <si>
    <t>3516062205900001</t>
  </si>
  <si>
    <t>Dsn. Pungging, Ds. Pungging, RT 03 /RW 03, Pungging</t>
  </si>
  <si>
    <t>082337528977</t>
  </si>
  <si>
    <t>DIMAS ARI SETIAWAN</t>
  </si>
  <si>
    <t>3516060509040002</t>
  </si>
  <si>
    <t>085792768436</t>
  </si>
  <si>
    <t>085706477205</t>
  </si>
  <si>
    <t>ANGGA HARIANTO</t>
  </si>
  <si>
    <t>MULYADI</t>
  </si>
  <si>
    <t>3516053105720002</t>
  </si>
  <si>
    <t>Manduro, 012/003, Manduro MG, Ngoro</t>
  </si>
  <si>
    <t>085736433677</t>
  </si>
  <si>
    <t>085706703430</t>
  </si>
  <si>
    <t>ALDI PRIYANTO</t>
  </si>
  <si>
    <t>3516051502060002</t>
  </si>
  <si>
    <t>083866298153</t>
  </si>
  <si>
    <t>083835507778</t>
  </si>
  <si>
    <t>AQIL WIGRA KAYANA</t>
  </si>
  <si>
    <t>Wonder</t>
  </si>
  <si>
    <t>3578010809010002</t>
  </si>
  <si>
    <t>Karangpilang GG Anggrek 2/35, 006/001, Karangpilang, Surabaya</t>
  </si>
  <si>
    <t>081217782298</t>
  </si>
  <si>
    <t>081230980715</t>
  </si>
  <si>
    <t>GUNTUR GUMELAR S</t>
  </si>
  <si>
    <t>DHANA WIJAYA</t>
  </si>
  <si>
    <t>MUHAMMAD IRFAN</t>
  </si>
  <si>
    <t>NON PRINT</t>
  </si>
  <si>
    <t>3516050101810002</t>
  </si>
  <si>
    <t>Gununsari, 002/001, Watesnegoro, Ngoro</t>
  </si>
  <si>
    <t>085748198697</t>
  </si>
  <si>
    <t>00011405695504</t>
  </si>
  <si>
    <t>RIFAI</t>
  </si>
  <si>
    <t>3516051904770005</t>
  </si>
  <si>
    <t>082333531864</t>
  </si>
  <si>
    <t>089504514061</t>
  </si>
  <si>
    <t>02N50063479</t>
  </si>
  <si>
    <t>SUGIANTORO</t>
  </si>
  <si>
    <t>3514122601710002</t>
  </si>
  <si>
    <t>Pabean, 004/004, Kejapanan, Gempol</t>
  </si>
  <si>
    <t>085604537732</t>
  </si>
  <si>
    <t>085648958807</t>
  </si>
  <si>
    <t>0001140569526</t>
  </si>
  <si>
    <t>HERMANTO</t>
  </si>
  <si>
    <t>35160506066790002</t>
  </si>
  <si>
    <t>Manduro MG, 015/003, Manduro MG, Ngoro</t>
  </si>
  <si>
    <t>0858506235644</t>
  </si>
  <si>
    <t>K 134</t>
  </si>
  <si>
    <t>MUSTAKIM</t>
  </si>
  <si>
    <t>3516051911850001</t>
  </si>
  <si>
    <t>Gajah Mungkur, 020/005, Manduro MG, Ngoro</t>
  </si>
  <si>
    <t>085731254087</t>
  </si>
  <si>
    <t>085748137960</t>
  </si>
  <si>
    <t>0001143279224</t>
  </si>
  <si>
    <t>AINUR ROFIQ</t>
  </si>
  <si>
    <t>3516053101860002</t>
  </si>
  <si>
    <t>Kanigoro, 002/008, Pungging</t>
  </si>
  <si>
    <t>085730489775</t>
  </si>
  <si>
    <t>K 040</t>
  </si>
  <si>
    <t>AKHMAD FAUZI</t>
  </si>
  <si>
    <t>3514120505770001</t>
  </si>
  <si>
    <t>Jl Raya Kepulungan No 101, 004/007, Kepulungan, Gempol</t>
  </si>
  <si>
    <t>081251796829</t>
  </si>
  <si>
    <t>0001130410135</t>
  </si>
  <si>
    <t>02N50071076</t>
  </si>
  <si>
    <t>CANDRA PRASAETIAWAN</t>
  </si>
  <si>
    <t>F. Glue 2</t>
  </si>
  <si>
    <t>Rifai</t>
  </si>
  <si>
    <t>3516051612022743</t>
  </si>
  <si>
    <t>Dsn. Jetak, RT.01 / RW. 06, Ds Jasem, Ngoro</t>
  </si>
  <si>
    <t>0895606160946</t>
  </si>
  <si>
    <t>0002501538568</t>
  </si>
  <si>
    <t>SUTRISNO</t>
  </si>
  <si>
    <t>F. Glue 4</t>
  </si>
  <si>
    <t>3516050101800004</t>
  </si>
  <si>
    <t>Manduro, 011/003, Manduro, Ngoro</t>
  </si>
  <si>
    <t>085645206951</t>
  </si>
  <si>
    <t>MUHAMAD SYAFI'I</t>
  </si>
  <si>
    <t>Slitter</t>
  </si>
  <si>
    <t>3514111311720001</t>
  </si>
  <si>
    <t>081259403173</t>
  </si>
  <si>
    <t>15047449317000</t>
  </si>
  <si>
    <t>K 285</t>
  </si>
  <si>
    <t>MUTTAQIN</t>
  </si>
  <si>
    <t>Flat Bad 2</t>
  </si>
  <si>
    <t>3516051706840001</t>
  </si>
  <si>
    <t>085854902990</t>
  </si>
  <si>
    <t>085853033941</t>
  </si>
  <si>
    <t>0001895069215</t>
  </si>
  <si>
    <t>IMAM</t>
  </si>
  <si>
    <t>Partisi</t>
  </si>
  <si>
    <t>K 318</t>
  </si>
  <si>
    <t>ABDUL HAMID</t>
  </si>
  <si>
    <t>Sugiantoro</t>
  </si>
  <si>
    <t>3516050509780005</t>
  </si>
  <si>
    <t>085815135003</t>
  </si>
  <si>
    <t>085136564286</t>
  </si>
  <si>
    <t>ABDULLAH SAMSUL ALIM</t>
  </si>
  <si>
    <t>3516050503930005</t>
  </si>
  <si>
    <t>Glatik, 003/005, Watesnegoro, Ngoro</t>
  </si>
  <si>
    <t>085804592585</t>
  </si>
  <si>
    <t>085745499365</t>
  </si>
  <si>
    <t>016089051249</t>
  </si>
  <si>
    <t>K 154</t>
  </si>
  <si>
    <t>ABDUL MUID</t>
  </si>
  <si>
    <t>3516050310840003</t>
  </si>
  <si>
    <t>Buluresik, 018/004, Manduro, Ngoro</t>
  </si>
  <si>
    <t>085787113071</t>
  </si>
  <si>
    <t>0001142700805</t>
  </si>
  <si>
    <t>K 047</t>
  </si>
  <si>
    <t>ANDI WIBISONO</t>
  </si>
  <si>
    <t>Flat Bad 1</t>
  </si>
  <si>
    <t>3514101911830001</t>
  </si>
  <si>
    <t>Kecicang, 004/004, Ngerong, Gempol</t>
  </si>
  <si>
    <t>085708072723</t>
  </si>
  <si>
    <t>0001141677426</t>
  </si>
  <si>
    <t>HASAN</t>
  </si>
  <si>
    <t>3516050108850002</t>
  </si>
  <si>
    <t>Dsn. Gajah Mungkur, RT. 20/ RW.05, Ds. Manduro</t>
  </si>
  <si>
    <t>085730180304</t>
  </si>
  <si>
    <t>085730441719</t>
  </si>
  <si>
    <t>16009847803000</t>
  </si>
  <si>
    <t>K 283</t>
  </si>
  <si>
    <t>KRISTIAN HADI SISWANTO</t>
  </si>
  <si>
    <t>Putu</t>
  </si>
  <si>
    <t>3516050804830002</t>
  </si>
  <si>
    <t>Glatik, 004/003, Watesnegoro, Ngoro</t>
  </si>
  <si>
    <t>085857340803</t>
  </si>
  <si>
    <t>085730916409</t>
  </si>
  <si>
    <t>00018951122123</t>
  </si>
  <si>
    <t>K 147</t>
  </si>
  <si>
    <t>SLAMET WAHYUDI</t>
  </si>
  <si>
    <t>3516052607820001</t>
  </si>
  <si>
    <t>081515212882</t>
  </si>
  <si>
    <t>0001324450642</t>
  </si>
  <si>
    <t>PURWANTO</t>
  </si>
  <si>
    <t>081241318511</t>
  </si>
  <si>
    <t>LANGGENG BUDIANTO</t>
  </si>
  <si>
    <t>3516062110920001</t>
  </si>
  <si>
    <t>Kesambenwetan, 013/002, Driyorejo</t>
  </si>
  <si>
    <t>081335897502</t>
  </si>
  <si>
    <t>081337771801</t>
  </si>
  <si>
    <t>SUNAWAN</t>
  </si>
  <si>
    <t>RDC</t>
  </si>
  <si>
    <t>3516090101820002</t>
  </si>
  <si>
    <t>Dsn. Sambirejo, Ds. Randugenengan, Dlanggu</t>
  </si>
  <si>
    <t>085649273840</t>
  </si>
  <si>
    <t>22.013.961.2-602.000</t>
  </si>
  <si>
    <t>AGUS PRIYONO</t>
  </si>
  <si>
    <t>3516051605790005</t>
  </si>
  <si>
    <t>08563266672</t>
  </si>
  <si>
    <t>0001141587595</t>
  </si>
  <si>
    <t>DWI KURNIAWAN</t>
  </si>
  <si>
    <t>3516060508040002</t>
  </si>
  <si>
    <t>087845242968</t>
  </si>
  <si>
    <t>081332232457</t>
  </si>
  <si>
    <t>CALVIN TRIO RAMADAN</t>
  </si>
  <si>
    <t>3516060601000001</t>
  </si>
  <si>
    <t>Pekojo, 002/002, Tunggal Pager, Pungging</t>
  </si>
  <si>
    <t>082334350954</t>
  </si>
  <si>
    <t>RAMA SULISTIWAN</t>
  </si>
  <si>
    <t>3516061410040002</t>
  </si>
  <si>
    <t>082142942673</t>
  </si>
  <si>
    <t>085742174177</t>
  </si>
  <si>
    <t>RAHMA DANI</t>
  </si>
  <si>
    <t>3515120811040002</t>
  </si>
  <si>
    <t>Seketi, 002/003, Seketi, Balongbendo</t>
  </si>
  <si>
    <t>0895325196808</t>
  </si>
  <si>
    <t>NUGROHO WIKAN ADI</t>
  </si>
  <si>
    <t>28/11/1998</t>
  </si>
  <si>
    <t>3516052811980002</t>
  </si>
  <si>
    <t>Jasem, 001/004, Jasem, Ngoro</t>
  </si>
  <si>
    <t>081336429417</t>
  </si>
  <si>
    <t xml:space="preserve">KHOIRUL ANAM </t>
  </si>
  <si>
    <t>23/03/1992</t>
  </si>
  <si>
    <t>3516052303920002</t>
  </si>
  <si>
    <t>085748280005</t>
  </si>
  <si>
    <t>ROCHMAD DWI PRASETYO</t>
  </si>
  <si>
    <t>3516080212980002</t>
  </si>
  <si>
    <t>Mojosulur, 001/003, Mojosulur, Mojosari</t>
  </si>
  <si>
    <t>081615503057</t>
  </si>
  <si>
    <t>MOCHAMMAD KRISNA HADI</t>
  </si>
  <si>
    <t>3516080105050002</t>
  </si>
  <si>
    <t>Salen, 004/002, Salen, Bangsal</t>
  </si>
  <si>
    <t>082131749947</t>
  </si>
  <si>
    <t>085886745259</t>
  </si>
  <si>
    <t>AHMAD EFENDI</t>
  </si>
  <si>
    <t>3516053101980003</t>
  </si>
  <si>
    <t>083160601359</t>
  </si>
  <si>
    <t>085856182531</t>
  </si>
  <si>
    <t>AKHMAD FITRIYADI</t>
  </si>
  <si>
    <t>3516091405900001</t>
  </si>
  <si>
    <t>085933546915</t>
  </si>
  <si>
    <t>087841264708</t>
  </si>
  <si>
    <t xml:space="preserve">MOCH MAULANA ALIYUDDIN </t>
  </si>
  <si>
    <t>3516052107050003</t>
  </si>
  <si>
    <t xml:space="preserve">Bandarasri, 003/002, Bandarasri, Ngoro, </t>
  </si>
  <si>
    <t>085730409581</t>
  </si>
  <si>
    <t>081230328099</t>
  </si>
  <si>
    <t>RIZKY ADI CAHYONO</t>
  </si>
  <si>
    <t>3516062205030004</t>
  </si>
  <si>
    <t>081359857055</t>
  </si>
  <si>
    <t>PEBRI ARIFIN</t>
  </si>
  <si>
    <t>3516061102040002</t>
  </si>
  <si>
    <t>Dsn. Pungging, Ds. Pungging, RT 04/RW 05, Pungging</t>
  </si>
  <si>
    <t>087780090141</t>
  </si>
  <si>
    <t>ASRIEL ZULKARNAEN</t>
  </si>
  <si>
    <t>3516060811000001</t>
  </si>
  <si>
    <t>085608444924</t>
  </si>
  <si>
    <t>MOHAMAD ANDREANSYAH</t>
  </si>
  <si>
    <t>3516061311050001</t>
  </si>
  <si>
    <t>085806818242</t>
  </si>
  <si>
    <t>085600094506</t>
  </si>
  <si>
    <t>AHMAD RENDY YULIANTO</t>
  </si>
  <si>
    <t>3516062702060003</t>
  </si>
  <si>
    <t>Jakung, 005/002, Jatilangkung, Pungging</t>
  </si>
  <si>
    <t>085706309359</t>
  </si>
  <si>
    <t>MOCHAMMAD DION</t>
  </si>
  <si>
    <t>3156060909050003</t>
  </si>
  <si>
    <t>085807405784</t>
  </si>
  <si>
    <t>085807405785</t>
  </si>
  <si>
    <t>BAGAS ARIANTA</t>
  </si>
  <si>
    <t>MUCHAMAD ANDRIANTO</t>
  </si>
  <si>
    <t>3516060412960002</t>
  </si>
  <si>
    <t>087897040010</t>
  </si>
  <si>
    <t>JOKO SAMPURNO</t>
  </si>
  <si>
    <t>3516152010930004</t>
  </si>
  <si>
    <t>Randu Wates, 007/004, Mojowatesrejo, Kemlagi</t>
  </si>
  <si>
    <t>085706777420</t>
  </si>
  <si>
    <t>081615403707</t>
  </si>
  <si>
    <t>SIGIT DWI ARIANTO</t>
  </si>
  <si>
    <t>3156062511940002</t>
  </si>
  <si>
    <t>Tempuran, 002/001, Tempuran, Pungging</t>
  </si>
  <si>
    <t>087770299449</t>
  </si>
  <si>
    <t>085015335007</t>
  </si>
  <si>
    <t>MUHAMMAD HARIS SULHU A</t>
  </si>
  <si>
    <t>3516051408020004</t>
  </si>
  <si>
    <t>0881026560824</t>
  </si>
  <si>
    <t>085888555406</t>
  </si>
  <si>
    <t>FEBRI AULA RIJAL</t>
  </si>
  <si>
    <t>3516061409050001</t>
  </si>
  <si>
    <t>Balongmasin, 003/004, Balongmasin, Pungging</t>
  </si>
  <si>
    <t>0882009423950</t>
  </si>
  <si>
    <t>085731131447</t>
  </si>
  <si>
    <t>ARIES DWI ARIYANTO</t>
  </si>
  <si>
    <t>3516060308050004</t>
  </si>
  <si>
    <t>085606094557</t>
  </si>
  <si>
    <t>IMRON ROSYADI</t>
  </si>
  <si>
    <t>3516050108870002</t>
  </si>
  <si>
    <t>085732472206</t>
  </si>
  <si>
    <t>081554674776</t>
  </si>
  <si>
    <t>HERI</t>
  </si>
  <si>
    <t>3516052709710002</t>
  </si>
  <si>
    <t>Dsn. Sdorejo, Ds. Wonosari, Ngoro</t>
  </si>
  <si>
    <t>081559637272</t>
  </si>
  <si>
    <t>ARIYA TOBI HERFANI</t>
  </si>
  <si>
    <t>351610020100004</t>
  </si>
  <si>
    <t>Dsn. Dlimo, Ds Banjartanggul RT. 06/ RW. 07</t>
  </si>
  <si>
    <t>081555645778</t>
  </si>
  <si>
    <t>085749552187</t>
  </si>
  <si>
    <t>SUNARDI</t>
  </si>
  <si>
    <t>3516052105690001</t>
  </si>
  <si>
    <t>Dsn. Glatik, Ds. Watesnegoro RT. 06/ RW. 05</t>
  </si>
  <si>
    <t>089669166921</t>
  </si>
  <si>
    <t>089699875065</t>
  </si>
  <si>
    <t>ACHMAD FARHAN</t>
  </si>
  <si>
    <t>3516052602980002</t>
  </si>
  <si>
    <t>Wonosari, 001/002, Wonosari, Ngoro</t>
  </si>
  <si>
    <t>081953926068</t>
  </si>
  <si>
    <t>085785817385</t>
  </si>
  <si>
    <t>AFIF HIDAYATULLOH</t>
  </si>
  <si>
    <t>BUDI PRASETYO</t>
  </si>
  <si>
    <t>MA</t>
  </si>
  <si>
    <t>3516062302990001</t>
  </si>
  <si>
    <t>Dsn. Pungging, Ds. Pungging, RT 04/RW 03, Pungging</t>
  </si>
  <si>
    <t>087870466314</t>
  </si>
  <si>
    <t>NICHO ANGGA PRATAMA</t>
  </si>
  <si>
    <t>3516091603040002</t>
  </si>
  <si>
    <t>Dsn. Sambirejo, Ds. Randugenengan, RT.02/ RW.01 Dlanggu</t>
  </si>
  <si>
    <t>085731874794</t>
  </si>
  <si>
    <t>AHMAD RUDIANSYAH</t>
  </si>
  <si>
    <t>3516082903900002</t>
  </si>
  <si>
    <t>Pungging, 002/008, Balongmabin, Pungging</t>
  </si>
  <si>
    <t>085607474234</t>
  </si>
  <si>
    <t>WAHYU AGUNG</t>
  </si>
  <si>
    <t>3516062007000001</t>
  </si>
  <si>
    <t>083136211143</t>
  </si>
  <si>
    <t>081217714834</t>
  </si>
  <si>
    <t>SAMSUL ARIFIN</t>
  </si>
  <si>
    <t>3516051607880002</t>
  </si>
  <si>
    <t>089529863021</t>
  </si>
  <si>
    <t>085648367381</t>
  </si>
  <si>
    <t>MUHAMMAD RONI</t>
  </si>
  <si>
    <t>3516061806990002</t>
  </si>
  <si>
    <t>Pungging Krisik, 002/008, Balongmasin, Pungging</t>
  </si>
  <si>
    <t>085606094357</t>
  </si>
  <si>
    <t>KHOMSIN PASHA RAMADHANA</t>
  </si>
  <si>
    <t>3516052610050003</t>
  </si>
  <si>
    <t>Glatik, 004/002, Watesnegoro, Ngoro</t>
  </si>
  <si>
    <t>085608452977</t>
  </si>
  <si>
    <t>085785049877</t>
  </si>
  <si>
    <t>MUHAMMAD TAUFIKUR ROHMAN</t>
  </si>
  <si>
    <t>3516050507990003</t>
  </si>
  <si>
    <t>085807121076</t>
  </si>
  <si>
    <t>085717896591</t>
  </si>
  <si>
    <t>MUHAMMAD ANDI AGUSTINO</t>
  </si>
  <si>
    <t>3516062909050001</t>
  </si>
  <si>
    <t>085708203197</t>
  </si>
  <si>
    <t>085707436314</t>
  </si>
  <si>
    <t>MOH SUGIANTO</t>
  </si>
  <si>
    <t>3516051205850001</t>
  </si>
  <si>
    <t>Watukosek, 005/006, Watukosek, Gempol</t>
  </si>
  <si>
    <t>081615545840</t>
  </si>
  <si>
    <t>08563652790</t>
  </si>
  <si>
    <t>TAUFIK KURROHMAN</t>
  </si>
  <si>
    <t>3516062906010002</t>
  </si>
  <si>
    <t>Pungging, 003/005, Pungging</t>
  </si>
  <si>
    <t>082135612994</t>
  </si>
  <si>
    <t>085236790302</t>
  </si>
  <si>
    <t>MOH HOLILUR ROHMAN</t>
  </si>
  <si>
    <t>3514120611000001</t>
  </si>
  <si>
    <t>Diyeng, 006/002, Jeruk Purut, Gempol</t>
  </si>
  <si>
    <t>0859175744807</t>
  </si>
  <si>
    <t>083854952200</t>
  </si>
  <si>
    <t>RENGGA AHMAD AGUS B</t>
  </si>
  <si>
    <t>3516061603050002</t>
  </si>
  <si>
    <t>Kalitengah, 003/001, Bangun, Pungging</t>
  </si>
  <si>
    <t>0813304344112</t>
  </si>
  <si>
    <t>085336597638</t>
  </si>
  <si>
    <t xml:space="preserve">HABIBUR ROHMAN </t>
  </si>
  <si>
    <t>3516050310020002</t>
  </si>
  <si>
    <t>Manduro, 001/001, Manduro, Ngoro</t>
  </si>
  <si>
    <t>085546219047</t>
  </si>
  <si>
    <t>081215782611</t>
  </si>
  <si>
    <t>MOHAMMAD NURJIANSYAH PUTRA</t>
  </si>
  <si>
    <t>3516060507030004</t>
  </si>
  <si>
    <t>Kebonsari, 026/008, Sekargadung, Pungging</t>
  </si>
  <si>
    <t>085792295778</t>
  </si>
  <si>
    <t>085732634288</t>
  </si>
  <si>
    <t>ALIFUDIN ALFIN</t>
  </si>
  <si>
    <t>3516061306970001</t>
  </si>
  <si>
    <t>085852471075</t>
  </si>
  <si>
    <t>LAIKATEN</t>
  </si>
  <si>
    <t>Stitching</t>
  </si>
  <si>
    <t>3516055207720002</t>
  </si>
  <si>
    <t>Karanggayam, 005/003, Jasem, Ngoro</t>
  </si>
  <si>
    <t>082338416649</t>
  </si>
  <si>
    <t>08987076006</t>
  </si>
  <si>
    <t>UMI HANI</t>
  </si>
  <si>
    <t>3516055405730002</t>
  </si>
  <si>
    <t>085735316650</t>
  </si>
  <si>
    <t>085645133225</t>
  </si>
  <si>
    <t>MASFUFAH</t>
  </si>
  <si>
    <t>3516055603720001</t>
  </si>
  <si>
    <t>Kembangsri, 003/004, Kembangsri, Ngoro</t>
  </si>
  <si>
    <t>08977481709</t>
  </si>
  <si>
    <t>KARYATI</t>
  </si>
  <si>
    <t>3516057004710002</t>
  </si>
  <si>
    <t>Ngoro, 003/002, Ngoro, Ngoro</t>
  </si>
  <si>
    <t>081931882073</t>
  </si>
  <si>
    <t>08224593532</t>
  </si>
  <si>
    <t>FARIDAH</t>
  </si>
  <si>
    <t>3516064104690004</t>
  </si>
  <si>
    <t>Karanglo, 002/002, Kembangringgit, Pungging</t>
  </si>
  <si>
    <t>085850657646</t>
  </si>
  <si>
    <t>089637485445</t>
  </si>
  <si>
    <t>KOMSATUM</t>
  </si>
  <si>
    <t>3516054604750002</t>
  </si>
  <si>
    <t>085648633100</t>
  </si>
  <si>
    <t>PONIJAH</t>
  </si>
  <si>
    <t>3516056304770003</t>
  </si>
  <si>
    <t>085961597553</t>
  </si>
  <si>
    <t>TUMAINAH</t>
  </si>
  <si>
    <t>3516055208850004</t>
  </si>
  <si>
    <t>08819389718</t>
  </si>
  <si>
    <t>085648834948</t>
  </si>
  <si>
    <t>ASTUTIK</t>
  </si>
  <si>
    <t>3516056212840001</t>
  </si>
  <si>
    <t>081312083870</t>
  </si>
  <si>
    <t>0000724013638</t>
  </si>
  <si>
    <t>RINDA SARI WITA</t>
  </si>
  <si>
    <t>3516066711010001</t>
  </si>
  <si>
    <t>085851395376</t>
  </si>
  <si>
    <t>087788800346</t>
  </si>
  <si>
    <t>CINTIA FALEHENDRA</t>
  </si>
  <si>
    <t>3516084209030003</t>
  </si>
  <si>
    <t>Seduri, 03/05, Seduri</t>
  </si>
  <si>
    <t>081216859809</t>
  </si>
  <si>
    <t>081553928375</t>
  </si>
  <si>
    <t>EMA MUKHLISAH</t>
  </si>
  <si>
    <t>3516055812940002</t>
  </si>
  <si>
    <t>Panggreh, 007/002, Panggreh, Jabon</t>
  </si>
  <si>
    <t>0895335959941</t>
  </si>
  <si>
    <t>083851708577</t>
  </si>
  <si>
    <t>EKA LINDA SARI</t>
  </si>
  <si>
    <t>3516066803000003</t>
  </si>
  <si>
    <t>08816974266</t>
  </si>
  <si>
    <t>088989285864</t>
  </si>
  <si>
    <t>MARIA ULFA</t>
  </si>
  <si>
    <t>HUSNUL HIDAYAH</t>
  </si>
  <si>
    <t>3516065205870003</t>
  </si>
  <si>
    <t>Rungkut, 018/006, Randuharjo, Pungging</t>
  </si>
  <si>
    <t>081553968157</t>
  </si>
  <si>
    <t>NUR AINI</t>
  </si>
  <si>
    <t>3508034506690004</t>
  </si>
  <si>
    <t>085730455654</t>
  </si>
  <si>
    <t>0858958642156</t>
  </si>
  <si>
    <t>MISKATUN</t>
  </si>
  <si>
    <t>3516054704710001</t>
  </si>
  <si>
    <t>Kembangsri, 001/003, Kembangsri, Ngoro</t>
  </si>
  <si>
    <t>085852326264</t>
  </si>
  <si>
    <t>SUNARTI</t>
  </si>
  <si>
    <t>3516055811770001</t>
  </si>
  <si>
    <t>Kesono, 010/002, Candiharjo, Ngoro</t>
  </si>
  <si>
    <t>085646532824</t>
  </si>
  <si>
    <t>0881026288410</t>
  </si>
  <si>
    <t>SUMARNI</t>
  </si>
  <si>
    <t>3156064106680001</t>
  </si>
  <si>
    <t>085730634268</t>
  </si>
  <si>
    <t>085604043550</t>
  </si>
  <si>
    <t>WIWIN APRIANI</t>
  </si>
  <si>
    <t>3516056504790003</t>
  </si>
  <si>
    <t>Manduro MG, 013/003, Manduro MG, Ngoro</t>
  </si>
  <si>
    <t>085857340834</t>
  </si>
  <si>
    <t>085816843605</t>
  </si>
  <si>
    <t>MINTARSIH</t>
  </si>
  <si>
    <t>3516056110690001</t>
  </si>
  <si>
    <t>Jajah, 006/002, Jasem, Ngoro</t>
  </si>
  <si>
    <t>087810019927</t>
  </si>
  <si>
    <t>SUDIANAH</t>
  </si>
  <si>
    <t>3516066105840001</t>
  </si>
  <si>
    <t>0881027354427</t>
  </si>
  <si>
    <t>SUHARTATIK</t>
  </si>
  <si>
    <t>3516054707810002</t>
  </si>
  <si>
    <t>SUDARMI</t>
  </si>
  <si>
    <t>3516055207830002</t>
  </si>
  <si>
    <t>085748151865</t>
  </si>
  <si>
    <t>AYU DYAH EKA PUTRI</t>
  </si>
  <si>
    <t>3516066104910003</t>
  </si>
  <si>
    <t>085608574447</t>
  </si>
  <si>
    <t>085852222611</t>
  </si>
  <si>
    <t>AURELLA SHAFIRA</t>
  </si>
  <si>
    <t>3516066804020002</t>
  </si>
  <si>
    <t>081319470802</t>
  </si>
  <si>
    <t>0895324990228</t>
  </si>
  <si>
    <t>BETTY MAISYAROH</t>
  </si>
  <si>
    <t>3516064809030005</t>
  </si>
  <si>
    <t>082142435710</t>
  </si>
  <si>
    <t>082134459522</t>
  </si>
  <si>
    <t>NOFITASARI</t>
  </si>
  <si>
    <t>RAUDATUL IKLIMA</t>
  </si>
  <si>
    <t>3513206806050002</t>
  </si>
  <si>
    <t>Krajan, 007/001, Bladokulon, Tegalsiwalan</t>
  </si>
  <si>
    <t>085231039312</t>
  </si>
  <si>
    <t>082337528883</t>
  </si>
  <si>
    <t>ISNAINI DWI CAHYA</t>
  </si>
  <si>
    <t>3516056908050001</t>
  </si>
  <si>
    <t>PONI</t>
  </si>
  <si>
    <t>3516064704820001</t>
  </si>
  <si>
    <t>085731450706</t>
  </si>
  <si>
    <t>LULUK SUGIATI</t>
  </si>
  <si>
    <t>Hermanto Putu</t>
  </si>
  <si>
    <t>3516055210790005</t>
  </si>
  <si>
    <t>Manduro, 010/002, Manduro MG, Ngoro</t>
  </si>
  <si>
    <t>085704256132</t>
  </si>
  <si>
    <t>NUR KHOLIDAH</t>
  </si>
  <si>
    <t>3516055905810001</t>
  </si>
  <si>
    <t>Kedung Kampil, 001/003, Kedungsolo, Porong</t>
  </si>
  <si>
    <t>081996717058</t>
  </si>
  <si>
    <t>SULAMI</t>
  </si>
  <si>
    <t>3516065802720002</t>
  </si>
  <si>
    <t>085806925336</t>
  </si>
  <si>
    <t>ELISTININGSIH</t>
  </si>
  <si>
    <t>3516056301810001</t>
  </si>
  <si>
    <t>085606935830</t>
  </si>
  <si>
    <t>SULIANA</t>
  </si>
  <si>
    <t>3516056102720003</t>
  </si>
  <si>
    <t>Manduro, 008/002, Manduro MG, Ngoro</t>
  </si>
  <si>
    <t>085807403202</t>
  </si>
  <si>
    <t>NASWATIN</t>
  </si>
  <si>
    <t>3516054311890001</t>
  </si>
  <si>
    <t>Kandangan, 002/002, Kunjorowesi, Ngoro</t>
  </si>
  <si>
    <t>085184673920</t>
  </si>
  <si>
    <t>ANIS NUR LAILI</t>
  </si>
  <si>
    <t>3516054702850001</t>
  </si>
  <si>
    <t>081230067996</t>
  </si>
  <si>
    <t>NANIK ULFI NUR R</t>
  </si>
  <si>
    <t>351606080980002</t>
  </si>
  <si>
    <t>081553968138</t>
  </si>
  <si>
    <t>I'IM MUKANAH</t>
  </si>
  <si>
    <t xml:space="preserve">SMA </t>
  </si>
  <si>
    <t>3516064901920002</t>
  </si>
  <si>
    <t>Pungging Krisik, 001/010, Balongmasin, Pungging</t>
  </si>
  <si>
    <t>085785687773</t>
  </si>
  <si>
    <t>NADILA PUTRI UTAMI</t>
  </si>
  <si>
    <t>LIVIA AMANDA SARI</t>
  </si>
  <si>
    <t>VENTI CHUSNILA SARI</t>
  </si>
  <si>
    <t>3516056912050001</t>
  </si>
  <si>
    <t>DEA RISMA RISNANDA</t>
  </si>
  <si>
    <t>YUNI EKOWATI</t>
  </si>
  <si>
    <t>3516064705820002</t>
  </si>
  <si>
    <t>082231206819</t>
  </si>
  <si>
    <t>081351274288</t>
  </si>
  <si>
    <t>YUNI SETIYAWATI</t>
  </si>
  <si>
    <t>MOCH SOFYAN HADI</t>
  </si>
  <si>
    <t>Ikat</t>
  </si>
  <si>
    <t>3514122508670003</t>
  </si>
  <si>
    <t>Legok, 003/001, Gempol, Pasuruan</t>
  </si>
  <si>
    <t>089652024117</t>
  </si>
  <si>
    <t>082244034106</t>
  </si>
  <si>
    <t>DANU ARTA PRASETYA</t>
  </si>
  <si>
    <t>3516060112040003</t>
  </si>
  <si>
    <t>085230133428</t>
  </si>
  <si>
    <t>ABDILLAH NURUL HAKIM</t>
  </si>
  <si>
    <t>3516081210010002</t>
  </si>
  <si>
    <t>Sumbertanggul, 005/005, Sumbertanggul, Mojosari</t>
  </si>
  <si>
    <t>087756722821</t>
  </si>
  <si>
    <t>085903757348</t>
  </si>
  <si>
    <t>YONGKI NOFIYANTO</t>
  </si>
  <si>
    <t>3516060203920001</t>
  </si>
  <si>
    <t>Mendelem, 006/002, Medalem, Tulangan</t>
  </si>
  <si>
    <t>085707371234</t>
  </si>
  <si>
    <t>085546418238</t>
  </si>
  <si>
    <t>DENI SUGIANTO</t>
  </si>
  <si>
    <t>DEBY FIRMANSYAH</t>
  </si>
  <si>
    <t>3516050507930001</t>
  </si>
  <si>
    <t>Bandarasri, 004/002, Bandarasri, Ngoro</t>
  </si>
  <si>
    <t>085749104821</t>
  </si>
  <si>
    <t>082139325870</t>
  </si>
  <si>
    <t>JUARDI TRI AGUS SETIAWAN</t>
  </si>
  <si>
    <t>3516050707000002</t>
  </si>
  <si>
    <t>08816283617</t>
  </si>
  <si>
    <t>081515303949</t>
  </si>
  <si>
    <t>FERDY HARTANTO</t>
  </si>
  <si>
    <t>26 tahun</t>
  </si>
  <si>
    <t>3516052202990000</t>
  </si>
  <si>
    <t>081330299847</t>
  </si>
  <si>
    <t>085704406816</t>
  </si>
  <si>
    <t>MUHAMMAD MUSTAIN</t>
  </si>
  <si>
    <t>3516052808910003</t>
  </si>
  <si>
    <t>Manduro MG, 005/001, Manduro Mangungajah</t>
  </si>
  <si>
    <t>085735304947</t>
  </si>
  <si>
    <t>MUHAMMAD AGUNG SAPUTRO</t>
  </si>
  <si>
    <t>3516061805020004</t>
  </si>
  <si>
    <t>Panggreman, 001/001, Tunggalpager, Pungging</t>
  </si>
  <si>
    <t>087852128506</t>
  </si>
  <si>
    <t>087752182656</t>
  </si>
  <si>
    <t>DONY KUSUMA</t>
  </si>
  <si>
    <t>SULISWANTO</t>
  </si>
  <si>
    <t>MUHAMMAD UMAR FARUQ</t>
  </si>
  <si>
    <t>3516051702070002</t>
  </si>
  <si>
    <t>Sengon, 004/003, Bandarasri , Ngoro</t>
  </si>
  <si>
    <t>085236317699</t>
  </si>
  <si>
    <t>082140270953</t>
  </si>
  <si>
    <t>SATRIO TRI WAHYONO</t>
  </si>
  <si>
    <t>3516060610020003</t>
  </si>
  <si>
    <t>Ringgit, 002/006, Kembangringgit, Pungging</t>
  </si>
  <si>
    <t>081936811704</t>
  </si>
  <si>
    <t>085785168872</t>
  </si>
  <si>
    <t>FERDIANSYAH YUSUF D</t>
  </si>
  <si>
    <t>MOCHAMAD ROUDA NOER ARIFIN</t>
  </si>
  <si>
    <t>3515132403060003</t>
  </si>
  <si>
    <t>Patung, 005/001, Pungging, Pungging</t>
  </si>
  <si>
    <t>087758738198</t>
  </si>
  <si>
    <t>087816320844</t>
  </si>
  <si>
    <t>MAULANA TONI A</t>
  </si>
  <si>
    <t>MUHAMMAD SA'AT ABDUL BAZAR</t>
  </si>
  <si>
    <t>3516100405070001</t>
  </si>
  <si>
    <t>Buntut, 003/003, Tinggarbuntut, Bangsal</t>
  </si>
  <si>
    <t>085745376543</t>
  </si>
  <si>
    <t>085745360500</t>
  </si>
  <si>
    <t>FRENDI MAULANA</t>
  </si>
  <si>
    <t>Hermanto</t>
  </si>
  <si>
    <t>3516061804030002</t>
  </si>
  <si>
    <t>0895341397965</t>
  </si>
  <si>
    <t>085648057939</t>
  </si>
  <si>
    <t>VIRGO ALIF FIRMANSYAH</t>
  </si>
  <si>
    <t>3516081502020002</t>
  </si>
  <si>
    <t>087840111348</t>
  </si>
  <si>
    <t>AKHMAD MAHLUDDIN</t>
  </si>
  <si>
    <t>3516050507980003</t>
  </si>
  <si>
    <t>087762615240</t>
  </si>
  <si>
    <t>M FIRMAN FERDIANSYAH</t>
  </si>
  <si>
    <t>3516061504060002</t>
  </si>
  <si>
    <t>Panggeraman, 002/001, Tunggalpager, Pungging</t>
  </si>
  <si>
    <t>085852032241</t>
  </si>
  <si>
    <t>MOH RIKY TRI ARDIANSYAH</t>
  </si>
  <si>
    <t>3516062409040002</t>
  </si>
  <si>
    <t>Balongmasin, 002/002, Balongmasin, Pungging</t>
  </si>
  <si>
    <t>085933875425</t>
  </si>
  <si>
    <t>08813547857</t>
  </si>
  <si>
    <t>MUHAMMAD ROBBY DWI KRISTATNTO</t>
  </si>
  <si>
    <t>3516062406060001</t>
  </si>
  <si>
    <t>082140732100</t>
  </si>
  <si>
    <t>085648482435</t>
  </si>
  <si>
    <t>DODY KUSUMA</t>
  </si>
  <si>
    <t>HERMAWAN SUPRAYOGI</t>
  </si>
  <si>
    <t>BIMA DWI A</t>
  </si>
  <si>
    <t>3516062403050005</t>
  </si>
  <si>
    <t>085231173861</t>
  </si>
  <si>
    <t>085648211210</t>
  </si>
  <si>
    <t>LAILATUL HAWA CINTASARI</t>
  </si>
  <si>
    <t>FG 3</t>
  </si>
  <si>
    <t>PUTRI NOVITA SARI</t>
  </si>
  <si>
    <t>3516066804070004</t>
  </si>
  <si>
    <t>Balongmasin, 002/004, Balongmasin, Pungging</t>
  </si>
  <si>
    <t>ALIYAH EKA P</t>
  </si>
  <si>
    <t>YETI KURNIA SARI</t>
  </si>
  <si>
    <t>3516144101910005</t>
  </si>
  <si>
    <t>Ngudi Lor, 003/007, Bandung, Gedeg</t>
  </si>
  <si>
    <t>K/3</t>
  </si>
  <si>
    <t>085706677826</t>
  </si>
  <si>
    <t>083131699200</t>
  </si>
  <si>
    <t>ANGGUN DINI PRASETYO</t>
  </si>
  <si>
    <t>3516065407080001</t>
  </si>
  <si>
    <t>081937681317</t>
  </si>
  <si>
    <t>085655230800</t>
  </si>
  <si>
    <t>EKA YULIANI</t>
  </si>
  <si>
    <t>3516065506970001</t>
  </si>
  <si>
    <t>085606163948</t>
  </si>
  <si>
    <t>085730401503</t>
  </si>
  <si>
    <t>QIMATUL NANDA INSANI</t>
  </si>
  <si>
    <t>3516066402030001</t>
  </si>
  <si>
    <t>Patung, 006/002, Pungging, Pungging</t>
  </si>
  <si>
    <t>087827606597</t>
  </si>
  <si>
    <t>081235915280</t>
  </si>
  <si>
    <t>RIZKI WULANDARI</t>
  </si>
  <si>
    <t>NUR KHOIRIYAH AFIFAH</t>
  </si>
  <si>
    <t>GATI SRI RAHAYU</t>
  </si>
  <si>
    <t>TAUSYA TRI ANANTA</t>
  </si>
  <si>
    <t>NIHA DEWI SEPTIYANA</t>
  </si>
  <si>
    <t>MUHAMMAD NUR ARIFIN</t>
  </si>
  <si>
    <t>3516050205060003</t>
  </si>
  <si>
    <t>Kedungmungal, 001/004, Pungging, Mojokerto</t>
  </si>
  <si>
    <t>085706311858</t>
  </si>
  <si>
    <t>082332389694</t>
  </si>
  <si>
    <t>OKY RAMADHANI</t>
  </si>
  <si>
    <t>0 tahun 3 bulan</t>
  </si>
  <si>
    <t>3516181510060000</t>
  </si>
  <si>
    <t>Mojoageng, 002/001, Sadartengah, Mojoanyar</t>
  </si>
  <si>
    <t>MUHAMMAD TEGUH YULIANTO</t>
  </si>
  <si>
    <t>0 tahun 1 bulan</t>
  </si>
  <si>
    <t>3516061507060000</t>
  </si>
  <si>
    <t>Jelak, 001/001, Tunggalpager, Pungging</t>
  </si>
  <si>
    <t>BAGAS PURWANTORO</t>
  </si>
  <si>
    <t xml:space="preserve">S1 </t>
  </si>
  <si>
    <t>3507132910970003</t>
  </si>
  <si>
    <t>Gamping Wetan, 006/002, Gamping, Krian</t>
  </si>
  <si>
    <t>081252467481</t>
  </si>
  <si>
    <t>SYAIFUL ANWAR</t>
  </si>
  <si>
    <t>QC</t>
  </si>
  <si>
    <t>CHANDRA ANDIKA HADI PURNOMO</t>
  </si>
  <si>
    <t>3516071403930000</t>
  </si>
  <si>
    <t>Sampangagung, 007/004, Kutorejo, Mojokerto</t>
  </si>
  <si>
    <t>081234546019</t>
  </si>
  <si>
    <t>RENI SEPTIANA</t>
  </si>
  <si>
    <t>4650835005</t>
  </si>
  <si>
    <t>YUSTICA CHANDRA KANIA</t>
  </si>
  <si>
    <t>7265320091</t>
  </si>
  <si>
    <t>MAULANA ACHMAD RIZKY D</t>
  </si>
  <si>
    <t>7265064876</t>
  </si>
  <si>
    <t>WIJI PRANOTO</t>
  </si>
  <si>
    <t>1841704202</t>
  </si>
  <si>
    <t>K 347</t>
  </si>
  <si>
    <t>INUN RODHIYAH</t>
  </si>
  <si>
    <t>3515015308910001</t>
  </si>
  <si>
    <t>Janti, 009/002, Tarik, Sidoarjo</t>
  </si>
  <si>
    <t>085732849446</t>
  </si>
  <si>
    <t>085732794514</t>
  </si>
  <si>
    <t>0000720700751</t>
  </si>
  <si>
    <t>FARHAD SAKHOWI EL QUDS</t>
  </si>
  <si>
    <t>3524260212020001</t>
  </si>
  <si>
    <t>Pedurungan, 001/002, Dukuhtunggal, Glagah, Lamongan</t>
  </si>
  <si>
    <t>0857717177443</t>
  </si>
  <si>
    <t>085731166612</t>
  </si>
  <si>
    <t>00855</t>
  </si>
  <si>
    <t>SRI WAHYUNI AGUSTIN</t>
  </si>
  <si>
    <t>3516065308970002</t>
  </si>
  <si>
    <t>Lamongan, 013/003, Kalipuro, Pungging</t>
  </si>
  <si>
    <t>085850797615</t>
  </si>
  <si>
    <t>085808412400</t>
  </si>
  <si>
    <t>0002230901403</t>
  </si>
  <si>
    <t>K 409</t>
  </si>
  <si>
    <t>AYU ASMAWATI</t>
  </si>
  <si>
    <t>3516054105980001</t>
  </si>
  <si>
    <t>Kalanganyar, 005/001, Bandarasri, Ngoro</t>
  </si>
  <si>
    <t>082131070316</t>
  </si>
  <si>
    <t>081235068052</t>
  </si>
  <si>
    <t>IWAN SUSANTO</t>
  </si>
  <si>
    <t>INSPECTOR</t>
  </si>
  <si>
    <t>3516052807810001</t>
  </si>
  <si>
    <t>Wates, 001/009, Watesnegoro, Ngoro</t>
  </si>
  <si>
    <t>085232587810</t>
  </si>
  <si>
    <t>085645151919</t>
  </si>
  <si>
    <t>0001141677461</t>
  </si>
  <si>
    <t>ADITYA PERMANA PUTRA</t>
  </si>
  <si>
    <t>3576011505020002</t>
  </si>
  <si>
    <t>Kauman IV/19, 004/002, Kauman, Prajurit Kulon</t>
  </si>
  <si>
    <t>085746118347</t>
  </si>
  <si>
    <t>081259847177</t>
  </si>
  <si>
    <t>AULIA NURFIDIYANTI</t>
  </si>
  <si>
    <t>3516135708070005</t>
  </si>
  <si>
    <t>Klinterejo, 002/006, Klinterejo, Sooko</t>
  </si>
  <si>
    <t>085859922373</t>
  </si>
  <si>
    <t>085732404362</t>
  </si>
  <si>
    <t>HANI AMINATUS SHOLEHA</t>
  </si>
  <si>
    <t>3515115802020001</t>
  </si>
  <si>
    <t>Barengkrajan, 006/002, Krian, Sidoarjo</t>
  </si>
  <si>
    <t>082264723330</t>
  </si>
  <si>
    <t>082311429299</t>
  </si>
  <si>
    <t>ROICHANA PUTRI MAULIDIYAH</t>
  </si>
  <si>
    <t>3516085805040002</t>
  </si>
  <si>
    <t>Sumbersari, 029/011, Pekukuhan, Mojosari</t>
  </si>
  <si>
    <t>085806000211</t>
  </si>
  <si>
    <t>SISKA NURHIDAYATI</t>
  </si>
  <si>
    <t>3516065004040003</t>
  </si>
  <si>
    <t>NADA HIDAYATUL HIKMAH</t>
  </si>
  <si>
    <t>3510096408010003</t>
  </si>
  <si>
    <t>IRFAN MUNAWAR AZIZ</t>
  </si>
  <si>
    <t>3201391208010003</t>
  </si>
  <si>
    <t>KP. Bantar Jaya 005/001 Leuwisedang, Bogor</t>
  </si>
  <si>
    <t>085280682611</t>
  </si>
  <si>
    <t>DANI  SETYO BUDI</t>
  </si>
  <si>
    <t>AMIN YAZID ACHMAD</t>
  </si>
  <si>
    <t>3522112707030003</t>
  </si>
  <si>
    <t>Malebo, 004/002, Simorejo, Kanor, Bojonegoro</t>
  </si>
  <si>
    <t>082264108071</t>
  </si>
  <si>
    <t>085767976425</t>
  </si>
  <si>
    <t>HADI PRAMOWO</t>
  </si>
  <si>
    <t>3515030707820004</t>
  </si>
  <si>
    <t>085854477101</t>
  </si>
  <si>
    <t>K 033</t>
  </si>
  <si>
    <t>AHMAD IMRON</t>
  </si>
  <si>
    <t>3516050904780004</t>
  </si>
  <si>
    <t>Glatik, 001/005, Watesnegoro, Ngoro</t>
  </si>
  <si>
    <t>0896073747</t>
  </si>
  <si>
    <t>FAIQURRAHMAN</t>
  </si>
  <si>
    <t>Non Print</t>
  </si>
  <si>
    <t>0500648589</t>
  </si>
  <si>
    <t>K 038</t>
  </si>
  <si>
    <t>MAKRUS ASARI</t>
  </si>
  <si>
    <t>3515092504760001</t>
  </si>
  <si>
    <t>Kepadangan, 008/003, Kepadangan, Tulangan</t>
  </si>
  <si>
    <t>0857322106543</t>
  </si>
  <si>
    <t>085733836966</t>
  </si>
  <si>
    <t>K 089</t>
  </si>
  <si>
    <t>MININ</t>
  </si>
  <si>
    <t>3516051204830001</t>
  </si>
  <si>
    <t>Buluresik, 016/004, Manduro MG, Ngoro</t>
  </si>
  <si>
    <t>085607063517</t>
  </si>
  <si>
    <t>0001141673185</t>
  </si>
  <si>
    <t>YATIM DWI ADIYONO</t>
  </si>
  <si>
    <t>Outgoing</t>
  </si>
  <si>
    <t>3516091704930001</t>
  </si>
  <si>
    <t>Karangdiyeng, 006/001, Karangdiyeng, Kutorejo</t>
  </si>
  <si>
    <t>085733358556</t>
  </si>
  <si>
    <t>087854542397</t>
  </si>
  <si>
    <t>MUHAMMAD RIZQI SASMITA</t>
  </si>
  <si>
    <t>3515123009000003</t>
  </si>
  <si>
    <t>Seketi, 001/009, Seketi, Balongbendo</t>
  </si>
  <si>
    <t>085234800122</t>
  </si>
  <si>
    <t>089523366970</t>
  </si>
  <si>
    <t>AGUS HERMAWAN</t>
  </si>
  <si>
    <t>Incoming</t>
  </si>
  <si>
    <t>3514120808720003</t>
  </si>
  <si>
    <t>Sukci, 004/003, Bulusari, Gempol</t>
  </si>
  <si>
    <t>085791951160</t>
  </si>
  <si>
    <t>082148494069</t>
  </si>
  <si>
    <t>0001240613482</t>
  </si>
  <si>
    <t>AGENG WICAKSONO</t>
  </si>
  <si>
    <t>Revisi</t>
  </si>
  <si>
    <t>3517082308900002</t>
  </si>
  <si>
    <t>Ngemplak, 004/005, Ngudirejo, Diwek</t>
  </si>
  <si>
    <t>085606810119</t>
  </si>
  <si>
    <t>085816592182</t>
  </si>
  <si>
    <t>18089051264</t>
  </si>
  <si>
    <t>RIRIN SUHARTIK</t>
  </si>
  <si>
    <t>3516056703810001</t>
  </si>
  <si>
    <t>081803574877</t>
  </si>
  <si>
    <t>ACHMAD FAIZAL TRIESTANTO</t>
  </si>
  <si>
    <t>Sample Maker</t>
  </si>
  <si>
    <t>3516112206990003</t>
  </si>
  <si>
    <t>Pringwulung, 002/007, Bendunganjati, Pacet</t>
  </si>
  <si>
    <t>087866716324</t>
  </si>
  <si>
    <t>082132674540</t>
  </si>
  <si>
    <t>RIZKY ROMADHONI</t>
  </si>
  <si>
    <t>3515132903920012</t>
  </si>
  <si>
    <t>Jl. Nanas 28, 010/003, Geluran, Taman</t>
  </si>
  <si>
    <t>081331317007</t>
  </si>
  <si>
    <t>08224548338</t>
  </si>
  <si>
    <t>SYAFRIL MASWILDHAN PRASETYA</t>
  </si>
  <si>
    <t>28 tahun</t>
  </si>
  <si>
    <t>3507182403970000</t>
  </si>
  <si>
    <t>Jl. Kapisuwida I/16 K/11, RT 002/011, Sekarpuro, Pakis, Malang</t>
  </si>
  <si>
    <t>ADY LESMANA</t>
  </si>
  <si>
    <t>24 tahun</t>
  </si>
  <si>
    <t>3516162206010000</t>
  </si>
  <si>
    <t>Wonoayu. 002/007, Jetis. Mojokerto</t>
  </si>
  <si>
    <t>WINARTO</t>
  </si>
  <si>
    <t>3516061005900001</t>
  </si>
  <si>
    <t>Balongmasin, 002/003, Balongmasin, Pungging</t>
  </si>
  <si>
    <t>087833514484</t>
  </si>
  <si>
    <t>AHMAD RAHMATULLOH 1</t>
  </si>
  <si>
    <t>3516140501940001</t>
  </si>
  <si>
    <t>Ngudi Lor, 001/007, Bandung, Gedeg</t>
  </si>
  <si>
    <t>085854275450</t>
  </si>
  <si>
    <t>087788456071</t>
  </si>
  <si>
    <t>Ekspedisi</t>
  </si>
  <si>
    <t>Gudang Kertas</t>
  </si>
  <si>
    <t>Resepsionist</t>
  </si>
  <si>
    <t>SCM</t>
  </si>
  <si>
    <t>INTERNAL</t>
  </si>
  <si>
    <t>INVENTORY CONTROL</t>
  </si>
  <si>
    <t>Dies</t>
  </si>
  <si>
    <t>Printing</t>
  </si>
  <si>
    <t>EDI SUBAGIO</t>
  </si>
  <si>
    <t>STATUS</t>
  </si>
  <si>
    <t>Laporan harian stock roll</t>
  </si>
  <si>
    <t>Penataan Gudang</t>
  </si>
  <si>
    <t>Jadwal stock opname per 6 bulan</t>
  </si>
  <si>
    <t>Timbang dialihakn STB</t>
  </si>
  <si>
    <t>Checker masing masing 2 set per shift</t>
  </si>
  <si>
    <t>Adm PPIC</t>
  </si>
  <si>
    <t>job desc jelas</t>
  </si>
  <si>
    <t>Kebersihan corr &amp; WIP sheet</t>
  </si>
  <si>
    <t>Shift A</t>
  </si>
  <si>
    <t>Shift B</t>
  </si>
  <si>
    <t>Shift C</t>
  </si>
  <si>
    <t>Flexo &amp; Non Print</t>
  </si>
  <si>
    <t>BGJ &amp; Expedisi</t>
  </si>
  <si>
    <t>Gudang  Kertas, Karet &amp; Tinta</t>
  </si>
  <si>
    <t>dipertahankan FB 2 1 opr &amp; 2 helper</t>
  </si>
  <si>
    <t>Karu</t>
  </si>
  <si>
    <t>QC Lab</t>
  </si>
  <si>
    <t>Pindah tim produksi, barang retur &amp; kelebihan.</t>
  </si>
  <si>
    <t>ZAINUL ARIFIN</t>
  </si>
  <si>
    <t>DEDI ANDYANSYAH</t>
  </si>
  <si>
    <t>M. KHOIRUL</t>
  </si>
  <si>
    <t>MUHAMMAD EXSEL A.</t>
  </si>
  <si>
    <t>MUSTAGHFIR</t>
  </si>
  <si>
    <t>ARIFIN</t>
  </si>
  <si>
    <t>AGUS SUGIARTONO</t>
  </si>
  <si>
    <t>ASEP LUTFIANTO</t>
  </si>
  <si>
    <t>ARIF SETYO PAMUNGKAS</t>
  </si>
  <si>
    <t>Jl Sekar Putih, 002/001, Kedundung, Magersari, Mojokerto</t>
  </si>
  <si>
    <t>3516071702920000</t>
  </si>
  <si>
    <t>085648425075</t>
  </si>
  <si>
    <t>HANIK DWI FITRIYAH</t>
  </si>
  <si>
    <t>HARI WIBOWO</t>
  </si>
  <si>
    <t>RACHMAD HARIYONO</t>
  </si>
  <si>
    <t>HERMADANU KRISDIANTO</t>
  </si>
  <si>
    <t>BIMA DWI PRAKOSO</t>
  </si>
  <si>
    <t>MUDLORI</t>
  </si>
  <si>
    <t>ERLIN YUTRIKA SARI</t>
  </si>
  <si>
    <t>DIAN SETYORINI</t>
  </si>
  <si>
    <t>NUR AISYAH</t>
  </si>
  <si>
    <t>DISI WIDIATI</t>
  </si>
  <si>
    <t>TUT WURI HANDAYANI</t>
  </si>
  <si>
    <t>ACCOUNTING</t>
  </si>
  <si>
    <t>M SYAKUR</t>
  </si>
  <si>
    <t>IVA KRISTIANINGSIH</t>
  </si>
  <si>
    <t>PRIHATIN PUTRI AYU WAHYUNI</t>
  </si>
  <si>
    <t>OSKAR KARUN</t>
  </si>
  <si>
    <t>THERESIA SILVIA</t>
  </si>
  <si>
    <t>WIWIN NURDIYAH</t>
  </si>
  <si>
    <t>ELIS AQUARISTA</t>
  </si>
  <si>
    <t>NUVI INDAHYANI</t>
  </si>
  <si>
    <t>FINANCE</t>
  </si>
  <si>
    <t>MANAGER</t>
  </si>
  <si>
    <t>ALMAYUN YULI KURNIASIH</t>
  </si>
  <si>
    <t>MINUK SULASTRI</t>
  </si>
  <si>
    <t>FARADILA AYU CAHYA NINGRUM</t>
  </si>
  <si>
    <t>YANUARISTA PUSPASARI</t>
  </si>
  <si>
    <t>AMINAH</t>
  </si>
  <si>
    <t>MIFTAKUL JANNAH</t>
  </si>
  <si>
    <t>NOVIAN ANDY</t>
  </si>
  <si>
    <t>RACHMAD MIRZA</t>
  </si>
  <si>
    <t>SAMUEL RAKSAN KO BASUKI</t>
  </si>
  <si>
    <t>NUR ASMAWATI</t>
  </si>
  <si>
    <t>YOSUA ANGGARA</t>
  </si>
  <si>
    <t>MALA FARADHILLA</t>
  </si>
  <si>
    <t>WINDA ARIANTI</t>
  </si>
  <si>
    <t>HERU KRISBIANTO</t>
  </si>
  <si>
    <t>OEY RICHARDO WIJAYA</t>
  </si>
  <si>
    <t>RUDY YUNANTA WIRYANA</t>
  </si>
  <si>
    <t>Internal Marketing</t>
  </si>
  <si>
    <t>SYLVIANA DEBY</t>
  </si>
  <si>
    <t>SEKRETARIS</t>
  </si>
  <si>
    <t>MARCHELL YONATHAN</t>
  </si>
  <si>
    <t>F. Glue 3</t>
  </si>
  <si>
    <t>DARMAJI</t>
  </si>
  <si>
    <t>MOCHAMMAD ABDURROUF</t>
  </si>
  <si>
    <t>3516070311010001</t>
  </si>
  <si>
    <t>Sudimoro, 002/001, Karangasem, Kutorejo, Mojokerto</t>
  </si>
  <si>
    <t>081331078793</t>
  </si>
  <si>
    <t>FAHILA FINSA PRAYUDA</t>
  </si>
  <si>
    <t>3525061811950001</t>
  </si>
  <si>
    <t>Krajan, 002/005, Wringinanom, Wringinanom, Gresik</t>
  </si>
  <si>
    <t>085123724267</t>
  </si>
  <si>
    <t>MUHAMMAD FUAD SYAHRIFUDIN</t>
  </si>
  <si>
    <t>3516062012970001</t>
  </si>
  <si>
    <t>Kecapangan, 005/004, Ngoro, Ngoro</t>
  </si>
  <si>
    <t>08979906233</t>
  </si>
  <si>
    <t>YOSSI KURNIAWAN</t>
  </si>
  <si>
    <t>3516051203060002</t>
  </si>
  <si>
    <t>Sebani, 006/001, Tanjangrono, Ngoro</t>
  </si>
  <si>
    <t>085649348442</t>
  </si>
  <si>
    <t>Hitung Sheet</t>
  </si>
  <si>
    <t>MUCHAMMAD HABIB OCHTAVIAN</t>
  </si>
  <si>
    <t>Mejerat, 001/006, Pungging, Pungging</t>
  </si>
  <si>
    <t>YUFIS ADITYA RIZKI</t>
  </si>
  <si>
    <t>3516050906060002</t>
  </si>
  <si>
    <t>085859105471</t>
  </si>
  <si>
    <t>MOHAMMAD ILHAM ILYASAPUTRA</t>
  </si>
  <si>
    <t>085335922120</t>
  </si>
  <si>
    <t>HAFIDZ MUHAMMAD</t>
  </si>
  <si>
    <t>3516050312010002</t>
  </si>
  <si>
    <t>08525792936</t>
  </si>
  <si>
    <t>Naryo</t>
  </si>
  <si>
    <t>ALDI ANGGARA</t>
  </si>
  <si>
    <t>3525111007960002</t>
  </si>
  <si>
    <t>Amburan, 001/002, Kandangan, Cerme, Gresik</t>
  </si>
  <si>
    <t>083848040468</t>
  </si>
  <si>
    <t>GHOZI ABDILLAH SY</t>
  </si>
  <si>
    <t>Manduro MG, 003/001, Ngoro</t>
  </si>
  <si>
    <t>08976811908</t>
  </si>
  <si>
    <t>CG</t>
  </si>
  <si>
    <t>OKY YOESANDI</t>
  </si>
  <si>
    <t>3578100310910009</t>
  </si>
  <si>
    <t>Tambaksari Selatan, 008/006, Tambaksari, Surabaya</t>
  </si>
  <si>
    <t>082245823800</t>
  </si>
  <si>
    <t>RONNY KESUMA</t>
  </si>
  <si>
    <t>3603121604950000</t>
  </si>
  <si>
    <t>3575011502010001</t>
  </si>
  <si>
    <t>3515126607010002</t>
  </si>
  <si>
    <t>Seketi, 003/005, Seketi, Balongbendo, Sidoarjo</t>
  </si>
  <si>
    <t>089616023057</t>
  </si>
  <si>
    <t>3576022503000004</t>
  </si>
  <si>
    <t>Griya Permata Ijen D3/02, Perumnas Timur, Wates, Magersari, Kota Mojokerto</t>
  </si>
  <si>
    <t>3578130702980003</t>
  </si>
  <si>
    <t>Tempel, 003/008, Legok, Gempol</t>
  </si>
  <si>
    <t>3504010609990002</t>
  </si>
  <si>
    <t>Jl. K. H. Abdul Chamid XI/13, 004/001, Karanganyar, Panggungrejo</t>
  </si>
  <si>
    <t>3507336301030001</t>
  </si>
  <si>
    <t>3518175909990002</t>
  </si>
  <si>
    <t>Dsn. Nglumbu 004/002, Ketawang, Gondang, Nganjuk</t>
  </si>
  <si>
    <t>Jl Panglima Sudirman 004/001, Clumprit, Pagelaran, Malang</t>
  </si>
  <si>
    <t>3518111810940006</t>
  </si>
  <si>
    <t>Dsn. Budengan 002/002, Mulyodadi, Wonoayu</t>
  </si>
  <si>
    <t>3515100610980002</t>
  </si>
  <si>
    <t>3515010908870001</t>
  </si>
  <si>
    <t>Jatisari, 001/001, Mergosari, Tarik</t>
  </si>
  <si>
    <t>Jl. Randu Asri, 003/002, Buduran</t>
  </si>
  <si>
    <t>3510051111930003</t>
  </si>
  <si>
    <t>Jl. Brigjen Slamet Riadi VII 32, 002/003, Oro-oro Dowo, Klojen, Malang</t>
  </si>
  <si>
    <t>3516052210020001</t>
  </si>
  <si>
    <t>Buluresik 016/004, Ngoro, Mojokerto</t>
  </si>
  <si>
    <t>K/0</t>
  </si>
  <si>
    <t>3578105902010004</t>
  </si>
  <si>
    <t>3516053012060002</t>
  </si>
  <si>
    <t>3516052512010001</t>
  </si>
  <si>
    <t>3578013107000002</t>
  </si>
  <si>
    <t>Royal Residence B9-127, 006/002, Sumur Welut, Lakarsantri, Surabaya</t>
  </si>
  <si>
    <t>081252363010</t>
  </si>
  <si>
    <t>3523153006950002</t>
  </si>
  <si>
    <t>Semanding, 003/002, Semanding, Tuban</t>
  </si>
  <si>
    <t>6471041105010001</t>
  </si>
  <si>
    <t>Jl. Jend. A. Yani No. 08, 048/000, Gunungsari Ilir,Balikpapan Tengah, Balikpapan.</t>
  </si>
  <si>
    <t>S2</t>
  </si>
  <si>
    <t>3516092105920001</t>
  </si>
  <si>
    <t>Juwono, 002/001, Ngembeh, Dlanggu, Mojokerto</t>
  </si>
  <si>
    <t>085729562398</t>
  </si>
  <si>
    <t>3313110204950001</t>
  </si>
  <si>
    <t>Jl. Melati No.36 Perum JPI, Sawahan, Jaten, Karanganyar</t>
  </si>
  <si>
    <t>BAGIAN</t>
  </si>
  <si>
    <t>MESIN</t>
  </si>
  <si>
    <t>PENDIDIKAN</t>
  </si>
  <si>
    <t>ERISA</t>
  </si>
  <si>
    <t>3516066004930002</t>
  </si>
  <si>
    <t>081999155214</t>
  </si>
  <si>
    <t>ADI TRI ARDIAN SYAH</t>
  </si>
  <si>
    <t>3516081807000003</t>
  </si>
  <si>
    <t>085941316114</t>
  </si>
  <si>
    <t>3516064212990001</t>
  </si>
  <si>
    <t>081239234924</t>
  </si>
  <si>
    <t>ACHMAD ROZY</t>
  </si>
  <si>
    <t>3516031811000001</t>
  </si>
  <si>
    <t>Bahudan, 005/001, Wuluh, Kesamben, Jombang</t>
  </si>
  <si>
    <t>083151061986</t>
  </si>
  <si>
    <t>M AINUN NAJIB</t>
  </si>
  <si>
    <t>3516051905980002</t>
  </si>
  <si>
    <t>085708623927</t>
  </si>
  <si>
    <t>ADITYA DWI ARDIANSYAH</t>
  </si>
  <si>
    <t>3516060707070003</t>
  </si>
  <si>
    <t>085730758175</t>
  </si>
  <si>
    <t>DEAS DWI RUPIANTI</t>
  </si>
  <si>
    <t>HERI HERMAWAN</t>
  </si>
  <si>
    <t>3516060604010001</t>
  </si>
  <si>
    <t>081234999420</t>
  </si>
  <si>
    <t>VITO YOGA ADI PRASETYO</t>
  </si>
  <si>
    <t xml:space="preserve">OPERATOR </t>
  </si>
  <si>
    <t>3516051809020001</t>
  </si>
  <si>
    <t>085859693230</t>
  </si>
  <si>
    <t>JAM KERJA</t>
  </si>
  <si>
    <t>MUHAMMAD HUSEN ABDILLAH</t>
  </si>
  <si>
    <t>3516100609020001</t>
  </si>
  <si>
    <t>Ngingas, 005/004, Ngastemi, Bangsal, Mojokerto</t>
  </si>
  <si>
    <t>089530401635</t>
  </si>
  <si>
    <t>SITI MAIMUNAH</t>
  </si>
  <si>
    <t>ANDRIYAN RAKMAT PRATAMA</t>
  </si>
  <si>
    <t>3516052407070001</t>
  </si>
  <si>
    <t>Sukojati, 003/011, Purwojati, Ngoro</t>
  </si>
  <si>
    <t>081259312992</t>
  </si>
  <si>
    <t>ANJAS ANDRIYAN HIDAYAT</t>
  </si>
  <si>
    <t>FLEXO 3</t>
  </si>
  <si>
    <t>3515053008040001</t>
  </si>
  <si>
    <t>Ngering Gg Rajawali, 017/005, Legok, Gempol</t>
  </si>
  <si>
    <t>0881036175401</t>
  </si>
  <si>
    <t>BRILLYAN KURNIA RAMADHAN</t>
  </si>
  <si>
    <t>3516052711010003</t>
  </si>
  <si>
    <t>Manduro MG, 003/003, Manduro MG, Ngoro</t>
  </si>
  <si>
    <t>085940718782</t>
  </si>
  <si>
    <t>M DIAS SAPUTRA</t>
  </si>
  <si>
    <t>3516051810060004</t>
  </si>
  <si>
    <t>085706026304</t>
  </si>
  <si>
    <t>MUHAMMAD RIYANSYAH</t>
  </si>
  <si>
    <t>3516082601080003</t>
  </si>
  <si>
    <t>082332951275</t>
  </si>
  <si>
    <t>MUHAMMAD RIZKY DWI SAPUTRA</t>
  </si>
  <si>
    <t>3516062601080002</t>
  </si>
  <si>
    <t>081233017190</t>
  </si>
  <si>
    <t>MUHAMMAD DWI VERIANTO</t>
  </si>
  <si>
    <t>3516060205070002</t>
  </si>
  <si>
    <t>081944594897</t>
  </si>
  <si>
    <t>WAHYU PRATAMA</t>
  </si>
  <si>
    <t>3516061905070001</t>
  </si>
  <si>
    <t>Patung, 001/001, Pungging, Pungging</t>
  </si>
  <si>
    <t>085649737973</t>
  </si>
  <si>
    <t>LEKSANA AJI HARDANU</t>
  </si>
  <si>
    <t>3510161409020001</t>
  </si>
  <si>
    <t>Jl. Kalilo GG. Teratindo. 20, 001/001, Singonegaran, Banyuwangi</t>
  </si>
  <si>
    <t>087771839849</t>
  </si>
  <si>
    <t>Flexo 3</t>
  </si>
  <si>
    <t>AHMAD NAFI'UDINUL KHOSY</t>
  </si>
  <si>
    <t>3516050402010001</t>
  </si>
  <si>
    <t>Manduro, 006/002, Munduro MG, Ngoro</t>
  </si>
  <si>
    <t>085704234969</t>
  </si>
  <si>
    <t>MUHAMMAD RAFI FAIZ HABIBI</t>
  </si>
  <si>
    <t>3603172310070004</t>
  </si>
  <si>
    <t>085723189120</t>
  </si>
  <si>
    <t>FLEXO 7</t>
  </si>
  <si>
    <t>FLEXO 1</t>
  </si>
  <si>
    <t>F. Glue 1</t>
  </si>
  <si>
    <t>QC Flexo</t>
  </si>
  <si>
    <t>QC Corr</t>
  </si>
  <si>
    <t>QC Non Print</t>
  </si>
  <si>
    <t>QC Incoming</t>
  </si>
  <si>
    <t>QC Revisi</t>
  </si>
  <si>
    <t>QC Admin</t>
  </si>
  <si>
    <t>RnD</t>
  </si>
  <si>
    <t>Koord Stitch</t>
  </si>
  <si>
    <t>Stitch Semi Auto</t>
  </si>
  <si>
    <t>ANDREAN DWI YUNANTO</t>
  </si>
  <si>
    <t>3516061106070002</t>
  </si>
  <si>
    <t>085785156102</t>
  </si>
  <si>
    <t>ARYA SENO GALANG RAMDHANI</t>
  </si>
  <si>
    <t>3516072109070002</t>
  </si>
  <si>
    <t>Sugihan, 002/001, Karangasem, Kutorejo</t>
  </si>
  <si>
    <t>087870538405</t>
  </si>
  <si>
    <t xml:space="preserve">  </t>
  </si>
  <si>
    <t>MUHAMMAD ADI AFRIYANTO</t>
  </si>
  <si>
    <t>3516060104970004</t>
  </si>
  <si>
    <t>Ngijingan, 002/001, Purwojati, Ngoro</t>
  </si>
  <si>
    <t>089510515517</t>
  </si>
  <si>
    <t>HENRY SANTOSO</t>
  </si>
  <si>
    <t>3515081401980004</t>
  </si>
  <si>
    <t>Puri Inda O-03, 033/009, Suko, Sidoarjo</t>
  </si>
  <si>
    <t>085233682059</t>
  </si>
  <si>
    <t>CHRISTIAN MARCELLO DWISUSANTO</t>
  </si>
  <si>
    <t>3578103103040004</t>
  </si>
  <si>
    <t>Duren No. 4, 006/002, Tambaksari, Tambaksari, Surabaya</t>
  </si>
  <si>
    <t>087869898117</t>
  </si>
  <si>
    <t>LAURA DEWI FORTUNA</t>
  </si>
  <si>
    <t>3513144811980001</t>
  </si>
  <si>
    <t>Jln. Dr. Sutomo, 001/002, Kandang Jati Kulon, Kraksan, Probolinggo</t>
  </si>
  <si>
    <t>085204231760</t>
  </si>
  <si>
    <t>Design &amp; Persiapan</t>
  </si>
  <si>
    <t>DIAN SANTOSO</t>
  </si>
  <si>
    <t>3516062803870001</t>
  </si>
  <si>
    <t>Pekojo, 002/001, Tunggal Pager, Pungging</t>
  </si>
  <si>
    <t>085549086338</t>
  </si>
  <si>
    <t xml:space="preserve">MUKHAMMAD ZAINUDDIN </t>
  </si>
  <si>
    <t>3516061602890003</t>
  </si>
  <si>
    <t>Patung, 005/002, Pungging, Pungging</t>
  </si>
  <si>
    <t>085726181452</t>
  </si>
  <si>
    <t>WAKIL KARU</t>
  </si>
  <si>
    <t>DWI AINUN FITRIA</t>
  </si>
  <si>
    <t>3516066712000005</t>
  </si>
  <si>
    <t>088901887809</t>
  </si>
  <si>
    <t>HADA MURTADLIA</t>
  </si>
  <si>
    <t>YEREMIA DAVID SOMBOUNAUNG</t>
  </si>
  <si>
    <t xml:space="preserve">ASSISTANT MANAGER </t>
  </si>
  <si>
    <t>3578061809930001</t>
  </si>
  <si>
    <t>Jl. Pakis Tirtosari 44-E, 005/004, Pakis, Sawahan Surabaya</t>
  </si>
  <si>
    <t>081358940030</t>
  </si>
  <si>
    <t>Mekanik (Kandang)</t>
  </si>
  <si>
    <t>M ADITYA SANTOSO</t>
  </si>
  <si>
    <t>3514120707010002</t>
  </si>
  <si>
    <t>Glatik, 005/002, Watesnegoro, Ngoro</t>
  </si>
  <si>
    <t>081226759842</t>
  </si>
  <si>
    <t>FLEXO 6</t>
  </si>
  <si>
    <t>SUBIANTORO</t>
  </si>
  <si>
    <t>3518110711920005</t>
  </si>
  <si>
    <t>Watesnegoro, 002/008, Watesnegoro, Ngoro</t>
  </si>
  <si>
    <t>085730789639</t>
  </si>
  <si>
    <t>RAHMAT SYARIFUDIN</t>
  </si>
  <si>
    <t>3516060407040002</t>
  </si>
  <si>
    <t>Pungging, 005/003, Pungging, Pungging</t>
  </si>
  <si>
    <t>081456040878</t>
  </si>
  <si>
    <t>MUHAMMAD FAKHRI ADHI NUGROHO</t>
  </si>
  <si>
    <t>3516060905080002</t>
  </si>
  <si>
    <t>Dakon, 003/005, Watukenongo, Pungging</t>
  </si>
  <si>
    <t>081273881421</t>
  </si>
  <si>
    <t>GALANG CAHYO KARTIKO</t>
  </si>
  <si>
    <t>3515052005000002</t>
  </si>
  <si>
    <t>Kupang Lor, 002/002, Kupang, Jabon</t>
  </si>
  <si>
    <t>085850778068</t>
  </si>
  <si>
    <t>DEDIK AR ROHMAN</t>
  </si>
  <si>
    <t>3516082801080002</t>
  </si>
  <si>
    <t>Randubango, 004/002, Randubango, Mojosari</t>
  </si>
  <si>
    <t>085706467152</t>
  </si>
  <si>
    <t>IDUL SADEWA</t>
  </si>
  <si>
    <t>3516052610060004</t>
  </si>
  <si>
    <t>Kecapangan, 003/004, Ngoro, Ngoro</t>
  </si>
  <si>
    <t>081249384072</t>
  </si>
  <si>
    <t>MUHAMMAD RIFKI MAULANA</t>
  </si>
  <si>
    <t>3516053009020001</t>
  </si>
  <si>
    <t>Jedong Wetan, 016/002, Wotanmasjedong, Ngoro</t>
  </si>
  <si>
    <t>085733520477</t>
  </si>
  <si>
    <t>Pekojo, 002/001, Tunggalpager, Pungging, Pungging</t>
  </si>
  <si>
    <t>MUHAMMAD ZAINUDDIN</t>
  </si>
  <si>
    <t>RYNALDO DWI PUTRA</t>
  </si>
  <si>
    <t>3516051905070001</t>
  </si>
  <si>
    <t>083834375458</t>
  </si>
  <si>
    <t>id_peg</t>
  </si>
  <si>
    <t>no_ktp</t>
  </si>
  <si>
    <t>email_peg</t>
  </si>
  <si>
    <t>no_hp_peg</t>
  </si>
  <si>
    <t>tgl_lahir</t>
  </si>
  <si>
    <t>3517122510730003</t>
  </si>
  <si>
    <t>5308090304000001</t>
  </si>
  <si>
    <t>081216584786</t>
  </si>
  <si>
    <t>tempat_lahir</t>
  </si>
  <si>
    <t>gender</t>
  </si>
  <si>
    <t>L</t>
  </si>
  <si>
    <t>P</t>
  </si>
  <si>
    <t>agama</t>
  </si>
  <si>
    <t>status_kawin</t>
  </si>
  <si>
    <t>alamat_ktp_peg</t>
  </si>
  <si>
    <t>rt</t>
  </si>
  <si>
    <t>rw</t>
  </si>
  <si>
    <t>kecamatan</t>
  </si>
  <si>
    <t>kelurahan</t>
  </si>
  <si>
    <t>kota</t>
  </si>
  <si>
    <t>provinsi</t>
  </si>
  <si>
    <t>kode_pos</t>
  </si>
  <si>
    <t>alamat_domi_peg</t>
  </si>
  <si>
    <t>rt_dom</t>
  </si>
  <si>
    <t>rw_dom</t>
  </si>
  <si>
    <t>kelurahan_dom</t>
  </si>
  <si>
    <t>kecamatan_dom</t>
  </si>
  <si>
    <t>kota_dom</t>
  </si>
  <si>
    <t>provinsi_dom</t>
  </si>
  <si>
    <t>kode_pos_dom</t>
  </si>
  <si>
    <t>tgl_masuk</t>
  </si>
  <si>
    <t>status_peg</t>
  </si>
  <si>
    <t>npwp</t>
  </si>
  <si>
    <t>no_bpjs_tk</t>
  </si>
  <si>
    <t>no_bpjs_kes</t>
  </si>
  <si>
    <t>durasi_kontrak</t>
  </si>
  <si>
    <t>tgl_akhir_kontrak</t>
  </si>
  <si>
    <t>tgl_berhenti</t>
  </si>
  <si>
    <t>alasan_berhenti</t>
  </si>
  <si>
    <t>lokasi_kerja</t>
  </si>
  <si>
    <t>no_rekening</t>
  </si>
  <si>
    <t>PT Supracor Sejahtera</t>
  </si>
  <si>
    <t>nama_bank</t>
  </si>
  <si>
    <t>unit_kerja_id</t>
  </si>
  <si>
    <t>jabatan_id</t>
  </si>
  <si>
    <t>atasan_id</t>
  </si>
  <si>
    <t>foto_peg</t>
  </si>
  <si>
    <t>created_at</t>
  </si>
  <si>
    <t>updated_at</t>
  </si>
  <si>
    <t>company_name</t>
  </si>
  <si>
    <t>contract_month</t>
  </si>
  <si>
    <t>position_code</t>
  </si>
  <si>
    <t>level_code</t>
  </si>
  <si>
    <t>grade_code</t>
  </si>
  <si>
    <t>employee_subgroup</t>
  </si>
  <si>
    <t>ptkp_status</t>
  </si>
  <si>
    <t>bank_payee</t>
  </si>
  <si>
    <t>bank_kode</t>
  </si>
  <si>
    <t>bank_detail</t>
  </si>
  <si>
    <t>NULL</t>
  </si>
  <si>
    <t>Islam</t>
  </si>
  <si>
    <t>Kristen</t>
  </si>
  <si>
    <t>001</t>
  </si>
  <si>
    <t>004</t>
  </si>
  <si>
    <t>002</t>
  </si>
  <si>
    <t>018</t>
  </si>
  <si>
    <t>005</t>
  </si>
  <si>
    <t>003</t>
  </si>
  <si>
    <t>007</t>
  </si>
  <si>
    <t>011</t>
  </si>
  <si>
    <t>006</t>
  </si>
  <si>
    <t>008</t>
  </si>
  <si>
    <t>013</t>
  </si>
  <si>
    <t>016</t>
  </si>
  <si>
    <t>019</t>
  </si>
  <si>
    <t>024</t>
  </si>
  <si>
    <t>021</t>
  </si>
  <si>
    <t>017</t>
  </si>
  <si>
    <t>022</t>
  </si>
  <si>
    <t>012</t>
  </si>
  <si>
    <t>010</t>
  </si>
  <si>
    <t>020</t>
  </si>
  <si>
    <t>015</t>
  </si>
  <si>
    <t>009</t>
  </si>
  <si>
    <t>029</t>
  </si>
  <si>
    <t>014</t>
  </si>
  <si>
    <t>026</t>
  </si>
  <si>
    <t>048</t>
  </si>
  <si>
    <t>02</t>
  </si>
  <si>
    <t>033</t>
  </si>
  <si>
    <t>027</t>
  </si>
  <si>
    <t>0002</t>
  </si>
  <si>
    <t>0001</t>
  </si>
  <si>
    <t>000</t>
  </si>
  <si>
    <t>Sumbergedang</t>
  </si>
  <si>
    <t>Randuharjo</t>
  </si>
  <si>
    <t>Simo angin-angin</t>
  </si>
  <si>
    <t>Kebonwaris</t>
  </si>
  <si>
    <t>Watesnegoro</t>
  </si>
  <si>
    <t>Wuluh</t>
  </si>
  <si>
    <t>Pungging</t>
  </si>
  <si>
    <t>Manduro MG</t>
  </si>
  <si>
    <t>Purwojati</t>
  </si>
  <si>
    <t>Ngoro</t>
  </si>
  <si>
    <t>Manduro</t>
  </si>
  <si>
    <t>Kejapanan</t>
  </si>
  <si>
    <t>Winduharjo</t>
  </si>
  <si>
    <t>Jasem</t>
  </si>
  <si>
    <t>Kayuran</t>
  </si>
  <si>
    <t>Kunjorowesi</t>
  </si>
  <si>
    <t>Ngerog</t>
  </si>
  <si>
    <t>Kepadangan</t>
  </si>
  <si>
    <t>Bulusari</t>
  </si>
  <si>
    <t>Wonocolo</t>
  </si>
  <si>
    <t>Centong</t>
  </si>
  <si>
    <t>Karangdieng</t>
  </si>
  <si>
    <t>Janti</t>
  </si>
  <si>
    <t>Klantingsari</t>
  </si>
  <si>
    <t>Lebaksono</t>
  </si>
  <si>
    <t>Wonosari</t>
  </si>
  <si>
    <t>Simpang</t>
  </si>
  <si>
    <t>Wotanmasjedong</t>
  </si>
  <si>
    <t>Candiharjo</t>
  </si>
  <si>
    <t>Jeruk Purut</t>
  </si>
  <si>
    <t xml:space="preserve">Manduro </t>
  </si>
  <si>
    <t>Seduri</t>
  </si>
  <si>
    <t>Kesemen</t>
  </si>
  <si>
    <t>Kembangringgit</t>
  </si>
  <si>
    <t>Tondowulan</t>
  </si>
  <si>
    <t>Kedungkembar</t>
  </si>
  <si>
    <t>Lolawang</t>
  </si>
  <si>
    <t>Kedundung</t>
  </si>
  <si>
    <t>Sawo</t>
  </si>
  <si>
    <t>Tanjungkenongo</t>
  </si>
  <si>
    <t>Tambakagung</t>
  </si>
  <si>
    <t>Gedangan</t>
  </si>
  <si>
    <t>Rungkut</t>
  </si>
  <si>
    <t>Kembangsri</t>
  </si>
  <si>
    <t>Karangdiyeng</t>
  </si>
  <si>
    <t>Tunggalpager</t>
  </si>
  <si>
    <t>Balongmasin</t>
  </si>
  <si>
    <t>Ketok Tunggal Pager</t>
  </si>
  <si>
    <t>Pungging, 002/008, Balongmasin, Pungging</t>
  </si>
  <si>
    <t>Ngadirejo</t>
  </si>
  <si>
    <t>Sudimoro</t>
  </si>
  <si>
    <t>Tumapel</t>
  </si>
  <si>
    <t>Pagerngumbuk</t>
  </si>
  <si>
    <t>Randubango</t>
  </si>
  <si>
    <t>Medalem</t>
  </si>
  <si>
    <t>Bendunganjati</t>
  </si>
  <si>
    <t>Mindugaling</t>
  </si>
  <si>
    <t>Tarik</t>
  </si>
  <si>
    <t>Mojosari</t>
  </si>
  <si>
    <t>Tanjangrono</t>
  </si>
  <si>
    <t>Driyorejo</t>
  </si>
  <si>
    <t>Tunggal Pager</t>
  </si>
  <si>
    <t>Mojowatesrejo</t>
  </si>
  <si>
    <t>Sekargadung</t>
  </si>
  <si>
    <t>Ngrowo</t>
  </si>
  <si>
    <t>Purworejo</t>
  </si>
  <si>
    <t>Tempuran</t>
  </si>
  <si>
    <t>Banjartanggul</t>
  </si>
  <si>
    <t>Kalipuro</t>
  </si>
  <si>
    <t>Urungagung</t>
  </si>
  <si>
    <t>Simbaringin</t>
  </si>
  <si>
    <t>Japanan</t>
  </si>
  <si>
    <t>Sedati</t>
  </si>
  <si>
    <t>Barengkrajan</t>
  </si>
  <si>
    <t>Bandarasri</t>
  </si>
  <si>
    <t>Watestumpak</t>
  </si>
  <si>
    <t>Bangung</t>
  </si>
  <si>
    <t>Kintelan</t>
  </si>
  <si>
    <t>Pekukuhan</t>
  </si>
  <si>
    <t>Kutorejo</t>
  </si>
  <si>
    <t>Leminggir</t>
  </si>
  <si>
    <t>Singogalih</t>
  </si>
  <si>
    <t>Bladokan</t>
  </si>
  <si>
    <t>Kunjorewesi</t>
  </si>
  <si>
    <t>Salen</t>
  </si>
  <si>
    <t>Tempel</t>
  </si>
  <si>
    <t>Seketi</t>
  </si>
  <si>
    <t>Wates</t>
  </si>
  <si>
    <t>Legok</t>
  </si>
  <si>
    <t>Karanganyar</t>
  </si>
  <si>
    <t>Clumprit</t>
  </si>
  <si>
    <t>Ketawang</t>
  </si>
  <si>
    <t>Mulyodadi</t>
  </si>
  <si>
    <t>Mergosari</t>
  </si>
  <si>
    <t>Buduran</t>
  </si>
  <si>
    <t>Oro-oro dowo</t>
  </si>
  <si>
    <t>Jedongcangkring</t>
  </si>
  <si>
    <t>Jotangan</t>
  </si>
  <si>
    <t>Bangsal</t>
  </si>
  <si>
    <t>Cangkir</t>
  </si>
  <si>
    <t>Kemuning</t>
  </si>
  <si>
    <t>Pulorejo</t>
  </si>
  <si>
    <t>Sadartengah</t>
  </si>
  <si>
    <t>Sumbertanggul</t>
  </si>
  <si>
    <t>Sukolilo</t>
  </si>
  <si>
    <t>Bandung</t>
  </si>
  <si>
    <t>Mojorejo</t>
  </si>
  <si>
    <t>Kapas</t>
  </si>
  <si>
    <t>Klinterejo</t>
  </si>
  <si>
    <t>Jaten</t>
  </si>
  <si>
    <t>Kanor</t>
  </si>
  <si>
    <t>Gunusari Ilir</t>
  </si>
  <si>
    <t>Sedayulawas</t>
  </si>
  <si>
    <t>Sidorejo</t>
  </si>
  <si>
    <t>Pacarkembang</t>
  </si>
  <si>
    <t>Pakel</t>
  </si>
  <si>
    <t>Pasar Kemis</t>
  </si>
  <si>
    <t>Semanding</t>
  </si>
  <si>
    <t>Sumurwelut</t>
  </si>
  <si>
    <t>Mojosulur</t>
  </si>
  <si>
    <t>Warugunung</t>
  </si>
  <si>
    <t>Gamping</t>
  </si>
  <si>
    <t>Karangasem</t>
  </si>
  <si>
    <t>Wringinanom</t>
  </si>
  <si>
    <t>Kandangan</t>
  </si>
  <si>
    <t>00</t>
  </si>
  <si>
    <t>Tambaksari</t>
  </si>
  <si>
    <t>Mojolebak</t>
  </si>
  <si>
    <t>Miji</t>
  </si>
  <si>
    <t>Kepulungan</t>
  </si>
  <si>
    <t>Randugenengan</t>
  </si>
  <si>
    <t>Jatilangkung</t>
  </si>
  <si>
    <t>Watukosek</t>
  </si>
  <si>
    <t>Jeruk purut</t>
  </si>
  <si>
    <t>Panggreh</t>
  </si>
  <si>
    <t>Kedungsolo</t>
  </si>
  <si>
    <t>Punging</t>
  </si>
  <si>
    <t>Gempol</t>
  </si>
  <si>
    <t>Ngastemi</t>
  </si>
  <si>
    <t>Pakis</t>
  </si>
  <si>
    <t>Singonegoro</t>
  </si>
  <si>
    <t>Suko</t>
  </si>
  <si>
    <t>Kandang Jati Kulon</t>
  </si>
  <si>
    <t>Watukenongo</t>
  </si>
  <si>
    <t>Kupang</t>
  </si>
  <si>
    <t>Wonoayu</t>
  </si>
  <si>
    <t>Kesamben</t>
  </si>
  <si>
    <t>Tawangrejo</t>
  </si>
  <si>
    <t>Tulangan</t>
  </si>
  <si>
    <t>Taman</t>
  </si>
  <si>
    <t>Gondang</t>
  </si>
  <si>
    <t>Prambon</t>
  </si>
  <si>
    <t>Magersari</t>
  </si>
  <si>
    <t>Pacet</t>
  </si>
  <si>
    <t>Puri</t>
  </si>
  <si>
    <t>Jombang</t>
  </si>
  <si>
    <t>Dlanggiu</t>
  </si>
  <si>
    <t>Kemlagi</t>
  </si>
  <si>
    <t>Gedeg</t>
  </si>
  <si>
    <t>Sukodono</t>
  </si>
  <si>
    <t>Melikan</t>
  </si>
  <si>
    <t>Krian</t>
  </si>
  <si>
    <t>Trowulan</t>
  </si>
  <si>
    <t>Mojsari</t>
  </si>
  <si>
    <t>Tegalsiwalan</t>
  </si>
  <si>
    <t>Balongbendo</t>
  </si>
  <si>
    <t>Panggungrejo</t>
  </si>
  <si>
    <t>Pagelaran</t>
  </si>
  <si>
    <t>Klojen</t>
  </si>
  <si>
    <t>Prajurit Kulon</t>
  </si>
  <si>
    <t>Mojoanyar</t>
  </si>
  <si>
    <t>Bojonegoro</t>
  </si>
  <si>
    <t>Sooko</t>
  </si>
  <si>
    <t>Balikpapan Tengah</t>
  </si>
  <si>
    <t>Brondong</t>
  </si>
  <si>
    <t>Jetis</t>
  </si>
  <si>
    <t>Ngembeh</t>
  </si>
  <si>
    <t>Dlanggu</t>
  </si>
  <si>
    <t>Lakarsantri</t>
  </si>
  <si>
    <t>Karangpilang</t>
  </si>
  <si>
    <t>Cerme</t>
  </si>
  <si>
    <t>Kranggan</t>
  </si>
  <si>
    <t>Jabon</t>
  </si>
  <si>
    <t>Porong</t>
  </si>
  <si>
    <t>Sawahan</t>
  </si>
  <si>
    <t>Banyuwangi</t>
  </si>
  <si>
    <t>Kraksan</t>
  </si>
  <si>
    <t>Kab. Mojokerto</t>
  </si>
  <si>
    <t>Pasuruan</t>
  </si>
  <si>
    <t>Kab. Sidoarjo</t>
  </si>
  <si>
    <t>Kab. Jombang</t>
  </si>
  <si>
    <t>Kab. Pasuruan</t>
  </si>
  <si>
    <t>Kab. Kab. Pasuruan</t>
  </si>
  <si>
    <t>Kota Mojokerto</t>
  </si>
  <si>
    <t>Kab. Gresik</t>
  </si>
  <si>
    <t>Kab. Krian</t>
  </si>
  <si>
    <t>Kab. Malang</t>
  </si>
  <si>
    <t>Kab. Nganjuk</t>
  </si>
  <si>
    <t>Petisbenem, 001/002, Petisbenem, Duduksampeyan, Gresik</t>
  </si>
  <si>
    <t>Petisbenem</t>
  </si>
  <si>
    <t>Duduksampeyan</t>
  </si>
  <si>
    <t>Kab. Bojonegoro</t>
  </si>
  <si>
    <t>Kab. Karanganyar</t>
  </si>
  <si>
    <t>Kab. Lamongan</t>
  </si>
  <si>
    <t>Kab. Tulungagung</t>
  </si>
  <si>
    <t>Kab. Tangerang</t>
  </si>
  <si>
    <t>Kota Surabaya</t>
  </si>
  <si>
    <t>Kab. Tuban</t>
  </si>
  <si>
    <t>Kab. Banyuwangi</t>
  </si>
  <si>
    <t>Kab. Probolinggo</t>
  </si>
  <si>
    <t>Jawa Timur</t>
  </si>
  <si>
    <t>Jawa Barat</t>
  </si>
  <si>
    <t>Kab. Balikpapan Tengah</t>
  </si>
  <si>
    <t>Balikpapan</t>
  </si>
  <si>
    <t>Dayun, 001/001, Dayun, Dayun, Siak</t>
  </si>
  <si>
    <t>Dayun</t>
  </si>
  <si>
    <t>Kab. Siak</t>
  </si>
  <si>
    <t>Riau</t>
  </si>
  <si>
    <t>Sikakap</t>
  </si>
  <si>
    <t>Boyolali</t>
  </si>
  <si>
    <t>Jawa Tengah</t>
  </si>
  <si>
    <t>no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</si>
  <si>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</si>
  <si>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</si>
  <si>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</si>
  <si>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</si>
  <si>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</si>
  <si>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</si>
  <si>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</si>
  <si>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</si>
  <si>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</si>
  <si>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</si>
  <si>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</si>
  <si>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</si>
  <si>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</si>
  <si>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</si>
  <si>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</si>
  <si>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</si>
  <si>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</si>
  <si>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</si>
  <si>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</si>
  <si>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</si>
  <si>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</si>
  <si>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</si>
  <si>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</si>
  <si>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</si>
  <si>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</si>
  <si>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</si>
  <si>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</si>
  <si>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</si>
  <si>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</si>
  <si>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</si>
  <si>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</si>
  <si>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</si>
  <si>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</si>
  <si>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</si>
  <si>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</si>
  <si>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</si>
  <si>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</si>
  <si>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</si>
  <si>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</si>
  <si>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</si>
  <si>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</si>
  <si>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</si>
  <si>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</si>
  <si>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</si>
  <si>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</si>
  <si>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</si>
  <si>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</si>
  <si>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</si>
  <si>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</si>
  <si>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</si>
  <si>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</si>
  <si>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</si>
  <si>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</si>
  <si>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</si>
  <si>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</si>
  <si>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</si>
  <si>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</si>
  <si>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</si>
  <si>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</si>
  <si>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</si>
  <si>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</si>
  <si>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</si>
  <si>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</si>
  <si>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</si>
  <si>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</si>
  <si>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</si>
  <si>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</si>
  <si>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</si>
  <si>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</si>
  <si>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</si>
  <si>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</si>
  <si>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</si>
  <si>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</si>
  <si>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</si>
  <si>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</si>
  <si>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</si>
  <si>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</si>
  <si>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</si>
  <si>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</si>
  <si>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</si>
  <si>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</si>
  <si>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</si>
  <si>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</si>
  <si>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</si>
  <si>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</si>
  <si>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</si>
  <si>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</si>
  <si>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</si>
  <si>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</si>
  <si>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</si>
  <si>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</si>
  <si>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</si>
  <si>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</si>
  <si>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</si>
  <si>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</si>
  <si>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</si>
  <si>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</si>
  <si>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</si>
  <si>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</si>
  <si>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</si>
  <si>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</si>
  <si>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</si>
  <si>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</si>
  <si>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</si>
  <si>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</si>
  <si>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</si>
  <si>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</si>
  <si>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</si>
  <si>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</si>
  <si>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</si>
  <si>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</si>
  <si>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</si>
  <si>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</si>
  <si>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</si>
  <si>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</si>
  <si>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</si>
  <si>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</si>
  <si>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</si>
  <si>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</si>
  <si>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</si>
  <si>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</si>
  <si>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</si>
  <si>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</si>
  <si>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</si>
  <si>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</si>
  <si>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</si>
  <si>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</si>
  <si>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</si>
  <si>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</si>
  <si>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</si>
  <si>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</si>
  <si>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</si>
  <si>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</si>
  <si>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</si>
  <si>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</si>
  <si>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</si>
  <si>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</si>
  <si>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</si>
  <si>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</si>
  <si>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</si>
  <si>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</si>
  <si>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</si>
  <si>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</si>
  <si>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</si>
  <si>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</si>
  <si>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</si>
  <si>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</si>
  <si>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</si>
  <si>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</si>
  <si>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</si>
  <si>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</si>
  <si>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</si>
  <si>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</si>
  <si>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</si>
  <si>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</si>
  <si>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</si>
  <si>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</si>
  <si>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</si>
  <si>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</si>
  <si>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</si>
  <si>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</si>
  <si>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</si>
  <si>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</si>
  <si>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</si>
  <si>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</si>
  <si>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</si>
  <si>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</si>
  <si>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</si>
  <si>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</si>
  <si>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</si>
  <si>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</si>
  <si>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</si>
  <si>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</si>
  <si>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</si>
  <si>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</si>
  <si>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</si>
  <si>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</si>
  <si>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</si>
  <si>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</si>
  <si>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</si>
  <si>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</si>
  <si>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</si>
  <si>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</si>
  <si>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</si>
  <si>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</si>
  <si>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</si>
  <si>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</si>
  <si>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</si>
  <si>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</si>
  <si>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</si>
  <si>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</si>
  <si>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</si>
  <si>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</si>
  <si>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</si>
  <si>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</si>
  <si>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</si>
  <si>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</si>
  <si>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</si>
  <si>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</si>
  <si>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</si>
  <si>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</si>
  <si>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</si>
  <si>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</si>
  <si>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</si>
  <si>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</si>
  <si>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</si>
  <si>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</si>
  <si>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</si>
  <si>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</si>
  <si>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</si>
  <si>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</si>
  <si>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</si>
  <si>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</si>
  <si>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</si>
  <si>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</si>
  <si>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</si>
  <si>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</si>
  <si>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</si>
  <si>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</si>
  <si>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</si>
  <si>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</si>
  <si>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</si>
  <si>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</si>
  <si>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</si>
  <si>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</si>
  <si>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</si>
  <si>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</si>
  <si>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</si>
  <si>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</si>
  <si>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</si>
  <si>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</si>
  <si>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</si>
  <si>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</si>
  <si>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</si>
  <si>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</si>
  <si>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</si>
  <si>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</si>
  <si>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</si>
  <si>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</si>
  <si>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</si>
  <si>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</si>
  <si>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</si>
  <si>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</si>
  <si>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</si>
  <si>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</si>
  <si>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</si>
  <si>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</si>
  <si>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</si>
  <si>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</si>
  <si>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</si>
  <si>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</si>
  <si>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</si>
  <si>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</si>
  <si>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</si>
  <si>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</si>
  <si>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</si>
  <si>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</si>
  <si>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</si>
  <si>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</si>
  <si>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</si>
  <si>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</si>
  <si>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</si>
  <si>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</si>
  <si>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</si>
  <si>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</si>
  <si>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</si>
  <si>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</si>
  <si>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</si>
  <si>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</si>
  <si>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</si>
  <si>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</si>
  <si>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</si>
  <si>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</si>
  <si>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</si>
  <si>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</si>
  <si>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</si>
  <si>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</si>
  <si>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</si>
  <si>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</si>
  <si>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</si>
  <si>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</si>
  <si>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</si>
  <si>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</si>
  <si>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</si>
  <si>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</si>
  <si>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</si>
  <si>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</si>
  <si>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</si>
  <si>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</si>
  <si>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</si>
  <si>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</si>
  <si>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</si>
  <si>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</si>
  <si>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</si>
  <si>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</si>
  <si>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</si>
  <si>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</si>
  <si>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</si>
  <si>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</si>
  <si>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</si>
  <si>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</si>
  <si>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</si>
  <si>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</si>
  <si>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</si>
  <si>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</si>
  <si>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</si>
  <si>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</si>
  <si>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</si>
  <si>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</si>
  <si>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</si>
  <si>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</si>
  <si>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</si>
  <si>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</si>
  <si>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</si>
  <si>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</si>
  <si>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</si>
  <si>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</si>
  <si>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</si>
  <si>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</si>
  <si>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</si>
  <si>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</si>
  <si>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</si>
  <si>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</si>
  <si>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</si>
  <si>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</si>
  <si>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</si>
  <si>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</si>
  <si>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</si>
  <si>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</si>
  <si>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</si>
  <si>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</si>
  <si>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</si>
  <si>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</si>
  <si>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</si>
  <si>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</si>
  <si>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</si>
  <si>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</si>
  <si>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</si>
  <si>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</si>
  <si>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</si>
  <si>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</si>
  <si>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</si>
  <si>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</si>
  <si>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</si>
  <si>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</si>
  <si>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</si>
  <si>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</si>
  <si>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</si>
  <si>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</si>
  <si>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</si>
  <si>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</si>
  <si>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</si>
  <si>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</si>
  <si>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</si>
  <si>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</si>
  <si>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</si>
  <si>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</si>
  <si>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</si>
  <si>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</si>
  <si>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</si>
  <si>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</si>
  <si>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</si>
  <si>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</si>
  <si>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</si>
  <si>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</si>
  <si>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</si>
  <si>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</si>
  <si>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</si>
  <si>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</si>
  <si>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</si>
  <si>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</si>
  <si>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</si>
  <si>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</si>
  <si>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</si>
  <si>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</si>
  <si>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</si>
  <si>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</si>
  <si>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</si>
  <si>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</si>
  <si>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</si>
  <si>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</si>
  <si>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</si>
  <si>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</si>
  <si>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</si>
  <si>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</si>
  <si>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</si>
  <si>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</si>
  <si>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</si>
  <si>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</si>
  <si>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</si>
  <si>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</si>
  <si>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</si>
  <si>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</si>
  <si>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</si>
  <si>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</si>
  <si>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</si>
  <si>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</si>
  <si>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</si>
  <si>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</si>
  <si>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</si>
  <si>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</si>
  <si>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</si>
  <si>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</si>
  <si>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</si>
  <si>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</si>
  <si>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</si>
  <si>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</si>
  <si>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</si>
  <si>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</si>
  <si>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</si>
  <si>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</si>
  <si>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</si>
  <si>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</si>
  <si>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</si>
  <si>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</si>
  <si>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</si>
  <si>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</si>
  <si>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</si>
  <si>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</si>
  <si>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</si>
  <si>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</si>
  <si>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</si>
  <si>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</si>
  <si>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</si>
  <si>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</si>
  <si>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</si>
  <si>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</si>
  <si>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</si>
  <si>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</si>
  <si>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</si>
  <si>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</si>
  <si>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</si>
  <si>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</si>
  <si>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</si>
  <si>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</si>
  <si>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</si>
  <si>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</si>
  <si>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</si>
  <si>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</si>
  <si>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</si>
  <si>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</si>
  <si>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</si>
  <si>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</si>
  <si>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</si>
  <si>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</si>
  <si>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</si>
  <si>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</si>
  <si>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</si>
  <si>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</si>
  <si>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</si>
  <si>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</si>
  <si>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</si>
  <si>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</si>
  <si>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</si>
  <si>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</si>
  <si>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</si>
  <si>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</si>
  <si>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</si>
  <si>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</si>
  <si>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</si>
  <si>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</si>
  <si>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</si>
  <si>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</si>
  <si>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</si>
  <si>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</si>
  <si>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</si>
  <si>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</si>
  <si>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</si>
  <si>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</si>
  <si>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</si>
  <si>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</si>
  <si>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</si>
  <si>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</si>
  <si>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</si>
  <si>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</si>
  <si>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</si>
  <si>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</si>
  <si>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</si>
  <si>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</si>
  <si>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</si>
  <si>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</si>
  <si>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</si>
  <si>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</si>
  <si>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</si>
  <si>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</si>
  <si>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</si>
  <si>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</si>
  <si>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</si>
  <si>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</si>
  <si>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</si>
  <si>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</si>
  <si>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</si>
  <si>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</si>
  <si>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</si>
  <si>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</si>
  <si>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</si>
  <si>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</si>
  <si>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</si>
  <si>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</si>
  <si>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</si>
  <si>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</si>
  <si>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</si>
  <si>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</si>
  <si>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</si>
  <si>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</si>
  <si>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</si>
  <si>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tryandikarpx@gmail.com</t>
  </si>
  <si>
    <t>abdurroufmch@gmail.com</t>
  </si>
  <si>
    <t>ameliyaseptia02@gmail.com</t>
  </si>
  <si>
    <t>febianapuspita2@gmail.com</t>
  </si>
  <si>
    <t>safril.work@gmail.com</t>
  </si>
  <si>
    <t>rissputra25@gmail.com</t>
  </si>
  <si>
    <t>candikahp@gmail.com</t>
  </si>
  <si>
    <t>okysoap@gmail.com</t>
  </si>
  <si>
    <t>yunantarudy@gmail.com</t>
  </si>
  <si>
    <t>febriyantokurnia@gmail.com</t>
  </si>
  <si>
    <t>bagasn20@gmail.com</t>
  </si>
  <si>
    <t>muaramaju.siregar@gmail.com</t>
  </si>
  <si>
    <t>Malang</t>
  </si>
  <si>
    <t>christianmarcello31@gmail.com</t>
  </si>
  <si>
    <t>santoso.henry88@gmail.com</t>
  </si>
  <si>
    <t>Sidoarjo</t>
  </si>
  <si>
    <t>lauradef08@gmail.com</t>
  </si>
  <si>
    <t>Probolinggo</t>
  </si>
  <si>
    <t>yeremia.david1993@gmail.com</t>
  </si>
  <si>
    <t>leksanaaji02@gmail.com</t>
  </si>
  <si>
    <t>081362294361</t>
  </si>
  <si>
    <t>085749308641</t>
  </si>
  <si>
    <t>085607206723</t>
  </si>
  <si>
    <t>Lamongan</t>
  </si>
  <si>
    <t>faradinar94@gmail.com</t>
  </si>
  <si>
    <t>085895846156</t>
  </si>
  <si>
    <t>Lumajang</t>
  </si>
  <si>
    <t>081390667400</t>
  </si>
  <si>
    <t>Bogor</t>
  </si>
  <si>
    <t>Perum Taman Pinang Asri M5 No. 9, Lemah Putro, Sidoarjo</t>
  </si>
  <si>
    <t>Lemah Putro</t>
  </si>
  <si>
    <t>faiqzafran1118@gmail.com</t>
  </si>
  <si>
    <t>085755645804</t>
  </si>
  <si>
    <t>Banyuawangi</t>
  </si>
  <si>
    <t>Jabon, 004/002, Jogodayoh, Mojoanyar, Mojokerto</t>
  </si>
  <si>
    <t>Jogodayoh</t>
  </si>
  <si>
    <t>Kab. Mojoanyar</t>
  </si>
  <si>
    <t>085859077079</t>
  </si>
  <si>
    <t>lailyamilatul98@gmail.com</t>
  </si>
  <si>
    <t>zuhdiabdillahfidayat@gmail.com</t>
  </si>
  <si>
    <t>087853278085</t>
  </si>
  <si>
    <t>Tulungagung</t>
  </si>
  <si>
    <t>Patung, 03/002, Dusun Pungging, Pungging, Kec. Pungging, Kabupaten Mojokerto, Jawa Timur 61384</t>
  </si>
  <si>
    <t>Perum Puro Permata Blok G-34, Tulungagung</t>
  </si>
  <si>
    <t>Tuban</t>
  </si>
  <si>
    <t>Jl. Tarun Baru No. 02, 001/001, Wage, Taman, Sidoarjo</t>
  </si>
  <si>
    <t>Wage</t>
  </si>
  <si>
    <t>D4</t>
  </si>
  <si>
    <t>Nganjuk</t>
  </si>
  <si>
    <t>081249714871</t>
  </si>
  <si>
    <t>087882524252</t>
  </si>
  <si>
    <t>082257919320</t>
  </si>
  <si>
    <t>081217739762</t>
  </si>
  <si>
    <t>087854019320</t>
  </si>
  <si>
    <t>marchellyonathanp34@gmail.com</t>
  </si>
  <si>
    <t>bakhrululum1009@gmail.com</t>
  </si>
  <si>
    <t>0881036899083</t>
  </si>
  <si>
    <t>954705273642000</t>
  </si>
  <si>
    <t>rekiabiandsa18@gmail.com</t>
  </si>
  <si>
    <t>081252092473</t>
  </si>
  <si>
    <t>Kebumen</t>
  </si>
  <si>
    <t>085606353240</t>
  </si>
  <si>
    <t>okyramadhani00@gmail.com</t>
  </si>
  <si>
    <t>robbyindra11@yahoo.co,id</t>
  </si>
  <si>
    <t>085728254092</t>
  </si>
  <si>
    <t>albaihaqiyazid23@gmail.com</t>
  </si>
  <si>
    <t>richardowojaya1@gmail.com</t>
  </si>
  <si>
    <t>081253354835</t>
  </si>
  <si>
    <t xml:space="preserve">085895635378 </t>
  </si>
  <si>
    <t>991623869617000</t>
  </si>
  <si>
    <t>handriyanyulivfatur@gmail.com</t>
  </si>
  <si>
    <t>Sukadana</t>
  </si>
  <si>
    <t>ekandy88@gmail.com</t>
  </si>
  <si>
    <t>081338888692</t>
  </si>
  <si>
    <t>Pemalang</t>
  </si>
  <si>
    <t>DANANG MAULANA IBRAHIM</t>
  </si>
  <si>
    <t>RACHMAD PURWANTO</t>
  </si>
  <si>
    <t>MOCHAMAD RADITYA MAULANA SYAHPUTRA</t>
  </si>
  <si>
    <t>FAJAR HADI KUSUMA</t>
  </si>
  <si>
    <t>DEALOVA APRILIAWAN</t>
  </si>
  <si>
    <t>FAHMI DZIKRI OKTAVIAN</t>
  </si>
  <si>
    <t>IFAN RENDIANSYAH</t>
  </si>
  <si>
    <t>531</t>
  </si>
  <si>
    <t>532</t>
  </si>
  <si>
    <t>533</t>
  </si>
  <si>
    <t>082334974643</t>
  </si>
  <si>
    <t>085733029810</t>
  </si>
  <si>
    <t>081331327248</t>
  </si>
  <si>
    <t>085704421999</t>
  </si>
  <si>
    <t>081258734361</t>
  </si>
  <si>
    <t>0881026881604</t>
  </si>
  <si>
    <t>085785923296</t>
  </si>
  <si>
    <t>Perum Lawang Asri Blok O No. 20, 006/010, Sumolawang, Puri, Kota Mojokerto</t>
  </si>
  <si>
    <t>Jl. Soekarno Hatta GG. Langsep, 009/004, Kelutan, Trenggalek</t>
  </si>
  <si>
    <t>Mojosulur, 001/001, Mojosulur, Mojosari</t>
  </si>
  <si>
    <t>Sumolawang</t>
  </si>
  <si>
    <t>Langsep</t>
  </si>
  <si>
    <t>Kelutan</t>
  </si>
  <si>
    <t>Kab. Trenggalek</t>
  </si>
  <si>
    <t>Trenggalek</t>
  </si>
  <si>
    <t>fajar809@gmail.com</t>
  </si>
  <si>
    <t>Perum Garden Icon No. C 29, Jl. Raya Kebonagung, Puri, Mojokerto</t>
  </si>
  <si>
    <t>Kebonagung</t>
  </si>
  <si>
    <t>085975119580</t>
  </si>
  <si>
    <t>Gresik</t>
  </si>
  <si>
    <t>nama</t>
  </si>
  <si>
    <t>1 tahun</t>
  </si>
  <si>
    <t>270/02/2027</t>
  </si>
  <si>
    <t>6 bulan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</si>
</sst>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/m/yyyy"/>
    <numFmt numFmtId="165" formatCode="_(* #,##0_);_(* \(#,##0\);_(* &quot;-&quot;??_);_(@_)"/>
    <numFmt numFmtId="166" formatCode="dd/mm/yyyy;@"/>
    <numFmt numFmtId="167" formatCode="[$-409]d\-mmm\-yy;@"/>
  </numFmts>
  <fonts count="2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0"/>
      <color theme="1"/>
      <name val="Aptos Narrow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tim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  <font>
      <sz val="1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1"/>
      <color theme="0"/>
      <name val="Times New Roman"/>
      <family val="1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3" fillId="0" borderId="0" applyNumberFormat="0" applyFill="0" applyBorder="0" applyAlignment="0" applyProtection="0"/>
  </cellStyleXfs>
  <cellXfs count="230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6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2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0" fillId="0" borderId="8" xfId="0" applyBorder="1" applyAlignment="1">
      <alignment horizontal="left"/>
    </xf>
    <xf numFmtId="0" fontId="2" fillId="0" borderId="5" xfId="0" applyFont="1" applyBorder="1" applyAlignment="1">
      <alignment horizontal="left" vertical="center"/>
    </xf>
    <xf numFmtId="0" fontId="10" fillId="0" borderId="5" xfId="0" applyFont="1" applyBorder="1" applyAlignment="1">
      <alignment horizontal="left"/>
    </xf>
    <xf numFmtId="49" fontId="4" fillId="2" borderId="1" xfId="0" applyNumberFormat="1" applyFont="1" applyFill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/>
    </xf>
    <xf numFmtId="3" fontId="5" fillId="0" borderId="1" xfId="0" applyNumberFormat="1" applyFont="1" applyBorder="1" applyAlignment="1">
      <alignment horizontal="left" vertical="center"/>
    </xf>
    <xf numFmtId="49" fontId="5" fillId="0" borderId="1" xfId="0" quotePrefix="1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165" fontId="5" fillId="0" borderId="1" xfId="1" applyNumberFormat="1" applyFont="1" applyBorder="1" applyAlignment="1">
      <alignment horizontal="left" vertical="center"/>
    </xf>
    <xf numFmtId="14" fontId="5" fillId="0" borderId="8" xfId="0" applyNumberFormat="1" applyFont="1" applyBorder="1" applyAlignment="1">
      <alignment horizontal="left" vertical="center"/>
    </xf>
    <xf numFmtId="49" fontId="5" fillId="0" borderId="6" xfId="0" applyNumberFormat="1" applyFont="1" applyBorder="1" applyAlignment="1">
      <alignment horizontal="left" vertical="center"/>
    </xf>
    <xf numFmtId="14" fontId="5" fillId="0" borderId="9" xfId="0" applyNumberFormat="1" applyFont="1" applyBorder="1" applyAlignment="1">
      <alignment horizontal="left" vertical="center"/>
    </xf>
    <xf numFmtId="14" fontId="9" fillId="0" borderId="10" xfId="0" applyNumberFormat="1" applyFont="1" applyBorder="1" applyAlignment="1">
      <alignment horizontal="left" readingOrder="1"/>
    </xf>
    <xf numFmtId="0" fontId="11" fillId="0" borderId="1" xfId="0" applyFont="1" applyBorder="1" applyAlignment="1">
      <alignment horizontal="left" vertical="center"/>
    </xf>
    <xf numFmtId="49" fontId="11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49" fontId="7" fillId="0" borderId="1" xfId="0" applyNumberFormat="1" applyFont="1" applyBorder="1" applyAlignment="1">
      <alignment horizontal="left"/>
    </xf>
    <xf numFmtId="49" fontId="5" fillId="0" borderId="8" xfId="0" applyNumberFormat="1" applyFont="1" applyBorder="1" applyAlignment="1">
      <alignment horizontal="left" vertical="center"/>
    </xf>
    <xf numFmtId="0" fontId="3" fillId="0" borderId="8" xfId="0" applyFont="1" applyBorder="1" applyAlignment="1">
      <alignment horizontal="left"/>
    </xf>
    <xf numFmtId="49" fontId="3" fillId="0" borderId="8" xfId="0" applyNumberFormat="1" applyFont="1" applyBorder="1" applyAlignment="1">
      <alignment horizontal="left"/>
    </xf>
    <xf numFmtId="0" fontId="6" fillId="0" borderId="8" xfId="0" applyFont="1" applyBorder="1" applyAlignment="1">
      <alignment horizontal="left" vertical="center"/>
    </xf>
    <xf numFmtId="1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14" fontId="11" fillId="0" borderId="5" xfId="0" applyNumberFormat="1" applyFont="1" applyBorder="1" applyAlignment="1">
      <alignment horizontal="left" readingOrder="1"/>
    </xf>
    <xf numFmtId="0" fontId="11" fillId="0" borderId="5" xfId="0" applyFont="1" applyBorder="1" applyAlignment="1">
      <alignment horizontal="left" readingOrder="1"/>
    </xf>
    <xf numFmtId="49" fontId="11" fillId="0" borderId="5" xfId="0" applyNumberFormat="1" applyFont="1" applyBorder="1" applyAlignment="1">
      <alignment horizontal="left" readingOrder="1"/>
    </xf>
    <xf numFmtId="49" fontId="5" fillId="0" borderId="5" xfId="0" applyNumberFormat="1" applyFont="1" applyBorder="1" applyAlignment="1">
      <alignment horizontal="left" vertical="center"/>
    </xf>
    <xf numFmtId="14" fontId="5" fillId="0" borderId="5" xfId="0" applyNumberFormat="1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49" fontId="6" fillId="0" borderId="5" xfId="0" applyNumberFormat="1" applyFont="1" applyBorder="1" applyAlignment="1">
      <alignment horizontal="left" vertical="center"/>
    </xf>
    <xf numFmtId="0" fontId="0" fillId="0" borderId="5" xfId="0" applyBorder="1" applyAlignment="1">
      <alignment horizontal="left"/>
    </xf>
    <xf numFmtId="49" fontId="6" fillId="0" borderId="8" xfId="0" applyNumberFormat="1" applyFont="1" applyBorder="1" applyAlignment="1">
      <alignment horizontal="left" vertical="center"/>
    </xf>
    <xf numFmtId="49" fontId="5" fillId="0" borderId="9" xfId="0" applyNumberFormat="1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49" fontId="6" fillId="0" borderId="9" xfId="0" applyNumberFormat="1" applyFont="1" applyBorder="1" applyAlignment="1">
      <alignment horizontal="left" vertical="center"/>
    </xf>
    <xf numFmtId="0" fontId="0" fillId="0" borderId="9" xfId="0" applyBorder="1" applyAlignment="1">
      <alignment horizontal="left"/>
    </xf>
    <xf numFmtId="0" fontId="13" fillId="0" borderId="0" xfId="0" applyFont="1" applyAlignment="1">
      <alignment horizontal="left"/>
    </xf>
    <xf numFmtId="0" fontId="13" fillId="0" borderId="5" xfId="0" applyFont="1" applyBorder="1" applyAlignment="1">
      <alignment horizontal="left" vertical="center"/>
    </xf>
    <xf numFmtId="49" fontId="13" fillId="0" borderId="5" xfId="0" applyNumberFormat="1" applyFont="1" applyBorder="1" applyAlignment="1">
      <alignment horizontal="left" vertical="center"/>
    </xf>
    <xf numFmtId="14" fontId="14" fillId="0" borderId="5" xfId="0" applyNumberFormat="1" applyFont="1" applyBorder="1" applyAlignment="1">
      <alignment horizontal="left" readingOrder="1"/>
    </xf>
    <xf numFmtId="0" fontId="14" fillId="0" borderId="5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4" fillId="0" borderId="5" xfId="0" applyFont="1" applyBorder="1" applyAlignment="1">
      <alignment horizontal="left" readingOrder="1"/>
    </xf>
    <xf numFmtId="49" fontId="14" fillId="0" borderId="5" xfId="0" applyNumberFormat="1" applyFont="1" applyBorder="1" applyAlignment="1">
      <alignment horizontal="left" readingOrder="1"/>
    </xf>
    <xf numFmtId="0" fontId="13" fillId="0" borderId="5" xfId="0" applyFont="1" applyBorder="1" applyAlignment="1">
      <alignment horizontal="left" readingOrder="1"/>
    </xf>
    <xf numFmtId="14" fontId="13" fillId="0" borderId="5" xfId="0" applyNumberFormat="1" applyFont="1" applyBorder="1" applyAlignment="1">
      <alignment horizontal="left" readingOrder="1"/>
    </xf>
    <xf numFmtId="49" fontId="13" fillId="0" borderId="5" xfId="0" applyNumberFormat="1" applyFont="1" applyBorder="1" applyAlignment="1">
      <alignment horizontal="left" readingOrder="1"/>
    </xf>
    <xf numFmtId="165" fontId="5" fillId="0" borderId="8" xfId="1" applyNumberFormat="1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49" fontId="13" fillId="0" borderId="9" xfId="0" applyNumberFormat="1" applyFont="1" applyBorder="1" applyAlignment="1">
      <alignment horizontal="left" vertical="center"/>
    </xf>
    <xf numFmtId="14" fontId="13" fillId="0" borderId="9" xfId="0" applyNumberFormat="1" applyFont="1" applyBorder="1" applyAlignment="1">
      <alignment horizontal="left" vertical="center"/>
    </xf>
    <xf numFmtId="165" fontId="13" fillId="0" borderId="9" xfId="1" applyNumberFormat="1" applyFont="1" applyBorder="1" applyAlignment="1">
      <alignment horizontal="left" vertical="center"/>
    </xf>
    <xf numFmtId="0" fontId="13" fillId="0" borderId="13" xfId="0" applyFont="1" applyBorder="1" applyAlignment="1">
      <alignment readingOrder="1"/>
    </xf>
    <xf numFmtId="0" fontId="13" fillId="0" borderId="9" xfId="0" applyFont="1" applyBorder="1" applyAlignment="1">
      <alignment horizontal="left"/>
    </xf>
    <xf numFmtId="14" fontId="2" fillId="0" borderId="5" xfId="0" applyNumberFormat="1" applyFont="1" applyBorder="1" applyAlignment="1">
      <alignment horizontal="left" readingOrder="1"/>
    </xf>
    <xf numFmtId="14" fontId="2" fillId="0" borderId="2" xfId="0" applyNumberFormat="1" applyFont="1" applyBorder="1" applyAlignment="1">
      <alignment horizontal="left" readingOrder="1"/>
    </xf>
    <xf numFmtId="0" fontId="2" fillId="0" borderId="2" xfId="0" applyFont="1" applyBorder="1" applyAlignment="1">
      <alignment horizontal="left" readingOrder="1"/>
    </xf>
    <xf numFmtId="14" fontId="2" fillId="0" borderId="3" xfId="0" applyNumberFormat="1" applyFont="1" applyBorder="1" applyAlignment="1">
      <alignment horizontal="left" readingOrder="1"/>
    </xf>
    <xf numFmtId="0" fontId="2" fillId="0" borderId="3" xfId="0" applyFont="1" applyBorder="1" applyAlignment="1">
      <alignment horizontal="left" readingOrder="1"/>
    </xf>
    <xf numFmtId="14" fontId="2" fillId="0" borderId="4" xfId="0" applyNumberFormat="1" applyFont="1" applyBorder="1" applyAlignment="1">
      <alignment horizontal="left" readingOrder="1"/>
    </xf>
    <xf numFmtId="0" fontId="2" fillId="0" borderId="4" xfId="0" applyFont="1" applyBorder="1" applyAlignment="1">
      <alignment horizontal="left" readingOrder="1"/>
    </xf>
    <xf numFmtId="0" fontId="2" fillId="0" borderId="5" xfId="0" applyFont="1" applyBorder="1" applyAlignment="1">
      <alignment horizontal="left"/>
    </xf>
    <xf numFmtId="0" fontId="2" fillId="0" borderId="11" xfId="0" applyFont="1" applyBorder="1" applyAlignment="1">
      <alignment horizontal="left" readingOrder="1"/>
    </xf>
    <xf numFmtId="49" fontId="7" fillId="0" borderId="0" xfId="0" applyNumberFormat="1" applyFont="1" applyAlignment="1">
      <alignment horizontal="left"/>
    </xf>
    <xf numFmtId="0" fontId="2" fillId="0" borderId="12" xfId="0" applyFont="1" applyBorder="1" applyAlignment="1">
      <alignment horizontal="left" readingOrder="1"/>
    </xf>
    <xf numFmtId="14" fontId="7" fillId="0" borderId="5" xfId="0" applyNumberFormat="1" applyFont="1" applyBorder="1" applyAlignment="1">
      <alignment horizontal="left" readingOrder="1"/>
    </xf>
    <xf numFmtId="0" fontId="2" fillId="0" borderId="5" xfId="0" applyFont="1" applyBorder="1" applyAlignment="1">
      <alignment readingOrder="1"/>
    </xf>
    <xf numFmtId="0" fontId="7" fillId="0" borderId="5" xfId="0" applyFont="1" applyBorder="1" applyAlignment="1">
      <alignment readingOrder="1"/>
    </xf>
    <xf numFmtId="49" fontId="7" fillId="0" borderId="5" xfId="0" applyNumberFormat="1" applyFont="1" applyBorder="1" applyAlignment="1">
      <alignment readingOrder="1"/>
    </xf>
    <xf numFmtId="0" fontId="5" fillId="0" borderId="5" xfId="0" applyFont="1" applyBorder="1" applyAlignment="1">
      <alignment horizontal="left"/>
    </xf>
    <xf numFmtId="0" fontId="5" fillId="0" borderId="5" xfId="0" applyFont="1" applyBorder="1" applyAlignment="1">
      <alignment horizontal="left" readingOrder="1"/>
    </xf>
    <xf numFmtId="0" fontId="5" fillId="0" borderId="0" xfId="0" applyFont="1" applyAlignment="1">
      <alignment horizontal="left" vertical="center"/>
    </xf>
    <xf numFmtId="0" fontId="13" fillId="0" borderId="0" xfId="0" applyFont="1" applyAlignment="1">
      <alignment readingOrder="1"/>
    </xf>
    <xf numFmtId="49" fontId="5" fillId="4" borderId="1" xfId="0" applyNumberFormat="1" applyFont="1" applyFill="1" applyBorder="1" applyAlignment="1">
      <alignment horizontal="left" vertical="center"/>
    </xf>
    <xf numFmtId="14" fontId="5" fillId="4" borderId="1" xfId="0" applyNumberFormat="1" applyFont="1" applyFill="1" applyBorder="1" applyAlignment="1">
      <alignment horizontal="left" vertical="center"/>
    </xf>
    <xf numFmtId="165" fontId="5" fillId="4" borderId="1" xfId="1" applyNumberFormat="1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/>
    </xf>
    <xf numFmtId="0" fontId="0" fillId="4" borderId="0" xfId="0" applyFill="1" applyAlignment="1">
      <alignment horizontal="left"/>
    </xf>
    <xf numFmtId="49" fontId="4" fillId="2" borderId="5" xfId="0" applyNumberFormat="1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7" fillId="0" borderId="5" xfId="0" applyFont="1" applyBorder="1" applyAlignment="1">
      <alignment horizontal="left"/>
    </xf>
    <xf numFmtId="49" fontId="4" fillId="2" borderId="6" xfId="0" applyNumberFormat="1" applyFont="1" applyFill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49" fontId="4" fillId="2" borderId="7" xfId="0" applyNumberFormat="1" applyFont="1" applyFill="1" applyBorder="1" applyAlignment="1">
      <alignment horizontal="left" vertical="center" wrapText="1"/>
    </xf>
    <xf numFmtId="0" fontId="0" fillId="0" borderId="7" xfId="0" applyBorder="1" applyAlignment="1">
      <alignment horizontal="left"/>
    </xf>
    <xf numFmtId="0" fontId="6" fillId="0" borderId="7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2" fillId="0" borderId="7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7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14" fillId="0" borderId="18" xfId="0" applyFont="1" applyBorder="1" applyAlignment="1">
      <alignment horizontal="left" readingOrder="1"/>
    </xf>
    <xf numFmtId="0" fontId="7" fillId="0" borderId="7" xfId="0" applyFont="1" applyBorder="1" applyAlignment="1">
      <alignment horizontal="left"/>
    </xf>
    <xf numFmtId="0" fontId="6" fillId="0" borderId="20" xfId="0" applyFont="1" applyBorder="1" applyAlignment="1">
      <alignment horizontal="left" vertical="center"/>
    </xf>
    <xf numFmtId="0" fontId="2" fillId="4" borderId="8" xfId="0" applyFont="1" applyFill="1" applyBorder="1" applyAlignment="1">
      <alignment horizontal="left" vertical="center"/>
    </xf>
    <xf numFmtId="0" fontId="5" fillId="0" borderId="21" xfId="0" applyFont="1" applyBorder="1" applyAlignment="1">
      <alignment horizontal="left"/>
    </xf>
    <xf numFmtId="0" fontId="5" fillId="0" borderId="20" xfId="0" applyFont="1" applyBorder="1" applyAlignment="1">
      <alignment horizontal="left" vertical="center"/>
    </xf>
    <xf numFmtId="0" fontId="0" fillId="0" borderId="20" xfId="0" applyBorder="1" applyAlignment="1">
      <alignment horizontal="left"/>
    </xf>
    <xf numFmtId="0" fontId="5" fillId="0" borderId="22" xfId="0" applyFont="1" applyBorder="1" applyAlignment="1">
      <alignment horizontal="left" vertical="center"/>
    </xf>
    <xf numFmtId="0" fontId="2" fillId="4" borderId="9" xfId="0" applyFont="1" applyFill="1" applyBorder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2" fillId="0" borderId="0" xfId="0" applyFont="1" applyAlignment="1">
      <alignment horizontal="left"/>
    </xf>
    <xf numFmtId="49" fontId="15" fillId="2" borderId="5" xfId="0" applyNumberFormat="1" applyFont="1" applyFill="1" applyBorder="1" applyAlignment="1">
      <alignment horizontal="left" vertical="center" wrapText="1"/>
    </xf>
    <xf numFmtId="0" fontId="16" fillId="0" borderId="5" xfId="0" applyFont="1" applyBorder="1" applyAlignment="1">
      <alignment horizontal="left" vertical="center"/>
    </xf>
    <xf numFmtId="0" fontId="16" fillId="0" borderId="5" xfId="0" applyFont="1" applyBorder="1" applyAlignment="1">
      <alignment horizontal="left"/>
    </xf>
    <xf numFmtId="0" fontId="17" fillId="0" borderId="5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13" fillId="0" borderId="16" xfId="0" applyFont="1" applyBorder="1" applyAlignment="1">
      <alignment horizontal="left" readingOrder="1"/>
    </xf>
    <xf numFmtId="0" fontId="13" fillId="0" borderId="14" xfId="0" applyFont="1" applyBorder="1" applyAlignment="1">
      <alignment horizontal="left" vertical="center"/>
    </xf>
    <xf numFmtId="0" fontId="8" fillId="0" borderId="16" xfId="0" applyFont="1" applyBorder="1" applyAlignment="1">
      <alignment horizontal="left" readingOrder="1"/>
    </xf>
    <xf numFmtId="0" fontId="5" fillId="0" borderId="14" xfId="0" applyFont="1" applyBorder="1" applyAlignment="1">
      <alignment horizontal="left" vertical="center"/>
    </xf>
    <xf numFmtId="0" fontId="5" fillId="4" borderId="6" xfId="0" applyFont="1" applyFill="1" applyBorder="1" applyAlignment="1">
      <alignment horizontal="left" vertical="center"/>
    </xf>
    <xf numFmtId="0" fontId="12" fillId="0" borderId="6" xfId="0" applyFont="1" applyBorder="1"/>
    <xf numFmtId="0" fontId="5" fillId="0" borderId="16" xfId="0" applyFont="1" applyBorder="1" applyAlignment="1">
      <alignment horizontal="left" vertical="center"/>
    </xf>
    <xf numFmtId="0" fontId="14" fillId="0" borderId="16" xfId="0" applyFont="1" applyBorder="1" applyAlignment="1">
      <alignment horizontal="left" readingOrder="1"/>
    </xf>
    <xf numFmtId="0" fontId="5" fillId="4" borderId="7" xfId="0" applyFont="1" applyFill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12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14" fontId="5" fillId="0" borderId="0" xfId="0" applyNumberFormat="1" applyFont="1" applyFill="1" applyBorder="1" applyAlignment="1">
      <alignment horizontal="left" vertical="center"/>
    </xf>
    <xf numFmtId="49" fontId="5" fillId="0" borderId="0" xfId="0" applyNumberFormat="1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readingOrder="1"/>
    </xf>
    <xf numFmtId="49" fontId="4" fillId="2" borderId="0" xfId="0" applyNumberFormat="1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 readingOrder="1"/>
    </xf>
    <xf numFmtId="49" fontId="2" fillId="0" borderId="0" xfId="0" applyNumberFormat="1" applyFont="1" applyFill="1" applyBorder="1" applyAlignment="1">
      <alignment horizontal="left"/>
    </xf>
    <xf numFmtId="0" fontId="2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 vertical="center"/>
    </xf>
    <xf numFmtId="166" fontId="5" fillId="0" borderId="0" xfId="0" applyNumberFormat="1" applyFont="1" applyFill="1" applyBorder="1" applyAlignment="1">
      <alignment horizontal="left" vertical="center"/>
    </xf>
    <xf numFmtId="166" fontId="5" fillId="0" borderId="0" xfId="0" applyNumberFormat="1" applyFont="1" applyBorder="1" applyAlignment="1">
      <alignment horizontal="left" vertical="center"/>
    </xf>
    <xf numFmtId="166" fontId="5" fillId="0" borderId="0" xfId="0" applyNumberFormat="1" applyFont="1" applyFill="1" applyBorder="1" applyAlignment="1">
      <alignment horizontal="left" readingOrder="1"/>
    </xf>
    <xf numFmtId="166" fontId="2" fillId="0" borderId="0" xfId="0" applyNumberFormat="1" applyFont="1" applyFill="1" applyBorder="1" applyAlignment="1">
      <alignment horizontal="left"/>
    </xf>
    <xf numFmtId="166" fontId="2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 vertical="center"/>
    </xf>
    <xf numFmtId="0" fontId="16" fillId="0" borderId="0" xfId="0" applyFont="1" applyBorder="1" applyAlignment="1">
      <alignment horizontal="left" vertical="center"/>
    </xf>
    <xf numFmtId="0" fontId="17" fillId="0" borderId="0" xfId="0" applyFont="1" applyBorder="1" applyAlignment="1">
      <alignment horizontal="left" vertical="center"/>
    </xf>
    <xf numFmtId="0" fontId="16" fillId="0" borderId="0" xfId="0" applyFont="1" applyFill="1" applyBorder="1" applyAlignment="1">
      <alignment horizontal="left" vertical="center"/>
    </xf>
    <xf numFmtId="49" fontId="2" fillId="0" borderId="0" xfId="0" applyNumberFormat="1" applyFont="1" applyBorder="1" applyAlignment="1">
      <alignment horizontal="left"/>
    </xf>
    <xf numFmtId="0" fontId="19" fillId="0" borderId="0" xfId="0" applyFont="1" applyFill="1" applyBorder="1" applyAlignment="1">
      <alignment horizontal="left"/>
    </xf>
    <xf numFmtId="0" fontId="0" fillId="0" borderId="0" xfId="0" applyBorder="1"/>
    <xf numFmtId="0" fontId="19" fillId="10" borderId="0" xfId="0" applyFont="1" applyFill="1" applyBorder="1" applyAlignment="1">
      <alignment horizontal="left"/>
    </xf>
    <xf numFmtId="49" fontId="19" fillId="10" borderId="0" xfId="0" applyNumberFormat="1" applyFont="1" applyFill="1" applyBorder="1" applyAlignment="1">
      <alignment horizontal="left"/>
    </xf>
    <xf numFmtId="166" fontId="19" fillId="10" borderId="0" xfId="0" applyNumberFormat="1" applyFont="1" applyFill="1" applyBorder="1" applyAlignment="1">
      <alignment horizontal="left"/>
    </xf>
    <xf numFmtId="0" fontId="20" fillId="10" borderId="0" xfId="0" applyFont="1" applyFill="1" applyBorder="1" applyAlignment="1">
      <alignment horizontal="left" vertical="center"/>
    </xf>
    <xf numFmtId="0" fontId="19" fillId="11" borderId="0" xfId="0" applyFont="1" applyFill="1" applyBorder="1" applyAlignment="1">
      <alignment horizontal="left"/>
    </xf>
    <xf numFmtId="0" fontId="5" fillId="0" borderId="0" xfId="0" applyNumberFormat="1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 readingOrder="1"/>
    </xf>
    <xf numFmtId="166" fontId="2" fillId="0" borderId="0" xfId="0" applyNumberFormat="1" applyFont="1" applyFill="1" applyBorder="1" applyAlignment="1">
      <alignment horizontal="left" readingOrder="1"/>
    </xf>
    <xf numFmtId="49" fontId="5" fillId="0" borderId="0" xfId="0" applyNumberFormat="1" applyFont="1" applyFill="1" applyBorder="1" applyAlignment="1">
      <alignment horizontal="left"/>
    </xf>
    <xf numFmtId="0" fontId="2" fillId="9" borderId="0" xfId="0" applyFont="1" applyFill="1" applyBorder="1" applyAlignment="1">
      <alignment horizontal="left"/>
    </xf>
    <xf numFmtId="165" fontId="5" fillId="0" borderId="0" xfId="1" applyNumberFormat="1" applyFont="1" applyFill="1" applyBorder="1" applyAlignment="1">
      <alignment horizontal="left" vertical="center"/>
    </xf>
    <xf numFmtId="14" fontId="2" fillId="0" borderId="0" xfId="0" applyNumberFormat="1" applyFont="1" applyFill="1" applyBorder="1" applyAlignment="1">
      <alignment horizontal="left"/>
    </xf>
    <xf numFmtId="0" fontId="2" fillId="6" borderId="0" xfId="0" applyFont="1" applyFill="1" applyBorder="1" applyAlignment="1">
      <alignment horizontal="left"/>
    </xf>
    <xf numFmtId="0" fontId="2" fillId="7" borderId="0" xfId="0" applyFont="1" applyFill="1" applyBorder="1" applyAlignment="1">
      <alignment horizontal="left"/>
    </xf>
    <xf numFmtId="49" fontId="2" fillId="0" borderId="0" xfId="0" applyNumberFormat="1" applyFont="1" applyFill="1" applyBorder="1" applyAlignment="1">
      <alignment horizontal="left" vertical="center"/>
    </xf>
    <xf numFmtId="0" fontId="0" fillId="0" borderId="0" xfId="0" applyBorder="1" applyAlignment="1">
      <alignment horizontal="left"/>
    </xf>
    <xf numFmtId="49" fontId="18" fillId="0" borderId="0" xfId="0" applyNumberFormat="1" applyFont="1" applyBorder="1" applyAlignment="1">
      <alignment horizontal="left" vertical="center"/>
    </xf>
    <xf numFmtId="166" fontId="17" fillId="0" borderId="0" xfId="0" applyNumberFormat="1" applyFont="1" applyBorder="1" applyAlignment="1">
      <alignment horizontal="left" vertical="center"/>
    </xf>
    <xf numFmtId="0" fontId="18" fillId="0" borderId="0" xfId="0" applyFont="1" applyBorder="1" applyAlignment="1">
      <alignment horizontal="left" vertical="center"/>
    </xf>
    <xf numFmtId="0" fontId="16" fillId="0" borderId="0" xfId="0" applyFont="1" applyBorder="1" applyAlignment="1">
      <alignment horizontal="left"/>
    </xf>
    <xf numFmtId="49" fontId="2" fillId="0" borderId="0" xfId="0" applyNumberFormat="1" applyFont="1" applyFill="1" applyBorder="1" applyAlignment="1">
      <alignment horizontal="left" readingOrder="1"/>
    </xf>
    <xf numFmtId="0" fontId="21" fillId="0" borderId="0" xfId="0" applyFont="1" applyFill="1" applyBorder="1" applyAlignment="1">
      <alignment horizontal="left"/>
    </xf>
    <xf numFmtId="49" fontId="2" fillId="0" borderId="0" xfId="0" applyNumberFormat="1" applyFont="1" applyFill="1" applyBorder="1" applyAlignment="1">
      <alignment readingOrder="1"/>
    </xf>
    <xf numFmtId="0" fontId="2" fillId="0" borderId="0" xfId="0" applyFont="1" applyFill="1" applyBorder="1" applyAlignment="1">
      <alignment readingOrder="1"/>
    </xf>
    <xf numFmtId="49" fontId="2" fillId="0" borderId="0" xfId="0" applyNumberFormat="1" applyFont="1" applyFill="1" applyBorder="1"/>
    <xf numFmtId="0" fontId="2" fillId="0" borderId="0" xfId="0" applyFont="1" applyFill="1" applyBorder="1"/>
    <xf numFmtId="49" fontId="7" fillId="0" borderId="0" xfId="0" applyNumberFormat="1" applyFont="1" applyBorder="1" applyAlignment="1">
      <alignment wrapText="1"/>
    </xf>
    <xf numFmtId="49" fontId="5" fillId="0" borderId="0" xfId="0" applyNumberFormat="1" applyFont="1" applyFill="1" applyBorder="1" applyAlignment="1">
      <alignment horizontal="left" readingOrder="1"/>
    </xf>
    <xf numFmtId="49" fontId="5" fillId="0" borderId="0" xfId="0" applyNumberFormat="1" applyFont="1" applyBorder="1" applyAlignment="1">
      <alignment horizontal="left" vertical="center"/>
    </xf>
    <xf numFmtId="0" fontId="0" fillId="0" borderId="0" xfId="0" applyFill="1" applyBorder="1"/>
    <xf numFmtId="0" fontId="5" fillId="0" borderId="0" xfId="0" applyFont="1" applyFill="1" applyBorder="1" applyAlignment="1">
      <alignment readingOrder="1"/>
    </xf>
    <xf numFmtId="0" fontId="2" fillId="8" borderId="0" xfId="0" applyFont="1" applyFill="1" applyBorder="1" applyAlignment="1">
      <alignment horizontal="left"/>
    </xf>
    <xf numFmtId="166" fontId="17" fillId="0" borderId="0" xfId="0" applyNumberFormat="1" applyFont="1" applyFill="1" applyBorder="1" applyAlignment="1">
      <alignment horizontal="left" vertical="center"/>
    </xf>
    <xf numFmtId="0" fontId="17" fillId="0" borderId="0" xfId="0" applyFont="1" applyFill="1" applyBorder="1" applyAlignment="1">
      <alignment horizontal="left" vertical="center"/>
    </xf>
    <xf numFmtId="0" fontId="18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/>
    </xf>
    <xf numFmtId="49" fontId="20" fillId="10" borderId="0" xfId="0" applyNumberFormat="1" applyFont="1" applyFill="1" applyBorder="1" applyAlignment="1">
      <alignment horizontal="left" vertical="center"/>
    </xf>
    <xf numFmtId="49" fontId="5" fillId="0" borderId="0" xfId="0" applyNumberFormat="1" applyFont="1" applyFill="1" applyBorder="1" applyAlignment="1">
      <alignment readingOrder="1"/>
    </xf>
    <xf numFmtId="49" fontId="17" fillId="0" borderId="0" xfId="0" applyNumberFormat="1" applyFont="1" applyFill="1" applyBorder="1" applyAlignment="1">
      <alignment horizontal="left" vertical="center"/>
    </xf>
    <xf numFmtId="0" fontId="23" fillId="0" borderId="0" xfId="2" applyBorder="1" applyAlignment="1">
      <alignment horizontal="left"/>
    </xf>
    <xf numFmtId="49" fontId="17" fillId="0" borderId="0" xfId="0" applyNumberFormat="1" applyFont="1" applyBorder="1" applyAlignment="1">
      <alignment horizontal="left" vertical="center"/>
    </xf>
    <xf numFmtId="0" fontId="24" fillId="0" borderId="0" xfId="2" applyFont="1" applyFill="1" applyBorder="1" applyAlignment="1">
      <alignment horizontal="left" vertical="center"/>
    </xf>
    <xf numFmtId="0" fontId="24" fillId="0" borderId="0" xfId="2" applyFont="1" applyFill="1" applyBorder="1" applyAlignment="1">
      <alignment horizontal="left" readingOrder="1"/>
    </xf>
    <xf numFmtId="0" fontId="24" fillId="0" borderId="0" xfId="2" applyFont="1" applyFill="1" applyBorder="1" applyAlignment="1">
      <alignment horizontal="left"/>
    </xf>
    <xf numFmtId="0" fontId="24" fillId="0" borderId="0" xfId="2" applyFont="1" applyBorder="1" applyAlignment="1">
      <alignment horizontal="left"/>
    </xf>
    <xf numFmtId="0" fontId="24" fillId="0" borderId="0" xfId="2" applyFont="1" applyBorder="1"/>
    <xf numFmtId="0" fontId="24" fillId="0" borderId="0" xfId="2" applyFont="1" applyBorder="1" applyAlignment="1">
      <alignment wrapText="1"/>
    </xf>
    <xf numFmtId="167" fontId="2" fillId="0" borderId="0" xfId="0" applyNumberFormat="1" applyFont="1" applyBorder="1" applyAlignment="1">
      <alignment horizontal="left"/>
    </xf>
    <xf numFmtId="14" fontId="2" fillId="0" borderId="0" xfId="0" applyNumberFormat="1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19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okysoap@gmail.com" TargetMode="External"/><Relationship Id="rId13" Type="http://schemas.openxmlformats.org/officeDocument/2006/relationships/hyperlink" Target="mailto:christianmarcello31@gmail.com" TargetMode="External"/><Relationship Id="rId18" Type="http://schemas.openxmlformats.org/officeDocument/2006/relationships/hyperlink" Target="mailto:faradinar94@gmail.com" TargetMode="External"/><Relationship Id="rId26" Type="http://schemas.openxmlformats.org/officeDocument/2006/relationships/hyperlink" Target="mailto:robbyindra11@yahoo.co,id" TargetMode="External"/><Relationship Id="rId3" Type="http://schemas.openxmlformats.org/officeDocument/2006/relationships/hyperlink" Target="mailto:ameliyaseptia02@gmail.com" TargetMode="External"/><Relationship Id="rId21" Type="http://schemas.openxmlformats.org/officeDocument/2006/relationships/hyperlink" Target="mailto:zuhdiabdillahfidayat@gmail.com" TargetMode="External"/><Relationship Id="rId7" Type="http://schemas.openxmlformats.org/officeDocument/2006/relationships/hyperlink" Target="mailto:candikahp@gmail.com" TargetMode="External"/><Relationship Id="rId12" Type="http://schemas.openxmlformats.org/officeDocument/2006/relationships/hyperlink" Target="mailto:muaramaju.siregar@gmail.com" TargetMode="External"/><Relationship Id="rId17" Type="http://schemas.openxmlformats.org/officeDocument/2006/relationships/hyperlink" Target="mailto:leksanaaji02@gmail.com" TargetMode="External"/><Relationship Id="rId25" Type="http://schemas.openxmlformats.org/officeDocument/2006/relationships/hyperlink" Target="mailto:okyramadhani00@gmail.com" TargetMode="External"/><Relationship Id="rId2" Type="http://schemas.openxmlformats.org/officeDocument/2006/relationships/hyperlink" Target="mailto:abdurroufmch@gmail.com" TargetMode="External"/><Relationship Id="rId16" Type="http://schemas.openxmlformats.org/officeDocument/2006/relationships/hyperlink" Target="mailto:yeremia.david1993@gmail.com" TargetMode="External"/><Relationship Id="rId20" Type="http://schemas.openxmlformats.org/officeDocument/2006/relationships/hyperlink" Target="mailto:lailyamilatul98@gmail.com" TargetMode="External"/><Relationship Id="rId29" Type="http://schemas.openxmlformats.org/officeDocument/2006/relationships/hyperlink" Target="mailto:handriyanyulivfatur@gmail.com" TargetMode="External"/><Relationship Id="rId1" Type="http://schemas.openxmlformats.org/officeDocument/2006/relationships/hyperlink" Target="mailto:tryandikarpx@gmail.com" TargetMode="External"/><Relationship Id="rId6" Type="http://schemas.openxmlformats.org/officeDocument/2006/relationships/hyperlink" Target="mailto:rissputra25@gmail.com" TargetMode="External"/><Relationship Id="rId11" Type="http://schemas.openxmlformats.org/officeDocument/2006/relationships/hyperlink" Target="mailto:bagasn20@gmail.com" TargetMode="External"/><Relationship Id="rId24" Type="http://schemas.openxmlformats.org/officeDocument/2006/relationships/hyperlink" Target="mailto:rekiabiandsa18@gmail.com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mailto:safril.work@gmail.com" TargetMode="External"/><Relationship Id="rId15" Type="http://schemas.openxmlformats.org/officeDocument/2006/relationships/hyperlink" Target="mailto:lauradef08@gmail.com" TargetMode="External"/><Relationship Id="rId23" Type="http://schemas.openxmlformats.org/officeDocument/2006/relationships/hyperlink" Target="mailto:bakhrululum1009@gmail.com" TargetMode="External"/><Relationship Id="rId28" Type="http://schemas.openxmlformats.org/officeDocument/2006/relationships/hyperlink" Target="mailto:richardowojaya1@gmail.com" TargetMode="External"/><Relationship Id="rId10" Type="http://schemas.openxmlformats.org/officeDocument/2006/relationships/hyperlink" Target="mailto:febriyantokurnia@gmail.com" TargetMode="External"/><Relationship Id="rId19" Type="http://schemas.openxmlformats.org/officeDocument/2006/relationships/hyperlink" Target="mailto:faiqzafran1118@gmail.com" TargetMode="External"/><Relationship Id="rId31" Type="http://schemas.openxmlformats.org/officeDocument/2006/relationships/hyperlink" Target="mailto:fajar809@gmail.com" TargetMode="External"/><Relationship Id="rId4" Type="http://schemas.openxmlformats.org/officeDocument/2006/relationships/hyperlink" Target="mailto:febianapuspita2@gmail.com" TargetMode="External"/><Relationship Id="rId9" Type="http://schemas.openxmlformats.org/officeDocument/2006/relationships/hyperlink" Target="mailto:yunantarudy@gmail.com" TargetMode="External"/><Relationship Id="rId14" Type="http://schemas.openxmlformats.org/officeDocument/2006/relationships/hyperlink" Target="mailto:santoso.henry88@gmail.com" TargetMode="External"/><Relationship Id="rId22" Type="http://schemas.openxmlformats.org/officeDocument/2006/relationships/hyperlink" Target="mailto:marchellyonathanp34@gmail.com" TargetMode="External"/><Relationship Id="rId27" Type="http://schemas.openxmlformats.org/officeDocument/2006/relationships/hyperlink" Target="mailto:albaihaqiyazid23@gmail.com" TargetMode="External"/><Relationship Id="rId30" Type="http://schemas.openxmlformats.org/officeDocument/2006/relationships/hyperlink" Target="mailto:ekandy8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38E6C-441C-4E77-B1B8-477140E36809}">
  <sheetPr>
    <pageSetUpPr fitToPage="1"/>
  </sheetPr>
  <dimension ref="A1:BR537"/>
  <sheetViews>
    <sheetView tabSelected="1" zoomScale="85" zoomScaleNormal="85" workbookViewId="0">
      <pane xSplit="4" ySplit="4" topLeftCell="BD488" activePane="bottomRight" state="frozen"/>
      <selection pane="topRight" activeCell="D1" sqref="D1"/>
      <selection pane="bottomLeft" activeCell="A2" sqref="A2"/>
      <selection pane="bottomRight" activeCell="BJ498" sqref="BJ498"/>
    </sheetView>
  </sheetViews>
  <sheetFormatPr defaultColWidth="9.125" defaultRowHeight="15"/>
  <cols>
    <col min="1" max="1" width="8.125" style="156" bestFit="1" customWidth="1"/>
    <col min="2" max="2" width="16.125" style="176" bestFit="1" customWidth="1"/>
    <col min="3" max="3" width="3.625" style="176" bestFit="1" customWidth="1"/>
    <col min="4" max="4" width="28.875" style="162" customWidth="1"/>
    <col min="5" max="5" width="24.5" style="162" customWidth="1"/>
    <col min="6" max="6" width="12.5" style="176" bestFit="1" customWidth="1"/>
    <col min="7" max="7" width="10.375" style="171" bestFit="1" customWidth="1"/>
    <col min="8" max="8" width="15.125" style="171" customWidth="1"/>
    <col min="9" max="10" width="7.75" style="162" customWidth="1"/>
    <col min="11" max="11" width="12.875" style="166" bestFit="1" customWidth="1"/>
    <col min="12" max="12" width="36" style="166" customWidth="1"/>
    <col min="13" max="14" width="6.75" style="209" customWidth="1"/>
    <col min="15" max="17" width="14.25" style="166" customWidth="1"/>
    <col min="18" max="18" width="9.625" style="166" bestFit="1" customWidth="1"/>
    <col min="19" max="20" width="14.25" style="166" customWidth="1"/>
    <col min="21" max="22" width="6.75" style="209" customWidth="1"/>
    <col min="23" max="27" width="14.25" style="166" customWidth="1"/>
    <col min="28" max="28" width="11.625" style="171" bestFit="1" customWidth="1"/>
    <col min="29" max="29" width="12.25" style="162" bestFit="1" customWidth="1"/>
    <col min="30" max="30" width="14.375" style="176" bestFit="1" customWidth="1"/>
    <col min="31" max="36" width="12.25" style="162" customWidth="1"/>
    <col min="37" max="37" width="17.875" style="162" bestFit="1" customWidth="1"/>
    <col min="38" max="39" width="12.25" style="162" customWidth="1"/>
    <col min="40" max="40" width="24.75" style="162" customWidth="1"/>
    <col min="41" max="43" width="16.375" style="162" customWidth="1"/>
    <col min="44" max="44" width="9.125" style="178" bestFit="1" customWidth="1"/>
    <col min="45" max="45" width="9.75" style="178" bestFit="1" customWidth="1"/>
    <col min="46" max="46" width="13.25" style="178" bestFit="1" customWidth="1"/>
    <col min="47" max="47" width="13.25" style="159" bestFit="1" customWidth="1"/>
    <col min="48" max="48" width="12" style="159" bestFit="1" customWidth="1"/>
    <col min="49" max="49" width="9.375" style="159" bestFit="1" customWidth="1"/>
    <col min="50" max="50" width="9.875" style="159" bestFit="1" customWidth="1"/>
    <col min="51" max="51" width="17.125" style="159" bestFit="1" customWidth="1"/>
    <col min="52" max="52" width="9.875" style="159" bestFit="1" customWidth="1"/>
    <col min="53" max="53" width="10.25" style="159" bestFit="1" customWidth="1"/>
    <col min="54" max="54" width="9.375" style="159" bestFit="1" customWidth="1"/>
    <col min="55" max="55" width="10" style="159" bestFit="1" customWidth="1"/>
    <col min="56" max="56" width="15.5" style="162" customWidth="1"/>
    <col min="57" max="57" width="22.25" style="156" bestFit="1" customWidth="1"/>
    <col min="58" max="58" width="8.25" style="162" customWidth="1"/>
    <col min="59" max="59" width="16.375" style="162" bestFit="1" customWidth="1"/>
    <col min="60" max="60" width="12.875" style="162" customWidth="1"/>
    <col min="61" max="61" width="15.375" style="162" bestFit="1" customWidth="1"/>
    <col min="62" max="62" width="14.625" style="162" bestFit="1" customWidth="1"/>
    <col min="63" max="63" width="10.125" style="162" bestFit="1" customWidth="1"/>
    <col min="64" max="16384" width="9.125" style="162"/>
  </cols>
  <sheetData>
    <row r="1" spans="1:70" ht="15.75">
      <c r="AO1" s="177"/>
      <c r="AP1" s="177"/>
      <c r="AQ1" s="177"/>
    </row>
    <row r="2" spans="1:70">
      <c r="AO2" s="172"/>
      <c r="AP2" s="172"/>
      <c r="AQ2" s="172"/>
    </row>
    <row r="3" spans="1:70">
      <c r="AO3" s="172"/>
      <c r="AP3" s="172"/>
      <c r="AQ3" s="172"/>
    </row>
    <row r="4" spans="1:70" ht="15.75">
      <c r="A4" s="179" t="s">
        <v>2559</v>
      </c>
      <c r="B4" s="180" t="s">
        <v>2560</v>
      </c>
      <c r="C4" s="180" t="s">
        <v>2874</v>
      </c>
      <c r="D4" s="179" t="s">
        <v>3486</v>
      </c>
      <c r="E4" s="179" t="s">
        <v>2561</v>
      </c>
      <c r="F4" s="180" t="s">
        <v>2562</v>
      </c>
      <c r="G4" s="181" t="s">
        <v>2563</v>
      </c>
      <c r="H4" s="181" t="s">
        <v>2567</v>
      </c>
      <c r="I4" s="179" t="s">
        <v>2568</v>
      </c>
      <c r="J4" s="179" t="s">
        <v>2571</v>
      </c>
      <c r="K4" s="182" t="s">
        <v>2572</v>
      </c>
      <c r="L4" s="182" t="s">
        <v>2573</v>
      </c>
      <c r="M4" s="217" t="s">
        <v>2574</v>
      </c>
      <c r="N4" s="217" t="s">
        <v>2575</v>
      </c>
      <c r="O4" s="182" t="s">
        <v>2577</v>
      </c>
      <c r="P4" s="182" t="s">
        <v>2576</v>
      </c>
      <c r="Q4" s="182" t="s">
        <v>2578</v>
      </c>
      <c r="R4" s="182" t="s">
        <v>2579</v>
      </c>
      <c r="S4" s="182" t="s">
        <v>2580</v>
      </c>
      <c r="T4" s="182" t="s">
        <v>2581</v>
      </c>
      <c r="U4" s="217" t="s">
        <v>2582</v>
      </c>
      <c r="V4" s="217" t="s">
        <v>2583</v>
      </c>
      <c r="W4" s="182" t="s">
        <v>2584</v>
      </c>
      <c r="X4" s="182" t="s">
        <v>2585</v>
      </c>
      <c r="Y4" s="182" t="s">
        <v>2586</v>
      </c>
      <c r="Z4" s="182" t="s">
        <v>2587</v>
      </c>
      <c r="AA4" s="182" t="s">
        <v>2588</v>
      </c>
      <c r="AB4" s="181" t="s">
        <v>2589</v>
      </c>
      <c r="AC4" s="179" t="s">
        <v>2590</v>
      </c>
      <c r="AD4" s="180" t="s">
        <v>2591</v>
      </c>
      <c r="AE4" s="179" t="s">
        <v>2592</v>
      </c>
      <c r="AF4" s="179" t="s">
        <v>2593</v>
      </c>
      <c r="AG4" s="179" t="s">
        <v>2594</v>
      </c>
      <c r="AH4" s="179" t="s">
        <v>2595</v>
      </c>
      <c r="AI4" s="179" t="s">
        <v>2596</v>
      </c>
      <c r="AJ4" s="179" t="s">
        <v>2597</v>
      </c>
      <c r="AK4" s="179" t="s">
        <v>2598</v>
      </c>
      <c r="AL4" s="179" t="s">
        <v>2599</v>
      </c>
      <c r="AM4" s="179" t="s">
        <v>2601</v>
      </c>
      <c r="AN4" s="179" t="s">
        <v>2602</v>
      </c>
      <c r="AO4" s="179" t="s">
        <v>2603</v>
      </c>
      <c r="AP4" s="179" t="s">
        <v>2604</v>
      </c>
      <c r="AQ4" s="179" t="s">
        <v>2605</v>
      </c>
      <c r="AR4" s="179" t="s">
        <v>2606</v>
      </c>
      <c r="AS4" s="179" t="s">
        <v>2607</v>
      </c>
      <c r="AT4" s="179" t="s">
        <v>2608</v>
      </c>
      <c r="AU4" s="179" t="s">
        <v>2609</v>
      </c>
      <c r="AV4" s="179" t="s">
        <v>2610</v>
      </c>
      <c r="AW4" s="179" t="s">
        <v>2611</v>
      </c>
      <c r="AX4" s="179" t="s">
        <v>2612</v>
      </c>
      <c r="AY4" s="179" t="s">
        <v>2613</v>
      </c>
      <c r="AZ4" s="179" t="s">
        <v>2614</v>
      </c>
      <c r="BA4" s="179" t="s">
        <v>2615</v>
      </c>
      <c r="BB4" s="179" t="s">
        <v>2616</v>
      </c>
      <c r="BC4" s="179" t="s">
        <v>2617</v>
      </c>
      <c r="BD4" s="179" t="s">
        <v>2389</v>
      </c>
      <c r="BE4" s="183" t="s">
        <v>2390</v>
      </c>
      <c r="BF4" s="179" t="s">
        <v>7</v>
      </c>
      <c r="BG4" s="179" t="s">
        <v>2231</v>
      </c>
      <c r="BH4" s="179" t="s">
        <v>2391</v>
      </c>
      <c r="BI4" s="179" t="s">
        <v>2231</v>
      </c>
      <c r="BJ4" s="179" t="s">
        <v>2418</v>
      </c>
    </row>
    <row r="5" spans="1:70" s="161" customFormat="1">
      <c r="A5" s="184" t="str">
        <f>IF(AC5="Tetap","1",IF(AC5="Kontrak","2",IF(AC5="Harian Lepas","3",IF(AC5="Borongan","4"))))&amp;TEXT(AB5,"YY")&amp;TEXT(AB5,"MM")&amp;TEXT(C5,"00")</f>
        <v>2000601</v>
      </c>
      <c r="B5" s="158" t="s">
        <v>276</v>
      </c>
      <c r="C5" s="158" t="s">
        <v>407</v>
      </c>
      <c r="D5" s="159" t="s">
        <v>274</v>
      </c>
      <c r="E5" s="159"/>
      <c r="F5" s="158" t="s">
        <v>278</v>
      </c>
      <c r="G5" s="167">
        <v>28142</v>
      </c>
      <c r="H5" s="167"/>
      <c r="I5" s="159" t="s">
        <v>2569</v>
      </c>
      <c r="J5" s="159" t="s">
        <v>2619</v>
      </c>
      <c r="K5" s="159" t="s">
        <v>35</v>
      </c>
      <c r="L5" s="159" t="s">
        <v>277</v>
      </c>
      <c r="M5" s="158" t="s">
        <v>2621</v>
      </c>
      <c r="N5" s="158" t="s">
        <v>2621</v>
      </c>
      <c r="O5" s="159" t="s">
        <v>2653</v>
      </c>
      <c r="P5" s="159" t="s">
        <v>696</v>
      </c>
      <c r="Q5" s="159" t="s">
        <v>2845</v>
      </c>
      <c r="R5" s="159" t="s">
        <v>2863</v>
      </c>
      <c r="S5" s="159"/>
      <c r="T5" s="159"/>
      <c r="U5" s="158"/>
      <c r="V5" s="158"/>
      <c r="W5" s="159"/>
      <c r="X5" s="159"/>
      <c r="Y5" s="159"/>
      <c r="Z5" s="159"/>
      <c r="AA5" s="159"/>
      <c r="AB5" s="167">
        <v>36678</v>
      </c>
      <c r="AC5" s="159" t="s">
        <v>45</v>
      </c>
      <c r="AD5" s="158"/>
      <c r="AE5" s="159"/>
      <c r="AF5" s="159"/>
      <c r="AG5" s="159"/>
      <c r="AH5" s="159"/>
      <c r="AI5" s="159"/>
      <c r="AJ5" s="159"/>
      <c r="AK5" s="159" t="s">
        <v>2600</v>
      </c>
      <c r="AL5" s="159"/>
      <c r="AM5" s="159"/>
      <c r="AN5" s="185" t="s">
        <v>275</v>
      </c>
      <c r="AO5" s="172" t="s">
        <v>44</v>
      </c>
      <c r="AP5" s="172"/>
      <c r="AQ5" s="172"/>
      <c r="AR5" s="178" t="s">
        <v>2618</v>
      </c>
      <c r="AS5" s="178" t="s">
        <v>2618</v>
      </c>
      <c r="AT5" s="178"/>
      <c r="AU5" s="159"/>
      <c r="AV5" s="159"/>
      <c r="AW5" s="159"/>
      <c r="AX5" s="159"/>
      <c r="AY5" s="159"/>
      <c r="AZ5" s="159"/>
      <c r="BA5" s="159"/>
      <c r="BB5" s="159"/>
      <c r="BC5" s="159"/>
      <c r="BD5" s="159"/>
      <c r="BE5" s="185"/>
      <c r="BF5" s="159"/>
      <c r="BG5" s="159" t="s">
        <v>45</v>
      </c>
      <c r="BH5" s="159" t="s">
        <v>46</v>
      </c>
      <c r="BI5" s="159" t="s">
        <v>41</v>
      </c>
      <c r="BJ5" s="156">
        <v>3</v>
      </c>
      <c r="BK5" s="156"/>
      <c r="BM5" s="162"/>
      <c r="BN5" s="162"/>
      <c r="BO5" s="162"/>
      <c r="BP5" s="162"/>
      <c r="BQ5" s="162"/>
      <c r="BR5" s="162"/>
    </row>
    <row r="6" spans="1:70">
      <c r="A6" s="184" t="str">
        <f t="shared" ref="A6:A69" si="0">IF(AC6="Tetap","1",IF(AC6="Kontrak","2",IF(AC6="Harian Lepas","3",IF(AC6="Borongan","4"))))&amp;TEXT(AB6,"YY")&amp;TEXT(AB6,"MM")&amp;TEXT(C6,"00")</f>
        <v>2010102</v>
      </c>
      <c r="B6" s="158" t="s">
        <v>728</v>
      </c>
      <c r="C6" s="158" t="s">
        <v>413</v>
      </c>
      <c r="D6" s="159" t="s">
        <v>726</v>
      </c>
      <c r="E6" s="159"/>
      <c r="F6" s="158" t="s">
        <v>730</v>
      </c>
      <c r="G6" s="167">
        <v>30013</v>
      </c>
      <c r="H6" s="167"/>
      <c r="I6" s="159" t="s">
        <v>2569</v>
      </c>
      <c r="J6" s="159" t="s">
        <v>2619</v>
      </c>
      <c r="K6" s="159" t="s">
        <v>35</v>
      </c>
      <c r="L6" s="159" t="s">
        <v>729</v>
      </c>
      <c r="M6" s="158" t="s">
        <v>2621</v>
      </c>
      <c r="N6" s="158" t="s">
        <v>2621</v>
      </c>
      <c r="O6" s="159" t="s">
        <v>2654</v>
      </c>
      <c r="P6" s="159" t="s">
        <v>2659</v>
      </c>
      <c r="Q6" s="159" t="s">
        <v>2840</v>
      </c>
      <c r="R6" s="159" t="s">
        <v>2863</v>
      </c>
      <c r="S6" s="159"/>
      <c r="T6" s="159"/>
      <c r="U6" s="158"/>
      <c r="V6" s="158"/>
      <c r="W6" s="159"/>
      <c r="X6" s="159"/>
      <c r="Y6" s="159"/>
      <c r="Z6" s="159"/>
      <c r="AA6" s="159"/>
      <c r="AB6" s="167">
        <v>36918</v>
      </c>
      <c r="AC6" s="159" t="s">
        <v>45</v>
      </c>
      <c r="AD6" s="158"/>
      <c r="AE6" s="159"/>
      <c r="AF6" s="159"/>
      <c r="AG6" s="159"/>
      <c r="AH6" s="159"/>
      <c r="AI6" s="159"/>
      <c r="AJ6" s="159"/>
      <c r="AK6" s="159" t="s">
        <v>2600</v>
      </c>
      <c r="AL6" s="159"/>
      <c r="AM6" s="159"/>
      <c r="AN6" s="185" t="s">
        <v>684</v>
      </c>
      <c r="AO6" s="172" t="s">
        <v>78</v>
      </c>
      <c r="AP6" s="172"/>
      <c r="AQ6" s="172"/>
      <c r="AR6" s="178" t="s">
        <v>2618</v>
      </c>
      <c r="AS6" s="178" t="s">
        <v>2618</v>
      </c>
      <c r="BD6" s="159" t="s">
        <v>704</v>
      </c>
      <c r="BE6" s="185" t="s">
        <v>727</v>
      </c>
      <c r="BF6" s="159"/>
      <c r="BG6" s="159" t="s">
        <v>45</v>
      </c>
      <c r="BH6" s="159" t="s">
        <v>46</v>
      </c>
      <c r="BI6" s="159" t="s">
        <v>41</v>
      </c>
      <c r="BJ6" s="156">
        <v>3</v>
      </c>
      <c r="BK6" s="156"/>
      <c r="BL6" s="156"/>
    </row>
    <row r="7" spans="1:70">
      <c r="A7" s="184" t="str">
        <f t="shared" si="0"/>
        <v>1010503</v>
      </c>
      <c r="B7" s="158" t="s">
        <v>596</v>
      </c>
      <c r="C7" s="158" t="s">
        <v>423</v>
      </c>
      <c r="D7" s="159" t="s">
        <v>594</v>
      </c>
      <c r="E7" s="159"/>
      <c r="F7" s="158" t="s">
        <v>598</v>
      </c>
      <c r="G7" s="167">
        <v>25039</v>
      </c>
      <c r="H7" s="167"/>
      <c r="I7" s="159" t="s">
        <v>2569</v>
      </c>
      <c r="J7" s="159" t="s">
        <v>2619</v>
      </c>
      <c r="K7" s="159" t="s">
        <v>35</v>
      </c>
      <c r="L7" s="159" t="s">
        <v>597</v>
      </c>
      <c r="M7" s="158"/>
      <c r="N7" s="158"/>
      <c r="O7" s="159" t="s">
        <v>2655</v>
      </c>
      <c r="P7" s="159" t="s">
        <v>2798</v>
      </c>
      <c r="Q7" s="159" t="s">
        <v>2842</v>
      </c>
      <c r="R7" s="159" t="s">
        <v>2863</v>
      </c>
      <c r="S7" s="159"/>
      <c r="T7" s="159"/>
      <c r="U7" s="158"/>
      <c r="V7" s="158"/>
      <c r="W7" s="159"/>
      <c r="X7" s="159"/>
      <c r="Y7" s="159"/>
      <c r="Z7" s="159"/>
      <c r="AA7" s="159"/>
      <c r="AB7" s="167">
        <v>37013</v>
      </c>
      <c r="AC7" s="159" t="s">
        <v>30</v>
      </c>
      <c r="AD7" s="158"/>
      <c r="AE7" s="159"/>
      <c r="AF7" s="159"/>
      <c r="AG7" s="159"/>
      <c r="AH7" s="159"/>
      <c r="AI7" s="159"/>
      <c r="AJ7" s="159"/>
      <c r="AK7" s="159" t="s">
        <v>2600</v>
      </c>
      <c r="AL7" s="159"/>
      <c r="AM7" s="159"/>
      <c r="AN7" s="159" t="s">
        <v>553</v>
      </c>
      <c r="AO7" s="172" t="s">
        <v>564</v>
      </c>
      <c r="AP7" s="172"/>
      <c r="AQ7" s="172"/>
      <c r="AR7" s="178" t="s">
        <v>2618</v>
      </c>
      <c r="AS7" s="178" t="s">
        <v>2618</v>
      </c>
      <c r="BD7" s="159" t="s">
        <v>595</v>
      </c>
      <c r="BE7" s="159" t="s">
        <v>595</v>
      </c>
      <c r="BF7" s="159"/>
      <c r="BG7" s="159" t="s">
        <v>30</v>
      </c>
      <c r="BH7" s="159" t="s">
        <v>46</v>
      </c>
      <c r="BI7" s="159" t="s">
        <v>41</v>
      </c>
      <c r="BJ7" s="156">
        <v>1</v>
      </c>
      <c r="BK7" s="156"/>
      <c r="BL7" s="156"/>
    </row>
    <row r="8" spans="1:70">
      <c r="A8" s="184" t="str">
        <f t="shared" si="0"/>
        <v>1010604</v>
      </c>
      <c r="B8" s="158" t="s">
        <v>230</v>
      </c>
      <c r="C8" s="158" t="s">
        <v>520</v>
      </c>
      <c r="D8" s="159" t="s">
        <v>228</v>
      </c>
      <c r="E8" s="159"/>
      <c r="F8" s="158" t="s">
        <v>232</v>
      </c>
      <c r="G8" s="167">
        <v>37012</v>
      </c>
      <c r="H8" s="167"/>
      <c r="I8" s="159" t="s">
        <v>2569</v>
      </c>
      <c r="J8" s="159" t="s">
        <v>2619</v>
      </c>
      <c r="K8" s="159" t="s">
        <v>35</v>
      </c>
      <c r="L8" s="159" t="s">
        <v>231</v>
      </c>
      <c r="M8" s="158" t="s">
        <v>2622</v>
      </c>
      <c r="N8" s="158" t="s">
        <v>2621</v>
      </c>
      <c r="O8" s="159" t="s">
        <v>2656</v>
      </c>
      <c r="P8" s="159" t="s">
        <v>696</v>
      </c>
      <c r="Q8" s="159" t="s">
        <v>2844</v>
      </c>
      <c r="R8" s="159" t="s">
        <v>2863</v>
      </c>
      <c r="S8" s="159"/>
      <c r="T8" s="159"/>
      <c r="U8" s="158"/>
      <c r="V8" s="158"/>
      <c r="W8" s="159"/>
      <c r="X8" s="159"/>
      <c r="Y8" s="159"/>
      <c r="Z8" s="159"/>
      <c r="AA8" s="159"/>
      <c r="AB8" s="167">
        <v>37043</v>
      </c>
      <c r="AC8" s="159" t="s">
        <v>30</v>
      </c>
      <c r="AD8" s="158"/>
      <c r="AE8" s="159"/>
      <c r="AF8" s="159"/>
      <c r="AG8" s="159"/>
      <c r="AH8" s="159"/>
      <c r="AI8" s="159"/>
      <c r="AJ8" s="159"/>
      <c r="AK8" s="159" t="s">
        <v>2600</v>
      </c>
      <c r="AL8" s="159"/>
      <c r="AM8" s="159"/>
      <c r="AN8" s="185" t="s">
        <v>216</v>
      </c>
      <c r="AO8" s="172" t="s">
        <v>78</v>
      </c>
      <c r="AP8" s="172"/>
      <c r="AQ8" s="172"/>
      <c r="AR8" s="178" t="s">
        <v>2618</v>
      </c>
      <c r="AS8" s="178" t="s">
        <v>2618</v>
      </c>
      <c r="BD8" s="156"/>
      <c r="BE8" s="159" t="s">
        <v>229</v>
      </c>
      <c r="BF8" s="159"/>
      <c r="BG8" s="159" t="s">
        <v>30</v>
      </c>
      <c r="BH8" s="159" t="s">
        <v>46</v>
      </c>
      <c r="BI8" s="159" t="s">
        <v>41</v>
      </c>
      <c r="BJ8" s="156">
        <v>3</v>
      </c>
      <c r="BK8" s="156" t="s">
        <v>2233</v>
      </c>
      <c r="BL8" s="156"/>
    </row>
    <row r="9" spans="1:70">
      <c r="A9" s="184" t="str">
        <f t="shared" si="0"/>
        <v>2010605</v>
      </c>
      <c r="B9" s="158" t="s">
        <v>616</v>
      </c>
      <c r="C9" s="158" t="s">
        <v>418</v>
      </c>
      <c r="D9" s="159" t="s">
        <v>615</v>
      </c>
      <c r="E9" s="159"/>
      <c r="F9" s="158" t="s">
        <v>618</v>
      </c>
      <c r="G9" s="167">
        <v>29008</v>
      </c>
      <c r="H9" s="167"/>
      <c r="I9" s="159" t="s">
        <v>2569</v>
      </c>
      <c r="J9" s="159" t="s">
        <v>2619</v>
      </c>
      <c r="K9" s="159" t="s">
        <v>35</v>
      </c>
      <c r="L9" s="159" t="s">
        <v>617</v>
      </c>
      <c r="M9" s="158" t="s">
        <v>2623</v>
      </c>
      <c r="N9" s="158" t="s">
        <v>2623</v>
      </c>
      <c r="O9" s="159" t="s">
        <v>2657</v>
      </c>
      <c r="P9" s="159" t="s">
        <v>2662</v>
      </c>
      <c r="Q9" s="159" t="s">
        <v>2840</v>
      </c>
      <c r="R9" s="159" t="s">
        <v>2863</v>
      </c>
      <c r="S9" s="159"/>
      <c r="T9" s="159"/>
      <c r="U9" s="158"/>
      <c r="V9" s="158"/>
      <c r="W9" s="159"/>
      <c r="X9" s="159"/>
      <c r="Y9" s="159"/>
      <c r="Z9" s="159"/>
      <c r="AA9" s="159"/>
      <c r="AB9" s="167">
        <v>37043</v>
      </c>
      <c r="AC9" s="159" t="s">
        <v>45</v>
      </c>
      <c r="AD9" s="158"/>
      <c r="AE9" s="159"/>
      <c r="AF9" s="159"/>
      <c r="AG9" s="159"/>
      <c r="AH9" s="159"/>
      <c r="AI9" s="159"/>
      <c r="AJ9" s="159"/>
      <c r="AK9" s="159" t="s">
        <v>2600</v>
      </c>
      <c r="AL9" s="159"/>
      <c r="AM9" s="159"/>
      <c r="AN9" s="159" t="s">
        <v>553</v>
      </c>
      <c r="AO9" s="172" t="s">
        <v>564</v>
      </c>
      <c r="AP9" s="172"/>
      <c r="AQ9" s="172"/>
      <c r="AR9" s="178" t="s">
        <v>2618</v>
      </c>
      <c r="AS9" s="178" t="s">
        <v>2618</v>
      </c>
      <c r="BD9" s="159" t="s">
        <v>595</v>
      </c>
      <c r="BE9" s="159" t="s">
        <v>595</v>
      </c>
      <c r="BF9" s="159"/>
      <c r="BG9" s="159" t="s">
        <v>45</v>
      </c>
      <c r="BH9" s="159" t="s">
        <v>46</v>
      </c>
      <c r="BI9" s="159" t="s">
        <v>41</v>
      </c>
      <c r="BJ9" s="156">
        <v>1</v>
      </c>
      <c r="BK9" s="156"/>
      <c r="BL9" s="156"/>
    </row>
    <row r="10" spans="1:70" s="186" customFormat="1">
      <c r="A10" s="184" t="str">
        <f t="shared" si="0"/>
        <v>1010606</v>
      </c>
      <c r="B10" s="158" t="s">
        <v>2564</v>
      </c>
      <c r="C10" s="158" t="s">
        <v>430</v>
      </c>
      <c r="D10" s="159" t="s">
        <v>732</v>
      </c>
      <c r="E10" s="159"/>
      <c r="F10" s="158" t="s">
        <v>737</v>
      </c>
      <c r="G10" s="167">
        <v>26962</v>
      </c>
      <c r="H10" s="167"/>
      <c r="I10" s="159" t="s">
        <v>2569</v>
      </c>
      <c r="J10" s="159" t="s">
        <v>2619</v>
      </c>
      <c r="K10" s="159" t="s">
        <v>35</v>
      </c>
      <c r="L10" s="159" t="s">
        <v>736</v>
      </c>
      <c r="M10" s="158" t="s">
        <v>2622</v>
      </c>
      <c r="N10" s="158" t="s">
        <v>2623</v>
      </c>
      <c r="O10" s="159" t="s">
        <v>2658</v>
      </c>
      <c r="P10" s="159" t="s">
        <v>2799</v>
      </c>
      <c r="Q10" s="159" t="s">
        <v>2843</v>
      </c>
      <c r="R10" s="159" t="s">
        <v>2863</v>
      </c>
      <c r="S10" s="159"/>
      <c r="T10" s="159"/>
      <c r="U10" s="158"/>
      <c r="V10" s="158"/>
      <c r="W10" s="159"/>
      <c r="X10" s="159"/>
      <c r="Y10" s="159"/>
      <c r="Z10" s="159"/>
      <c r="AA10" s="159"/>
      <c r="AB10" s="167">
        <v>37043</v>
      </c>
      <c r="AC10" s="159" t="s">
        <v>30</v>
      </c>
      <c r="AD10" s="158"/>
      <c r="AE10" s="159"/>
      <c r="AF10" s="159"/>
      <c r="AG10" s="159"/>
      <c r="AH10" s="159"/>
      <c r="AI10" s="159"/>
      <c r="AJ10" s="159"/>
      <c r="AK10" s="159" t="s">
        <v>2600</v>
      </c>
      <c r="AL10" s="159"/>
      <c r="AM10" s="159"/>
      <c r="AN10" s="185" t="s">
        <v>684</v>
      </c>
      <c r="AO10" s="172" t="s">
        <v>78</v>
      </c>
      <c r="AP10" s="172"/>
      <c r="AQ10" s="172"/>
      <c r="AR10" s="178" t="s">
        <v>2618</v>
      </c>
      <c r="AS10" s="178" t="s">
        <v>2618</v>
      </c>
      <c r="AT10" s="178"/>
      <c r="AU10" s="159"/>
      <c r="AV10" s="159"/>
      <c r="AW10" s="159"/>
      <c r="AX10" s="159"/>
      <c r="AY10" s="159"/>
      <c r="AZ10" s="159"/>
      <c r="BA10" s="159"/>
      <c r="BB10" s="159"/>
      <c r="BC10" s="159"/>
      <c r="BD10" s="159" t="s">
        <v>733</v>
      </c>
      <c r="BE10" s="185" t="s">
        <v>734</v>
      </c>
      <c r="BF10" s="159"/>
      <c r="BG10" s="159" t="s">
        <v>30</v>
      </c>
      <c r="BH10" s="159" t="s">
        <v>46</v>
      </c>
      <c r="BI10" s="159" t="s">
        <v>41</v>
      </c>
      <c r="BJ10" s="156">
        <v>3</v>
      </c>
      <c r="BK10" s="156"/>
      <c r="BL10" s="156"/>
      <c r="BM10" s="162"/>
      <c r="BN10" s="162"/>
      <c r="BO10" s="162"/>
      <c r="BP10" s="162"/>
      <c r="BQ10" s="162"/>
      <c r="BR10" s="162"/>
    </row>
    <row r="11" spans="1:70" s="186" customFormat="1">
      <c r="A11" s="184" t="str">
        <f t="shared" si="0"/>
        <v>1010607</v>
      </c>
      <c r="B11" s="158" t="s">
        <v>807</v>
      </c>
      <c r="C11" s="158" t="s">
        <v>436</v>
      </c>
      <c r="D11" s="159" t="s">
        <v>806</v>
      </c>
      <c r="E11" s="159"/>
      <c r="F11" s="158" t="s">
        <v>809</v>
      </c>
      <c r="G11" s="167">
        <v>28636</v>
      </c>
      <c r="H11" s="167"/>
      <c r="I11" s="159" t="s">
        <v>2569</v>
      </c>
      <c r="J11" s="159" t="s">
        <v>2619</v>
      </c>
      <c r="K11" s="159" t="s">
        <v>35</v>
      </c>
      <c r="L11" s="159" t="s">
        <v>808</v>
      </c>
      <c r="M11" s="158" t="s">
        <v>2623</v>
      </c>
      <c r="N11" s="158" t="s">
        <v>2623</v>
      </c>
      <c r="O11" s="159" t="s">
        <v>2657</v>
      </c>
      <c r="P11" s="159" t="s">
        <v>2662</v>
      </c>
      <c r="Q11" s="159" t="s">
        <v>2840</v>
      </c>
      <c r="R11" s="159" t="s">
        <v>2863</v>
      </c>
      <c r="S11" s="159"/>
      <c r="T11" s="159"/>
      <c r="U11" s="158"/>
      <c r="V11" s="158"/>
      <c r="W11" s="159"/>
      <c r="X11" s="159"/>
      <c r="Y11" s="159"/>
      <c r="Z11" s="159"/>
      <c r="AA11" s="159"/>
      <c r="AB11" s="167">
        <v>37043</v>
      </c>
      <c r="AC11" s="159" t="s">
        <v>30</v>
      </c>
      <c r="AD11" s="158"/>
      <c r="AE11" s="159"/>
      <c r="AF11" s="159"/>
      <c r="AG11" s="159"/>
      <c r="AH11" s="159"/>
      <c r="AI11" s="159"/>
      <c r="AJ11" s="159"/>
      <c r="AK11" s="159" t="s">
        <v>2600</v>
      </c>
      <c r="AL11" s="159"/>
      <c r="AM11" s="159"/>
      <c r="AN11" s="159" t="s">
        <v>786</v>
      </c>
      <c r="AO11" s="172" t="s">
        <v>44</v>
      </c>
      <c r="AP11" s="172"/>
      <c r="AQ11" s="172"/>
      <c r="AR11" s="178" t="s">
        <v>2618</v>
      </c>
      <c r="AS11" s="178" t="s">
        <v>2618</v>
      </c>
      <c r="AT11" s="178"/>
      <c r="AU11" s="159"/>
      <c r="AV11" s="159"/>
      <c r="AW11" s="159"/>
      <c r="AX11" s="159"/>
      <c r="AY11" s="159"/>
      <c r="AZ11" s="159"/>
      <c r="BA11" s="159"/>
      <c r="BB11" s="159"/>
      <c r="BC11" s="159"/>
      <c r="BD11" s="185"/>
      <c r="BE11" s="159"/>
      <c r="BF11" s="159"/>
      <c r="BG11" s="159" t="s">
        <v>30</v>
      </c>
      <c r="BH11" s="159" t="s">
        <v>46</v>
      </c>
      <c r="BI11" s="159" t="s">
        <v>41</v>
      </c>
      <c r="BJ11" s="156">
        <v>3</v>
      </c>
      <c r="BK11" s="156"/>
      <c r="BL11" s="156"/>
      <c r="BM11" s="162"/>
      <c r="BN11" s="162"/>
      <c r="BO11" s="162"/>
      <c r="BP11" s="162"/>
      <c r="BQ11" s="162"/>
      <c r="BR11" s="162"/>
    </row>
    <row r="12" spans="1:70">
      <c r="A12" s="184" t="str">
        <f t="shared" si="0"/>
        <v>1010608</v>
      </c>
      <c r="B12" s="158" t="s">
        <v>826</v>
      </c>
      <c r="C12" s="158" t="s">
        <v>442</v>
      </c>
      <c r="D12" s="159" t="s">
        <v>825</v>
      </c>
      <c r="E12" s="159"/>
      <c r="F12" s="158" t="s">
        <v>827</v>
      </c>
      <c r="G12" s="167">
        <v>27496</v>
      </c>
      <c r="H12" s="167"/>
      <c r="I12" s="159" t="s">
        <v>2569</v>
      </c>
      <c r="J12" s="159" t="s">
        <v>2619</v>
      </c>
      <c r="K12" s="159" t="s">
        <v>35</v>
      </c>
      <c r="L12" s="159" t="s">
        <v>263</v>
      </c>
      <c r="M12" s="158" t="s">
        <v>2621</v>
      </c>
      <c r="N12" s="158" t="s">
        <v>2626</v>
      </c>
      <c r="O12" s="159" t="s">
        <v>2659</v>
      </c>
      <c r="P12" s="159" t="s">
        <v>2659</v>
      </c>
      <c r="Q12" s="159" t="s">
        <v>2840</v>
      </c>
      <c r="R12" s="159" t="s">
        <v>2863</v>
      </c>
      <c r="S12" s="159"/>
      <c r="T12" s="159"/>
      <c r="U12" s="158"/>
      <c r="V12" s="158"/>
      <c r="W12" s="159"/>
      <c r="X12" s="159"/>
      <c r="Y12" s="159"/>
      <c r="Z12" s="159"/>
      <c r="AA12" s="159"/>
      <c r="AB12" s="167">
        <v>37043</v>
      </c>
      <c r="AC12" s="159" t="s">
        <v>30</v>
      </c>
      <c r="AD12" s="158"/>
      <c r="AE12" s="159"/>
      <c r="AF12" s="159"/>
      <c r="AG12" s="159"/>
      <c r="AH12" s="159"/>
      <c r="AI12" s="159"/>
      <c r="AJ12" s="159"/>
      <c r="AK12" s="159" t="s">
        <v>2600</v>
      </c>
      <c r="AL12" s="159"/>
      <c r="AM12" s="159"/>
      <c r="AN12" s="159" t="s">
        <v>786</v>
      </c>
      <c r="AO12" s="172" t="s">
        <v>814</v>
      </c>
      <c r="AP12" s="172"/>
      <c r="AQ12" s="172"/>
      <c r="AR12" s="178" t="s">
        <v>2618</v>
      </c>
      <c r="AS12" s="178" t="s">
        <v>2618</v>
      </c>
      <c r="BD12" s="185" t="s">
        <v>787</v>
      </c>
      <c r="BE12" s="159" t="s">
        <v>2247</v>
      </c>
      <c r="BF12" s="159"/>
      <c r="BG12" s="159" t="s">
        <v>30</v>
      </c>
      <c r="BH12" s="159" t="s">
        <v>121</v>
      </c>
      <c r="BI12" s="159" t="s">
        <v>41</v>
      </c>
      <c r="BJ12" s="156">
        <v>1</v>
      </c>
      <c r="BK12" s="156"/>
      <c r="BL12" s="156"/>
    </row>
    <row r="13" spans="1:70">
      <c r="A13" s="184" t="str">
        <f t="shared" si="0"/>
        <v>2010609</v>
      </c>
      <c r="B13" s="158" t="s">
        <v>834</v>
      </c>
      <c r="C13" s="158" t="s">
        <v>447</v>
      </c>
      <c r="D13" s="159" t="s">
        <v>831</v>
      </c>
      <c r="E13" s="159"/>
      <c r="F13" s="158" t="s">
        <v>836</v>
      </c>
      <c r="G13" s="167">
        <v>29050</v>
      </c>
      <c r="H13" s="167"/>
      <c r="I13" s="159" t="s">
        <v>2569</v>
      </c>
      <c r="J13" s="159" t="s">
        <v>2619</v>
      </c>
      <c r="K13" s="159" t="s">
        <v>35</v>
      </c>
      <c r="L13" s="159" t="s">
        <v>835</v>
      </c>
      <c r="M13" s="158" t="s">
        <v>2624</v>
      </c>
      <c r="N13" s="158" t="s">
        <v>2622</v>
      </c>
      <c r="O13" s="159" t="s">
        <v>2660</v>
      </c>
      <c r="P13" s="159" t="s">
        <v>2662</v>
      </c>
      <c r="Q13" s="159" t="s">
        <v>2840</v>
      </c>
      <c r="R13" s="159" t="s">
        <v>2863</v>
      </c>
      <c r="S13" s="159"/>
      <c r="T13" s="159"/>
      <c r="U13" s="158"/>
      <c r="V13" s="158"/>
      <c r="W13" s="159"/>
      <c r="X13" s="159"/>
      <c r="Y13" s="159"/>
      <c r="Z13" s="159"/>
      <c r="AA13" s="159"/>
      <c r="AB13" s="167">
        <v>37043</v>
      </c>
      <c r="AC13" s="159" t="s">
        <v>45</v>
      </c>
      <c r="AD13" s="158"/>
      <c r="AE13" s="159"/>
      <c r="AF13" s="159"/>
      <c r="AG13" s="159"/>
      <c r="AH13" s="159"/>
      <c r="AI13" s="159"/>
      <c r="AJ13" s="159"/>
      <c r="AK13" s="159" t="s">
        <v>2600</v>
      </c>
      <c r="AL13" s="159"/>
      <c r="AM13" s="159"/>
      <c r="AN13" s="159" t="s">
        <v>786</v>
      </c>
      <c r="AO13" s="172" t="s">
        <v>78</v>
      </c>
      <c r="AP13" s="172"/>
      <c r="AQ13" s="172"/>
      <c r="AR13" s="178" t="s">
        <v>2618</v>
      </c>
      <c r="AS13" s="178" t="s">
        <v>2618</v>
      </c>
      <c r="BD13" s="185" t="s">
        <v>787</v>
      </c>
      <c r="BE13" s="159" t="s">
        <v>832</v>
      </c>
      <c r="BF13" s="159" t="s">
        <v>833</v>
      </c>
      <c r="BG13" s="159" t="s">
        <v>45</v>
      </c>
      <c r="BH13" s="159" t="s">
        <v>32</v>
      </c>
      <c r="BI13" s="159" t="s">
        <v>41</v>
      </c>
      <c r="BJ13" s="156">
        <v>1</v>
      </c>
      <c r="BK13" s="156"/>
      <c r="BL13" s="156"/>
    </row>
    <row r="14" spans="1:70">
      <c r="A14" s="184" t="str">
        <f t="shared" si="0"/>
        <v>2010610</v>
      </c>
      <c r="B14" s="158" t="s">
        <v>1158</v>
      </c>
      <c r="C14" s="158" t="s">
        <v>452</v>
      </c>
      <c r="D14" s="159" t="s">
        <v>1157</v>
      </c>
      <c r="E14" s="159"/>
      <c r="F14" s="158" t="s">
        <v>1159</v>
      </c>
      <c r="G14" s="167">
        <v>27718</v>
      </c>
      <c r="H14" s="167"/>
      <c r="I14" s="159" t="s">
        <v>2569</v>
      </c>
      <c r="J14" s="159" t="s">
        <v>2619</v>
      </c>
      <c r="K14" s="159" t="s">
        <v>35</v>
      </c>
      <c r="L14" s="159" t="s">
        <v>913</v>
      </c>
      <c r="M14" s="158" t="s">
        <v>2625</v>
      </c>
      <c r="N14" s="158" t="s">
        <v>2621</v>
      </c>
      <c r="O14" s="159"/>
      <c r="P14" s="159" t="s">
        <v>2662</v>
      </c>
      <c r="Q14" s="159" t="s">
        <v>2840</v>
      </c>
      <c r="R14" s="159" t="s">
        <v>2863</v>
      </c>
      <c r="S14" s="159"/>
      <c r="T14" s="159"/>
      <c r="U14" s="158"/>
      <c r="V14" s="158"/>
      <c r="W14" s="159"/>
      <c r="X14" s="159"/>
      <c r="Y14" s="159"/>
      <c r="Z14" s="159"/>
      <c r="AA14" s="159"/>
      <c r="AB14" s="167">
        <v>37043</v>
      </c>
      <c r="AC14" s="159" t="s">
        <v>45</v>
      </c>
      <c r="AD14" s="158"/>
      <c r="AE14" s="159"/>
      <c r="AF14" s="159"/>
      <c r="AG14" s="159"/>
      <c r="AH14" s="159"/>
      <c r="AI14" s="159"/>
      <c r="AJ14" s="159"/>
      <c r="AK14" s="159" t="s">
        <v>2600</v>
      </c>
      <c r="AL14" s="159"/>
      <c r="AM14" s="159"/>
      <c r="AN14" s="159" t="s">
        <v>786</v>
      </c>
      <c r="AO14" s="172" t="s">
        <v>78</v>
      </c>
      <c r="AP14" s="172"/>
      <c r="AQ14" s="172"/>
      <c r="AR14" s="178" t="s">
        <v>2618</v>
      </c>
      <c r="AS14" s="178" t="s">
        <v>2618</v>
      </c>
      <c r="BD14" s="185" t="s">
        <v>1002</v>
      </c>
      <c r="BE14" s="159" t="s">
        <v>1145</v>
      </c>
      <c r="BF14" s="185" t="s">
        <v>1042</v>
      </c>
      <c r="BG14" s="159" t="s">
        <v>45</v>
      </c>
      <c r="BH14" s="159" t="s">
        <v>46</v>
      </c>
      <c r="BI14" s="159" t="s">
        <v>41</v>
      </c>
      <c r="BJ14" s="156">
        <v>1</v>
      </c>
      <c r="BK14" s="156"/>
      <c r="BL14" s="156"/>
    </row>
    <row r="15" spans="1:70">
      <c r="A15" s="184" t="str">
        <f t="shared" si="0"/>
        <v>1010711</v>
      </c>
      <c r="B15" s="158" t="s">
        <v>577</v>
      </c>
      <c r="C15" s="158" t="s">
        <v>515</v>
      </c>
      <c r="D15" s="159" t="s">
        <v>576</v>
      </c>
      <c r="E15" s="159"/>
      <c r="F15" s="158" t="s">
        <v>579</v>
      </c>
      <c r="G15" s="167">
        <v>28882</v>
      </c>
      <c r="H15" s="167"/>
      <c r="I15" s="159" t="s">
        <v>2569</v>
      </c>
      <c r="J15" s="159" t="s">
        <v>2619</v>
      </c>
      <c r="K15" s="159" t="s">
        <v>35</v>
      </c>
      <c r="L15" s="159" t="s">
        <v>578</v>
      </c>
      <c r="M15" s="158" t="s">
        <v>2626</v>
      </c>
      <c r="N15" s="158" t="s">
        <v>2625</v>
      </c>
      <c r="O15" s="159" t="s">
        <v>2661</v>
      </c>
      <c r="P15" s="159" t="s">
        <v>2662</v>
      </c>
      <c r="Q15" s="159" t="s">
        <v>2840</v>
      </c>
      <c r="R15" s="159" t="s">
        <v>2863</v>
      </c>
      <c r="S15" s="159"/>
      <c r="T15" s="159"/>
      <c r="U15" s="158"/>
      <c r="V15" s="158"/>
      <c r="W15" s="159"/>
      <c r="X15" s="159"/>
      <c r="Y15" s="159"/>
      <c r="Z15" s="159"/>
      <c r="AA15" s="159"/>
      <c r="AB15" s="167">
        <v>37090</v>
      </c>
      <c r="AC15" s="159" t="s">
        <v>30</v>
      </c>
      <c r="AD15" s="158"/>
      <c r="AE15" s="159"/>
      <c r="AF15" s="159"/>
      <c r="AG15" s="159"/>
      <c r="AH15" s="159"/>
      <c r="AI15" s="159"/>
      <c r="AJ15" s="159"/>
      <c r="AK15" s="159" t="s">
        <v>2600</v>
      </c>
      <c r="AL15" s="159"/>
      <c r="AM15" s="159"/>
      <c r="AN15" s="159" t="s">
        <v>553</v>
      </c>
      <c r="AO15" s="172" t="s">
        <v>564</v>
      </c>
      <c r="AP15" s="172"/>
      <c r="AQ15" s="172"/>
      <c r="AR15" s="178" t="s">
        <v>2618</v>
      </c>
      <c r="AS15" s="178" t="s">
        <v>2618</v>
      </c>
      <c r="BD15" s="156" t="s">
        <v>557</v>
      </c>
      <c r="BE15" s="159" t="s">
        <v>557</v>
      </c>
      <c r="BF15" s="159"/>
      <c r="BG15" s="159" t="s">
        <v>30</v>
      </c>
      <c r="BH15" s="159" t="s">
        <v>46</v>
      </c>
      <c r="BI15" s="159" t="s">
        <v>41</v>
      </c>
      <c r="BJ15" s="156">
        <v>1</v>
      </c>
      <c r="BK15" s="156"/>
      <c r="BL15" s="156"/>
    </row>
    <row r="16" spans="1:70">
      <c r="A16" s="184" t="str">
        <f t="shared" si="0"/>
        <v>1010812</v>
      </c>
      <c r="B16" s="158" t="s">
        <v>1448</v>
      </c>
      <c r="C16" s="158" t="s">
        <v>456</v>
      </c>
      <c r="D16" s="159" t="s">
        <v>1447</v>
      </c>
      <c r="E16" s="159"/>
      <c r="F16" s="158" t="s">
        <v>1449</v>
      </c>
      <c r="G16" s="167">
        <v>28234</v>
      </c>
      <c r="H16" s="167"/>
      <c r="I16" s="159" t="s">
        <v>2569</v>
      </c>
      <c r="J16" s="159" t="s">
        <v>2619</v>
      </c>
      <c r="K16" s="159" t="s">
        <v>35</v>
      </c>
      <c r="L16" s="159" t="s">
        <v>1228</v>
      </c>
      <c r="M16" s="158" t="s">
        <v>2621</v>
      </c>
      <c r="N16" s="158" t="s">
        <v>2625</v>
      </c>
      <c r="O16" s="159" t="s">
        <v>2662</v>
      </c>
      <c r="P16" s="159" t="s">
        <v>2662</v>
      </c>
      <c r="Q16" s="159" t="s">
        <v>2840</v>
      </c>
      <c r="R16" s="159" t="s">
        <v>2863</v>
      </c>
      <c r="S16" s="159"/>
      <c r="T16" s="159"/>
      <c r="U16" s="158"/>
      <c r="V16" s="158"/>
      <c r="W16" s="159"/>
      <c r="X16" s="159"/>
      <c r="Y16" s="159"/>
      <c r="Z16" s="159"/>
      <c r="AA16" s="159"/>
      <c r="AB16" s="167">
        <v>37104</v>
      </c>
      <c r="AC16" s="159" t="s">
        <v>30</v>
      </c>
      <c r="AD16" s="158"/>
      <c r="AE16" s="159"/>
      <c r="AF16" s="159"/>
      <c r="AG16" s="159"/>
      <c r="AH16" s="159"/>
      <c r="AI16" s="159"/>
      <c r="AJ16" s="159"/>
      <c r="AK16" s="159" t="s">
        <v>2600</v>
      </c>
      <c r="AL16" s="159"/>
      <c r="AM16" s="159"/>
      <c r="AN16" s="159" t="s">
        <v>786</v>
      </c>
      <c r="AO16" s="172" t="s">
        <v>814</v>
      </c>
      <c r="AP16" s="172"/>
      <c r="AQ16" s="172"/>
      <c r="AR16" s="178" t="s">
        <v>2618</v>
      </c>
      <c r="AS16" s="178" t="s">
        <v>2618</v>
      </c>
      <c r="BD16" s="185" t="s">
        <v>1442</v>
      </c>
      <c r="BE16" s="159" t="s">
        <v>2247</v>
      </c>
      <c r="BF16" s="159"/>
      <c r="BG16" s="159" t="s">
        <v>30</v>
      </c>
      <c r="BH16" s="159" t="s">
        <v>46</v>
      </c>
      <c r="BI16" s="159" t="s">
        <v>41</v>
      </c>
      <c r="BJ16" s="156">
        <v>1</v>
      </c>
      <c r="BK16" s="156"/>
      <c r="BL16" s="156"/>
    </row>
    <row r="17" spans="1:70">
      <c r="A17" s="184" t="str">
        <f t="shared" si="0"/>
        <v>1011113</v>
      </c>
      <c r="B17" s="164"/>
      <c r="C17" s="158" t="s">
        <v>461</v>
      </c>
      <c r="D17" s="187" t="s">
        <v>535</v>
      </c>
      <c r="E17" s="187"/>
      <c r="F17" s="164" t="s">
        <v>2566</v>
      </c>
      <c r="G17" s="188">
        <v>26600</v>
      </c>
      <c r="H17" s="188"/>
      <c r="I17" s="159" t="s">
        <v>2570</v>
      </c>
      <c r="J17" s="159" t="s">
        <v>2619</v>
      </c>
      <c r="K17" s="159" t="s">
        <v>2025</v>
      </c>
      <c r="L17" s="187" t="s">
        <v>537</v>
      </c>
      <c r="M17" s="158"/>
      <c r="N17" s="158"/>
      <c r="O17" s="159" t="s">
        <v>2663</v>
      </c>
      <c r="P17" s="159" t="s">
        <v>2662</v>
      </c>
      <c r="Q17" s="159" t="s">
        <v>2840</v>
      </c>
      <c r="R17" s="159" t="s">
        <v>2863</v>
      </c>
      <c r="S17" s="159"/>
      <c r="T17" s="159"/>
      <c r="U17" s="158"/>
      <c r="V17" s="158"/>
      <c r="W17" s="159"/>
      <c r="X17" s="159"/>
      <c r="Y17" s="159"/>
      <c r="Z17" s="159"/>
      <c r="AA17" s="159"/>
      <c r="AB17" s="188">
        <v>37218</v>
      </c>
      <c r="AC17" s="159" t="s">
        <v>30</v>
      </c>
      <c r="AD17" s="158"/>
      <c r="AE17" s="159"/>
      <c r="AF17" s="159"/>
      <c r="AG17" s="159"/>
      <c r="AH17" s="159"/>
      <c r="AI17" s="159"/>
      <c r="AJ17" s="159"/>
      <c r="AK17" s="159" t="s">
        <v>2600</v>
      </c>
      <c r="AL17" s="159"/>
      <c r="AM17" s="159"/>
      <c r="AN17" s="185" t="s">
        <v>536</v>
      </c>
      <c r="AO17" s="172" t="s">
        <v>44</v>
      </c>
      <c r="AP17" s="172"/>
      <c r="AQ17" s="172"/>
      <c r="AR17" s="178" t="s">
        <v>2618</v>
      </c>
      <c r="AS17" s="178" t="s">
        <v>2618</v>
      </c>
      <c r="BD17" s="159"/>
      <c r="BF17" s="156"/>
      <c r="BG17" s="159" t="s">
        <v>30</v>
      </c>
      <c r="BH17" s="159" t="s">
        <v>32</v>
      </c>
      <c r="BI17" s="159" t="s">
        <v>41</v>
      </c>
      <c r="BJ17" s="156">
        <v>2</v>
      </c>
      <c r="BK17" s="156"/>
      <c r="BL17" s="156"/>
    </row>
    <row r="18" spans="1:70">
      <c r="A18" s="184" t="str">
        <f t="shared" si="0"/>
        <v>2020114</v>
      </c>
      <c r="B18" s="158" t="s">
        <v>842</v>
      </c>
      <c r="C18" s="158" t="s">
        <v>464</v>
      </c>
      <c r="D18" s="159" t="s">
        <v>840</v>
      </c>
      <c r="E18" s="159"/>
      <c r="F18" s="158" t="s">
        <v>844</v>
      </c>
      <c r="G18" s="167">
        <v>29307</v>
      </c>
      <c r="H18" s="167"/>
      <c r="I18" s="159" t="s">
        <v>2569</v>
      </c>
      <c r="J18" s="159" t="s">
        <v>2619</v>
      </c>
      <c r="K18" s="159" t="s">
        <v>35</v>
      </c>
      <c r="L18" s="159" t="s">
        <v>843</v>
      </c>
      <c r="M18" s="158" t="s">
        <v>2626</v>
      </c>
      <c r="N18" s="158" t="s">
        <v>2621</v>
      </c>
      <c r="O18" s="159" t="s">
        <v>2657</v>
      </c>
      <c r="P18" s="159" t="s">
        <v>2662</v>
      </c>
      <c r="Q18" s="159" t="s">
        <v>2840</v>
      </c>
      <c r="R18" s="159" t="s">
        <v>2863</v>
      </c>
      <c r="S18" s="159"/>
      <c r="T18" s="159"/>
      <c r="U18" s="158"/>
      <c r="V18" s="158"/>
      <c r="W18" s="159"/>
      <c r="X18" s="159"/>
      <c r="Y18" s="159"/>
      <c r="Z18" s="159"/>
      <c r="AA18" s="159"/>
      <c r="AB18" s="167">
        <v>37263</v>
      </c>
      <c r="AC18" s="159" t="s">
        <v>45</v>
      </c>
      <c r="AD18" s="158"/>
      <c r="AE18" s="159"/>
      <c r="AF18" s="159"/>
      <c r="AG18" s="159"/>
      <c r="AH18" s="159"/>
      <c r="AI18" s="159"/>
      <c r="AJ18" s="159"/>
      <c r="AK18" s="159" t="s">
        <v>2600</v>
      </c>
      <c r="AL18" s="159"/>
      <c r="AM18" s="159"/>
      <c r="AN18" s="159" t="s">
        <v>786</v>
      </c>
      <c r="AO18" s="172" t="s">
        <v>78</v>
      </c>
      <c r="AP18" s="172"/>
      <c r="AQ18" s="172"/>
      <c r="AR18" s="178" t="s">
        <v>2618</v>
      </c>
      <c r="AS18" s="178" t="s">
        <v>2618</v>
      </c>
      <c r="BD18" s="185" t="s">
        <v>787</v>
      </c>
      <c r="BE18" s="159" t="s">
        <v>832</v>
      </c>
      <c r="BF18" s="159" t="s">
        <v>841</v>
      </c>
      <c r="BG18" s="159" t="s">
        <v>45</v>
      </c>
      <c r="BH18" s="159" t="s">
        <v>46</v>
      </c>
      <c r="BI18" s="159" t="s">
        <v>41</v>
      </c>
      <c r="BJ18" s="156">
        <v>1</v>
      </c>
      <c r="BK18" s="156"/>
      <c r="BL18" s="156"/>
    </row>
    <row r="19" spans="1:70">
      <c r="A19" s="184" t="str">
        <f t="shared" si="0"/>
        <v>2020115</v>
      </c>
      <c r="B19" s="158" t="s">
        <v>1017</v>
      </c>
      <c r="C19" s="158" t="s">
        <v>466</v>
      </c>
      <c r="D19" s="159" t="s">
        <v>1016</v>
      </c>
      <c r="E19" s="159"/>
      <c r="F19" s="158" t="s">
        <v>1018</v>
      </c>
      <c r="G19" s="167">
        <v>29256</v>
      </c>
      <c r="H19" s="167"/>
      <c r="I19" s="159" t="s">
        <v>2569</v>
      </c>
      <c r="J19" s="159" t="s">
        <v>2619</v>
      </c>
      <c r="K19" s="159" t="s">
        <v>35</v>
      </c>
      <c r="L19" s="158" t="s">
        <v>322</v>
      </c>
      <c r="M19" s="158" t="s">
        <v>2627</v>
      </c>
      <c r="N19" s="158" t="s">
        <v>2623</v>
      </c>
      <c r="O19" s="159" t="s">
        <v>2660</v>
      </c>
      <c r="P19" s="159" t="s">
        <v>2662</v>
      </c>
      <c r="Q19" s="159" t="s">
        <v>2840</v>
      </c>
      <c r="R19" s="159" t="s">
        <v>2863</v>
      </c>
      <c r="S19" s="159"/>
      <c r="T19" s="159"/>
      <c r="U19" s="158"/>
      <c r="V19" s="158"/>
      <c r="W19" s="159"/>
      <c r="X19" s="159"/>
      <c r="Y19" s="159"/>
      <c r="Z19" s="159"/>
      <c r="AA19" s="159"/>
      <c r="AB19" s="167">
        <v>37264</v>
      </c>
      <c r="AC19" s="159" t="s">
        <v>45</v>
      </c>
      <c r="AD19" s="158"/>
      <c r="AE19" s="159"/>
      <c r="AF19" s="159"/>
      <c r="AG19" s="159"/>
      <c r="AH19" s="159"/>
      <c r="AI19" s="159"/>
      <c r="AJ19" s="159"/>
      <c r="AK19" s="159" t="s">
        <v>2600</v>
      </c>
      <c r="AL19" s="159"/>
      <c r="AM19" s="159"/>
      <c r="AN19" s="159" t="s">
        <v>786</v>
      </c>
      <c r="AO19" s="172" t="s">
        <v>814</v>
      </c>
      <c r="AP19" s="172"/>
      <c r="AQ19" s="172"/>
      <c r="AR19" s="178" t="s">
        <v>2618</v>
      </c>
      <c r="AS19" s="178" t="s">
        <v>2618</v>
      </c>
      <c r="BD19" s="185" t="s">
        <v>1002</v>
      </c>
      <c r="BE19" s="185" t="s">
        <v>639</v>
      </c>
      <c r="BF19" s="159"/>
      <c r="BG19" s="159" t="s">
        <v>45</v>
      </c>
      <c r="BH19" s="159" t="s">
        <v>32</v>
      </c>
      <c r="BI19" s="159" t="s">
        <v>41</v>
      </c>
      <c r="BJ19" s="156">
        <v>1</v>
      </c>
      <c r="BK19" s="156"/>
      <c r="BL19" s="156"/>
    </row>
    <row r="20" spans="1:70">
      <c r="A20" s="184" t="str">
        <f t="shared" si="0"/>
        <v>2020116</v>
      </c>
      <c r="B20" s="158" t="s">
        <v>815</v>
      </c>
      <c r="C20" s="158" t="s">
        <v>472</v>
      </c>
      <c r="D20" s="159" t="s">
        <v>813</v>
      </c>
      <c r="E20" s="159"/>
      <c r="F20" s="158" t="s">
        <v>817</v>
      </c>
      <c r="G20" s="167">
        <v>30094</v>
      </c>
      <c r="H20" s="167"/>
      <c r="I20" s="159" t="s">
        <v>2569</v>
      </c>
      <c r="J20" s="159" t="s">
        <v>2619</v>
      </c>
      <c r="K20" s="159" t="s">
        <v>35</v>
      </c>
      <c r="L20" s="159" t="s">
        <v>816</v>
      </c>
      <c r="M20" s="158" t="s">
        <v>2626</v>
      </c>
      <c r="N20" s="158" t="s">
        <v>2623</v>
      </c>
      <c r="O20" s="159" t="s">
        <v>2659</v>
      </c>
      <c r="P20" s="159" t="s">
        <v>2659</v>
      </c>
      <c r="Q20" s="159" t="s">
        <v>2840</v>
      </c>
      <c r="R20" s="159" t="s">
        <v>2863</v>
      </c>
      <c r="S20" s="159"/>
      <c r="T20" s="159"/>
      <c r="U20" s="158"/>
      <c r="V20" s="158"/>
      <c r="W20" s="159"/>
      <c r="X20" s="159"/>
      <c r="Y20" s="159"/>
      <c r="Z20" s="159"/>
      <c r="AA20" s="159"/>
      <c r="AB20" s="167">
        <v>37270</v>
      </c>
      <c r="AC20" s="159" t="s">
        <v>45</v>
      </c>
      <c r="AD20" s="158"/>
      <c r="AE20" s="159"/>
      <c r="AF20" s="159"/>
      <c r="AG20" s="159"/>
      <c r="AH20" s="159"/>
      <c r="AI20" s="159"/>
      <c r="AJ20" s="159"/>
      <c r="AK20" s="159" t="s">
        <v>2600</v>
      </c>
      <c r="AL20" s="159"/>
      <c r="AM20" s="159"/>
      <c r="AN20" s="159" t="s">
        <v>786</v>
      </c>
      <c r="AO20" s="172" t="s">
        <v>814</v>
      </c>
      <c r="AP20" s="172"/>
      <c r="AQ20" s="172"/>
      <c r="AR20" s="178" t="s">
        <v>2618</v>
      </c>
      <c r="AS20" s="178" t="s">
        <v>2618</v>
      </c>
      <c r="BD20" s="185" t="s">
        <v>787</v>
      </c>
      <c r="BE20" s="159" t="s">
        <v>2247</v>
      </c>
      <c r="BF20" s="159"/>
      <c r="BG20" s="159" t="s">
        <v>45</v>
      </c>
      <c r="BH20" s="159" t="s">
        <v>695</v>
      </c>
      <c r="BI20" s="159" t="s">
        <v>41</v>
      </c>
      <c r="BJ20" s="156">
        <v>1</v>
      </c>
      <c r="BK20" s="156"/>
      <c r="BL20" s="156"/>
    </row>
    <row r="21" spans="1:70">
      <c r="A21" s="184" t="str">
        <f t="shared" si="0"/>
        <v>2020117</v>
      </c>
      <c r="B21" s="158" t="s">
        <v>821</v>
      </c>
      <c r="C21" s="158" t="s">
        <v>479</v>
      </c>
      <c r="D21" s="159" t="s">
        <v>820</v>
      </c>
      <c r="E21" s="159"/>
      <c r="F21" s="158" t="s">
        <v>822</v>
      </c>
      <c r="G21" s="167">
        <v>29848</v>
      </c>
      <c r="H21" s="167"/>
      <c r="I21" s="159" t="s">
        <v>2569</v>
      </c>
      <c r="J21" s="159" t="s">
        <v>2619</v>
      </c>
      <c r="K21" s="159" t="s">
        <v>35</v>
      </c>
      <c r="L21" s="159" t="s">
        <v>755</v>
      </c>
      <c r="M21" s="158" t="s">
        <v>2628</v>
      </c>
      <c r="N21" s="158" t="s">
        <v>2626</v>
      </c>
      <c r="O21" s="159" t="s">
        <v>2660</v>
      </c>
      <c r="P21" s="159" t="s">
        <v>2662</v>
      </c>
      <c r="Q21" s="159" t="s">
        <v>2840</v>
      </c>
      <c r="R21" s="159" t="s">
        <v>2863</v>
      </c>
      <c r="S21" s="159"/>
      <c r="T21" s="159"/>
      <c r="U21" s="158"/>
      <c r="V21" s="158"/>
      <c r="W21" s="159"/>
      <c r="X21" s="159"/>
      <c r="Y21" s="159"/>
      <c r="Z21" s="159"/>
      <c r="AA21" s="159"/>
      <c r="AB21" s="167">
        <v>37272</v>
      </c>
      <c r="AC21" s="159" t="s">
        <v>45</v>
      </c>
      <c r="AD21" s="158"/>
      <c r="AE21" s="159"/>
      <c r="AF21" s="159"/>
      <c r="AG21" s="159"/>
      <c r="AH21" s="159"/>
      <c r="AI21" s="159"/>
      <c r="AJ21" s="159"/>
      <c r="AK21" s="159" t="s">
        <v>2600</v>
      </c>
      <c r="AL21" s="159"/>
      <c r="AM21" s="159"/>
      <c r="AN21" s="159" t="s">
        <v>786</v>
      </c>
      <c r="AO21" s="172" t="s">
        <v>814</v>
      </c>
      <c r="AP21" s="172"/>
      <c r="AQ21" s="172"/>
      <c r="AR21" s="178" t="s">
        <v>2618</v>
      </c>
      <c r="AS21" s="178" t="s">
        <v>2618</v>
      </c>
      <c r="BD21" s="185" t="s">
        <v>787</v>
      </c>
      <c r="BE21" s="159" t="s">
        <v>2247</v>
      </c>
      <c r="BF21" s="159"/>
      <c r="BG21" s="159" t="s">
        <v>45</v>
      </c>
      <c r="BH21" s="159" t="s">
        <v>32</v>
      </c>
      <c r="BI21" s="159" t="s">
        <v>41</v>
      </c>
      <c r="BJ21" s="156">
        <v>1</v>
      </c>
      <c r="BK21" s="156"/>
      <c r="BL21" s="156"/>
    </row>
    <row r="22" spans="1:70">
      <c r="A22" s="184" t="str">
        <f t="shared" si="0"/>
        <v>2020118</v>
      </c>
      <c r="B22" s="158" t="s">
        <v>1453</v>
      </c>
      <c r="C22" s="158" t="s">
        <v>486</v>
      </c>
      <c r="D22" s="159" t="s">
        <v>1452</v>
      </c>
      <c r="E22" s="159"/>
      <c r="F22" s="158" t="s">
        <v>1455</v>
      </c>
      <c r="G22" s="167">
        <v>25949</v>
      </c>
      <c r="H22" s="167"/>
      <c r="I22" s="159" t="s">
        <v>2569</v>
      </c>
      <c r="J22" s="159" t="s">
        <v>2619</v>
      </c>
      <c r="K22" s="159" t="s">
        <v>35</v>
      </c>
      <c r="L22" s="159" t="s">
        <v>1454</v>
      </c>
      <c r="M22" s="158" t="s">
        <v>2622</v>
      </c>
      <c r="N22" s="158" t="s">
        <v>2622</v>
      </c>
      <c r="O22" s="159" t="s">
        <v>2664</v>
      </c>
      <c r="P22" s="159" t="s">
        <v>2790</v>
      </c>
      <c r="Q22" s="159" t="s">
        <v>2844</v>
      </c>
      <c r="R22" s="159" t="s">
        <v>2863</v>
      </c>
      <c r="S22" s="159"/>
      <c r="T22" s="159"/>
      <c r="U22" s="158"/>
      <c r="V22" s="158"/>
      <c r="W22" s="159"/>
      <c r="X22" s="159"/>
      <c r="Y22" s="159"/>
      <c r="Z22" s="159"/>
      <c r="AA22" s="159"/>
      <c r="AB22" s="167">
        <v>37272</v>
      </c>
      <c r="AC22" s="159" t="s">
        <v>45</v>
      </c>
      <c r="AD22" s="158"/>
      <c r="AE22" s="159"/>
      <c r="AF22" s="159"/>
      <c r="AG22" s="159"/>
      <c r="AH22" s="159"/>
      <c r="AI22" s="159"/>
      <c r="AJ22" s="159"/>
      <c r="AK22" s="159" t="s">
        <v>2600</v>
      </c>
      <c r="AL22" s="159"/>
      <c r="AM22" s="159"/>
      <c r="AN22" s="159" t="s">
        <v>786</v>
      </c>
      <c r="AO22" s="172" t="s">
        <v>814</v>
      </c>
      <c r="AP22" s="172"/>
      <c r="AQ22" s="172"/>
      <c r="AR22" s="178" t="s">
        <v>2618</v>
      </c>
      <c r="AS22" s="178" t="s">
        <v>2618</v>
      </c>
      <c r="BD22" s="185" t="s">
        <v>1442</v>
      </c>
      <c r="BE22" s="159" t="s">
        <v>2247</v>
      </c>
      <c r="BF22" s="159"/>
      <c r="BG22" s="159" t="s">
        <v>45</v>
      </c>
      <c r="BH22" s="159" t="s">
        <v>32</v>
      </c>
      <c r="BI22" s="159" t="s">
        <v>41</v>
      </c>
      <c r="BJ22" s="156">
        <v>1</v>
      </c>
      <c r="BK22" s="156"/>
      <c r="BL22" s="156"/>
    </row>
    <row r="23" spans="1:70">
      <c r="A23" s="184" t="str">
        <f t="shared" si="0"/>
        <v>2020219</v>
      </c>
      <c r="B23" s="158" t="s">
        <v>2105</v>
      </c>
      <c r="C23" s="158" t="s">
        <v>492</v>
      </c>
      <c r="D23" s="159" t="s">
        <v>2103</v>
      </c>
      <c r="E23" s="159"/>
      <c r="F23" s="158" t="s">
        <v>2107</v>
      </c>
      <c r="G23" s="167">
        <v>29795</v>
      </c>
      <c r="H23" s="167"/>
      <c r="I23" s="159" t="s">
        <v>2569</v>
      </c>
      <c r="J23" s="159" t="s">
        <v>2619</v>
      </c>
      <c r="K23" s="159" t="s">
        <v>35</v>
      </c>
      <c r="L23" s="159" t="s">
        <v>2106</v>
      </c>
      <c r="M23" s="158" t="s">
        <v>2621</v>
      </c>
      <c r="N23" s="158" t="s">
        <v>2642</v>
      </c>
      <c r="O23" s="159" t="s">
        <v>2657</v>
      </c>
      <c r="P23" s="159" t="s">
        <v>2662</v>
      </c>
      <c r="Q23" s="159" t="s">
        <v>2840</v>
      </c>
      <c r="R23" s="159" t="s">
        <v>2863</v>
      </c>
      <c r="S23" s="159"/>
      <c r="T23" s="159"/>
      <c r="U23" s="158"/>
      <c r="V23" s="158"/>
      <c r="W23" s="159"/>
      <c r="X23" s="159"/>
      <c r="Y23" s="159"/>
      <c r="Z23" s="159"/>
      <c r="AA23" s="159"/>
      <c r="AB23" s="167">
        <v>37288</v>
      </c>
      <c r="AC23" s="159" t="s">
        <v>45</v>
      </c>
      <c r="AD23" s="158"/>
      <c r="AE23" s="159"/>
      <c r="AF23" s="159"/>
      <c r="AG23" s="159"/>
      <c r="AH23" s="159"/>
      <c r="AI23" s="159"/>
      <c r="AJ23" s="159"/>
      <c r="AK23" s="159" t="s">
        <v>2600</v>
      </c>
      <c r="AL23" s="159"/>
      <c r="AM23" s="159"/>
      <c r="AN23" s="185" t="s">
        <v>2065</v>
      </c>
      <c r="AO23" s="162" t="s">
        <v>2104</v>
      </c>
      <c r="AR23" s="178" t="s">
        <v>2618</v>
      </c>
      <c r="AS23" s="178" t="s">
        <v>2618</v>
      </c>
      <c r="BD23" s="159"/>
      <c r="BE23" s="159" t="s">
        <v>2468</v>
      </c>
      <c r="BF23" s="159"/>
      <c r="BG23" s="159" t="s">
        <v>45</v>
      </c>
      <c r="BH23" s="159" t="s">
        <v>46</v>
      </c>
      <c r="BI23" s="159" t="s">
        <v>41</v>
      </c>
      <c r="BJ23" s="156">
        <v>1</v>
      </c>
      <c r="BK23" s="156"/>
      <c r="BL23" s="156"/>
    </row>
    <row r="24" spans="1:70">
      <c r="A24" s="184" t="str">
        <f t="shared" si="0"/>
        <v>1020620</v>
      </c>
      <c r="B24" s="158" t="s">
        <v>603</v>
      </c>
      <c r="C24" s="158" t="s">
        <v>497</v>
      </c>
      <c r="D24" s="159" t="s">
        <v>601</v>
      </c>
      <c r="E24" s="159"/>
      <c r="F24" s="158" t="s">
        <v>605</v>
      </c>
      <c r="G24" s="167">
        <v>27210</v>
      </c>
      <c r="H24" s="167"/>
      <c r="I24" s="159" t="s">
        <v>2569</v>
      </c>
      <c r="J24" s="159" t="s">
        <v>2619</v>
      </c>
      <c r="K24" s="159" t="s">
        <v>35</v>
      </c>
      <c r="L24" s="159" t="s">
        <v>604</v>
      </c>
      <c r="M24" s="158" t="s">
        <v>2623</v>
      </c>
      <c r="N24" s="158" t="s">
        <v>2630</v>
      </c>
      <c r="O24" s="159" t="s">
        <v>2657</v>
      </c>
      <c r="P24" s="159" t="s">
        <v>2662</v>
      </c>
      <c r="Q24" s="159" t="s">
        <v>2840</v>
      </c>
      <c r="R24" s="159" t="s">
        <v>2863</v>
      </c>
      <c r="S24" s="159"/>
      <c r="T24" s="159"/>
      <c r="U24" s="158"/>
      <c r="V24" s="158"/>
      <c r="W24" s="159"/>
      <c r="X24" s="159"/>
      <c r="Y24" s="159"/>
      <c r="Z24" s="159"/>
      <c r="AA24" s="159"/>
      <c r="AB24" s="167">
        <v>37408</v>
      </c>
      <c r="AC24" s="159" t="s">
        <v>30</v>
      </c>
      <c r="AD24" s="158"/>
      <c r="AE24" s="159"/>
      <c r="AF24" s="159"/>
      <c r="AG24" s="159"/>
      <c r="AH24" s="159"/>
      <c r="AI24" s="159"/>
      <c r="AJ24" s="159"/>
      <c r="AK24" s="159" t="s">
        <v>2600</v>
      </c>
      <c r="AL24" s="159"/>
      <c r="AM24" s="159"/>
      <c r="AN24" s="159" t="s">
        <v>553</v>
      </c>
      <c r="AO24" s="172" t="s">
        <v>564</v>
      </c>
      <c r="AP24" s="172"/>
      <c r="AQ24" s="172"/>
      <c r="AR24" s="178" t="s">
        <v>2618</v>
      </c>
      <c r="AS24" s="178" t="s">
        <v>2618</v>
      </c>
      <c r="BD24" s="156" t="s">
        <v>584</v>
      </c>
      <c r="BE24" s="156" t="s">
        <v>602</v>
      </c>
      <c r="BF24" s="159"/>
      <c r="BG24" s="159" t="s">
        <v>30</v>
      </c>
      <c r="BH24" s="159" t="s">
        <v>32</v>
      </c>
      <c r="BI24" s="159" t="s">
        <v>41</v>
      </c>
      <c r="BJ24" s="156">
        <v>3</v>
      </c>
      <c r="BK24" s="156"/>
      <c r="BL24" s="156"/>
    </row>
    <row r="25" spans="1:70">
      <c r="A25" s="184" t="str">
        <f t="shared" si="0"/>
        <v>2020621</v>
      </c>
      <c r="B25" s="158" t="s">
        <v>863</v>
      </c>
      <c r="C25" s="158" t="s">
        <v>502</v>
      </c>
      <c r="D25" s="159" t="s">
        <v>861</v>
      </c>
      <c r="E25" s="159"/>
      <c r="F25" s="158" t="s">
        <v>865</v>
      </c>
      <c r="G25" s="167">
        <v>30692</v>
      </c>
      <c r="H25" s="167"/>
      <c r="I25" s="159" t="s">
        <v>2569</v>
      </c>
      <c r="J25" s="159" t="s">
        <v>2619</v>
      </c>
      <c r="K25" s="159" t="s">
        <v>35</v>
      </c>
      <c r="L25" s="159" t="s">
        <v>864</v>
      </c>
      <c r="M25" s="158" t="s">
        <v>2625</v>
      </c>
      <c r="N25" s="158" t="s">
        <v>2623</v>
      </c>
      <c r="O25" s="159" t="s">
        <v>2665</v>
      </c>
      <c r="P25" s="159" t="s">
        <v>2732</v>
      </c>
      <c r="Q25" s="159" t="s">
        <v>2840</v>
      </c>
      <c r="R25" s="159" t="s">
        <v>2863</v>
      </c>
      <c r="S25" s="159"/>
      <c r="T25" s="159"/>
      <c r="U25" s="158"/>
      <c r="V25" s="158"/>
      <c r="W25" s="159"/>
      <c r="X25" s="159"/>
      <c r="Y25" s="159"/>
      <c r="Z25" s="159"/>
      <c r="AA25" s="159"/>
      <c r="AB25" s="167">
        <v>37408</v>
      </c>
      <c r="AC25" s="159" t="s">
        <v>45</v>
      </c>
      <c r="AD25" s="158"/>
      <c r="AE25" s="159"/>
      <c r="AF25" s="159"/>
      <c r="AG25" s="159"/>
      <c r="AH25" s="159"/>
      <c r="AI25" s="159"/>
      <c r="AJ25" s="159"/>
      <c r="AK25" s="159" t="s">
        <v>2600</v>
      </c>
      <c r="AL25" s="159"/>
      <c r="AM25" s="159"/>
      <c r="AN25" s="159" t="s">
        <v>786</v>
      </c>
      <c r="AO25" s="172" t="s">
        <v>78</v>
      </c>
      <c r="AP25" s="172"/>
      <c r="AQ25" s="172"/>
      <c r="AR25" s="178" t="s">
        <v>2618</v>
      </c>
      <c r="AS25" s="178" t="s">
        <v>2618</v>
      </c>
      <c r="BD25" s="185" t="s">
        <v>787</v>
      </c>
      <c r="BE25" s="156" t="s">
        <v>862</v>
      </c>
      <c r="BF25" s="159" t="s">
        <v>855</v>
      </c>
      <c r="BG25" s="159" t="s">
        <v>45</v>
      </c>
      <c r="BH25" s="159" t="s">
        <v>32</v>
      </c>
      <c r="BI25" s="159" t="s">
        <v>41</v>
      </c>
      <c r="BJ25" s="156">
        <v>1</v>
      </c>
      <c r="BK25" s="156"/>
      <c r="BL25" s="156"/>
      <c r="BM25" s="186"/>
      <c r="BN25" s="186"/>
      <c r="BO25" s="186"/>
      <c r="BP25" s="186"/>
      <c r="BQ25" s="186"/>
      <c r="BR25" s="186"/>
    </row>
    <row r="26" spans="1:70">
      <c r="A26" s="184" t="str">
        <f t="shared" si="0"/>
        <v>2020622</v>
      </c>
      <c r="B26" s="158" t="s">
        <v>926</v>
      </c>
      <c r="C26" s="158" t="s">
        <v>506</v>
      </c>
      <c r="D26" s="159" t="s">
        <v>925</v>
      </c>
      <c r="E26" s="159"/>
      <c r="F26" s="158" t="s">
        <v>928</v>
      </c>
      <c r="G26" s="167">
        <v>37530</v>
      </c>
      <c r="H26" s="167"/>
      <c r="I26" s="159" t="s">
        <v>2569</v>
      </c>
      <c r="J26" s="159" t="s">
        <v>2619</v>
      </c>
      <c r="K26" s="159" t="s">
        <v>35</v>
      </c>
      <c r="L26" s="159" t="s">
        <v>927</v>
      </c>
      <c r="M26" s="158" t="s">
        <v>2629</v>
      </c>
      <c r="N26" s="158" t="s">
        <v>2623</v>
      </c>
      <c r="O26" s="159" t="s">
        <v>2666</v>
      </c>
      <c r="P26" s="159" t="s">
        <v>2662</v>
      </c>
      <c r="Q26" s="159" t="s">
        <v>2840</v>
      </c>
      <c r="R26" s="159" t="s">
        <v>2863</v>
      </c>
      <c r="S26" s="159"/>
      <c r="T26" s="159"/>
      <c r="U26" s="158"/>
      <c r="V26" s="158"/>
      <c r="W26" s="159"/>
      <c r="X26" s="159"/>
      <c r="Y26" s="159"/>
      <c r="Z26" s="159"/>
      <c r="AA26" s="159"/>
      <c r="AB26" s="167">
        <v>37408</v>
      </c>
      <c r="AC26" s="159" t="s">
        <v>45</v>
      </c>
      <c r="AD26" s="158"/>
      <c r="AE26" s="159"/>
      <c r="AF26" s="159"/>
      <c r="AG26" s="159"/>
      <c r="AH26" s="159"/>
      <c r="AI26" s="159"/>
      <c r="AJ26" s="159"/>
      <c r="AK26" s="159" t="s">
        <v>2600</v>
      </c>
      <c r="AL26" s="159"/>
      <c r="AM26" s="159"/>
      <c r="AN26" s="159" t="s">
        <v>786</v>
      </c>
      <c r="AO26" s="172" t="s">
        <v>78</v>
      </c>
      <c r="AP26" s="172"/>
      <c r="AQ26" s="172"/>
      <c r="AR26" s="178" t="s">
        <v>2618</v>
      </c>
      <c r="AS26" s="178" t="s">
        <v>2618</v>
      </c>
      <c r="BD26" s="185" t="s">
        <v>787</v>
      </c>
      <c r="BE26" s="156" t="s">
        <v>918</v>
      </c>
      <c r="BF26" s="159" t="s">
        <v>855</v>
      </c>
      <c r="BG26" s="159" t="s">
        <v>45</v>
      </c>
      <c r="BH26" s="159" t="s">
        <v>32</v>
      </c>
      <c r="BI26" s="159" t="s">
        <v>41</v>
      </c>
      <c r="BJ26" s="156">
        <v>1</v>
      </c>
      <c r="BK26" s="156"/>
      <c r="BL26" s="156"/>
    </row>
    <row r="27" spans="1:70">
      <c r="A27" s="184" t="str">
        <f t="shared" si="0"/>
        <v>1020623</v>
      </c>
      <c r="B27" s="158" t="s">
        <v>1012</v>
      </c>
      <c r="C27" s="158" t="s">
        <v>509</v>
      </c>
      <c r="D27" s="159" t="s">
        <v>1011</v>
      </c>
      <c r="E27" s="159"/>
      <c r="F27" s="158" t="s">
        <v>1014</v>
      </c>
      <c r="G27" s="167">
        <v>27645</v>
      </c>
      <c r="H27" s="167"/>
      <c r="I27" s="159" t="s">
        <v>2569</v>
      </c>
      <c r="J27" s="159" t="s">
        <v>2619</v>
      </c>
      <c r="K27" s="159" t="s">
        <v>35</v>
      </c>
      <c r="L27" s="158" t="s">
        <v>1013</v>
      </c>
      <c r="M27" s="158" t="s">
        <v>2623</v>
      </c>
      <c r="N27" s="158" t="s">
        <v>2621</v>
      </c>
      <c r="O27" s="159" t="s">
        <v>2667</v>
      </c>
      <c r="P27" s="159" t="s">
        <v>2800</v>
      </c>
      <c r="Q27" s="159" t="s">
        <v>2844</v>
      </c>
      <c r="R27" s="159" t="s">
        <v>2863</v>
      </c>
      <c r="S27" s="159"/>
      <c r="T27" s="159"/>
      <c r="U27" s="158"/>
      <c r="V27" s="158"/>
      <c r="W27" s="159"/>
      <c r="X27" s="159"/>
      <c r="Y27" s="159"/>
      <c r="Z27" s="159"/>
      <c r="AA27" s="159"/>
      <c r="AB27" s="167">
        <v>37408</v>
      </c>
      <c r="AC27" s="157" t="s">
        <v>30</v>
      </c>
      <c r="AD27" s="158"/>
      <c r="AE27" s="157"/>
      <c r="AF27" s="157"/>
      <c r="AG27" s="157"/>
      <c r="AH27" s="157"/>
      <c r="AI27" s="157"/>
      <c r="AJ27" s="157"/>
      <c r="AK27" s="159" t="s">
        <v>2600</v>
      </c>
      <c r="AL27" s="157"/>
      <c r="AM27" s="157"/>
      <c r="AN27" s="159" t="s">
        <v>786</v>
      </c>
      <c r="AO27" s="172" t="s">
        <v>44</v>
      </c>
      <c r="AP27" s="172"/>
      <c r="AQ27" s="172"/>
      <c r="AR27" s="178" t="s">
        <v>2618</v>
      </c>
      <c r="AS27" s="178" t="s">
        <v>2618</v>
      </c>
      <c r="BD27" s="185" t="s">
        <v>1002</v>
      </c>
      <c r="BE27" s="156" t="s">
        <v>639</v>
      </c>
      <c r="BF27" s="159"/>
      <c r="BG27" s="157" t="s">
        <v>30</v>
      </c>
      <c r="BH27" s="159" t="s">
        <v>46</v>
      </c>
      <c r="BI27" s="159" t="s">
        <v>41</v>
      </c>
      <c r="BJ27" s="156">
        <v>3</v>
      </c>
      <c r="BK27" s="156"/>
      <c r="BL27" s="156"/>
    </row>
    <row r="28" spans="1:70">
      <c r="A28" s="184" t="str">
        <f t="shared" si="0"/>
        <v>2020624</v>
      </c>
      <c r="B28" s="158" t="s">
        <v>1050</v>
      </c>
      <c r="C28" s="158" t="s">
        <v>513</v>
      </c>
      <c r="D28" s="159" t="s">
        <v>1048</v>
      </c>
      <c r="E28" s="159"/>
      <c r="F28" s="158" t="s">
        <v>1052</v>
      </c>
      <c r="G28" s="167">
        <v>30106</v>
      </c>
      <c r="H28" s="167"/>
      <c r="I28" s="159" t="s">
        <v>2569</v>
      </c>
      <c r="J28" s="159" t="s">
        <v>2619</v>
      </c>
      <c r="K28" s="159" t="s">
        <v>35</v>
      </c>
      <c r="L28" s="159" t="s">
        <v>1051</v>
      </c>
      <c r="M28" s="158" t="s">
        <v>2622</v>
      </c>
      <c r="N28" s="158" t="s">
        <v>2621</v>
      </c>
      <c r="O28" s="159" t="s">
        <v>2660</v>
      </c>
      <c r="P28" s="159" t="s">
        <v>2662</v>
      </c>
      <c r="Q28" s="159" t="s">
        <v>2840</v>
      </c>
      <c r="R28" s="159" t="s">
        <v>2863</v>
      </c>
      <c r="S28" s="159"/>
      <c r="T28" s="159"/>
      <c r="U28" s="158"/>
      <c r="V28" s="158"/>
      <c r="W28" s="159"/>
      <c r="X28" s="159"/>
      <c r="Y28" s="159"/>
      <c r="Z28" s="159"/>
      <c r="AA28" s="159"/>
      <c r="AB28" s="167">
        <v>37408</v>
      </c>
      <c r="AC28" s="159" t="s">
        <v>45</v>
      </c>
      <c r="AD28" s="158"/>
      <c r="AE28" s="159"/>
      <c r="AF28" s="159"/>
      <c r="AG28" s="159"/>
      <c r="AH28" s="159"/>
      <c r="AI28" s="159"/>
      <c r="AJ28" s="159"/>
      <c r="AK28" s="159" t="s">
        <v>2600</v>
      </c>
      <c r="AL28" s="159"/>
      <c r="AM28" s="159"/>
      <c r="AN28" s="159" t="s">
        <v>786</v>
      </c>
      <c r="AO28" s="172" t="s">
        <v>78</v>
      </c>
      <c r="AP28" s="172"/>
      <c r="AQ28" s="172"/>
      <c r="AR28" s="178" t="s">
        <v>2618</v>
      </c>
      <c r="AS28" s="178" t="s">
        <v>2618</v>
      </c>
      <c r="BD28" s="185" t="s">
        <v>1002</v>
      </c>
      <c r="BE28" s="156" t="s">
        <v>1033</v>
      </c>
      <c r="BF28" s="185" t="s">
        <v>1049</v>
      </c>
      <c r="BG28" s="159" t="s">
        <v>45</v>
      </c>
      <c r="BH28" s="159" t="s">
        <v>32</v>
      </c>
      <c r="BI28" s="159" t="s">
        <v>41</v>
      </c>
      <c r="BJ28" s="156">
        <v>1</v>
      </c>
      <c r="BK28" s="156"/>
      <c r="BL28" s="156"/>
    </row>
    <row r="29" spans="1:70">
      <c r="A29" s="184" t="str">
        <f t="shared" si="0"/>
        <v>2020625</v>
      </c>
      <c r="B29" s="158" t="s">
        <v>1520</v>
      </c>
      <c r="C29" s="158" t="s">
        <v>2875</v>
      </c>
      <c r="D29" s="159" t="s">
        <v>1519</v>
      </c>
      <c r="E29" s="159"/>
      <c r="F29" s="158" t="s">
        <v>1522</v>
      </c>
      <c r="G29" s="167">
        <v>30963</v>
      </c>
      <c r="H29" s="167"/>
      <c r="I29" s="159" t="s">
        <v>2569</v>
      </c>
      <c r="J29" s="159" t="s">
        <v>2619</v>
      </c>
      <c r="K29" s="159" t="s">
        <v>35</v>
      </c>
      <c r="L29" s="159" t="s">
        <v>1521</v>
      </c>
      <c r="M29" s="158" t="s">
        <v>2624</v>
      </c>
      <c r="N29" s="158" t="s">
        <v>2622</v>
      </c>
      <c r="O29" s="159" t="s">
        <v>2663</v>
      </c>
      <c r="P29" s="159" t="s">
        <v>2662</v>
      </c>
      <c r="Q29" s="159" t="s">
        <v>2840</v>
      </c>
      <c r="R29" s="159" t="s">
        <v>2863</v>
      </c>
      <c r="S29" s="159"/>
      <c r="T29" s="159"/>
      <c r="U29" s="158"/>
      <c r="V29" s="158"/>
      <c r="W29" s="159"/>
      <c r="X29" s="159"/>
      <c r="Y29" s="159"/>
      <c r="Z29" s="159"/>
      <c r="AA29" s="159"/>
      <c r="AB29" s="167">
        <v>37408</v>
      </c>
      <c r="AC29" s="159" t="s">
        <v>45</v>
      </c>
      <c r="AD29" s="158"/>
      <c r="AE29" s="159"/>
      <c r="AF29" s="159"/>
      <c r="AG29" s="159"/>
      <c r="AH29" s="159"/>
      <c r="AI29" s="159"/>
      <c r="AJ29" s="159"/>
      <c r="AK29" s="159" t="s">
        <v>2600</v>
      </c>
      <c r="AL29" s="159"/>
      <c r="AM29" s="159"/>
      <c r="AN29" s="159" t="s">
        <v>786</v>
      </c>
      <c r="AO29" s="172" t="s">
        <v>78</v>
      </c>
      <c r="AP29" s="172"/>
      <c r="AQ29" s="172"/>
      <c r="AR29" s="178" t="s">
        <v>2618</v>
      </c>
      <c r="AS29" s="178" t="s">
        <v>2618</v>
      </c>
      <c r="BD29" s="185" t="s">
        <v>1442</v>
      </c>
      <c r="BE29" s="156" t="s">
        <v>1493</v>
      </c>
      <c r="BF29" s="159" t="s">
        <v>1508</v>
      </c>
      <c r="BG29" s="159" t="s">
        <v>45</v>
      </c>
      <c r="BH29" s="159" t="s">
        <v>32</v>
      </c>
      <c r="BI29" s="159" t="s">
        <v>41</v>
      </c>
      <c r="BJ29" s="156">
        <v>1</v>
      </c>
      <c r="BK29" s="156"/>
      <c r="BL29" s="156"/>
    </row>
    <row r="30" spans="1:70">
      <c r="A30" s="184" t="str">
        <f t="shared" si="0"/>
        <v>2020626</v>
      </c>
      <c r="B30" s="158" t="s">
        <v>2144</v>
      </c>
      <c r="C30" s="158" t="s">
        <v>2876</v>
      </c>
      <c r="D30" s="159" t="s">
        <v>2143</v>
      </c>
      <c r="E30" s="159"/>
      <c r="F30" s="158" t="s">
        <v>2145</v>
      </c>
      <c r="G30" s="167">
        <v>30139</v>
      </c>
      <c r="H30" s="167"/>
      <c r="I30" s="159" t="s">
        <v>2569</v>
      </c>
      <c r="J30" s="159" t="s">
        <v>2619</v>
      </c>
      <c r="K30" s="159" t="s">
        <v>35</v>
      </c>
      <c r="L30" s="159" t="s">
        <v>1195</v>
      </c>
      <c r="M30" s="158" t="s">
        <v>2621</v>
      </c>
      <c r="N30" s="158" t="s">
        <v>2621</v>
      </c>
      <c r="O30" s="159" t="s">
        <v>2668</v>
      </c>
      <c r="P30" s="159" t="s">
        <v>2662</v>
      </c>
      <c r="Q30" s="159" t="s">
        <v>2840</v>
      </c>
      <c r="R30" s="159" t="s">
        <v>2863</v>
      </c>
      <c r="S30" s="159"/>
      <c r="T30" s="159"/>
      <c r="U30" s="158"/>
      <c r="V30" s="158"/>
      <c r="W30" s="159"/>
      <c r="X30" s="159"/>
      <c r="Y30" s="159"/>
      <c r="Z30" s="159"/>
      <c r="AA30" s="159"/>
      <c r="AB30" s="167">
        <v>37408</v>
      </c>
      <c r="AC30" s="159" t="s">
        <v>45</v>
      </c>
      <c r="AD30" s="158"/>
      <c r="AE30" s="159"/>
      <c r="AF30" s="159"/>
      <c r="AG30" s="159"/>
      <c r="AH30" s="159"/>
      <c r="AI30" s="159"/>
      <c r="AJ30" s="159"/>
      <c r="AK30" s="159" t="s">
        <v>2600</v>
      </c>
      <c r="AL30" s="159"/>
      <c r="AM30" s="159"/>
      <c r="AN30" s="185" t="s">
        <v>2065</v>
      </c>
      <c r="AO30" s="162" t="s">
        <v>2104</v>
      </c>
      <c r="AR30" s="178" t="s">
        <v>2618</v>
      </c>
      <c r="AS30" s="178" t="s">
        <v>2618</v>
      </c>
      <c r="BD30" s="159"/>
      <c r="BE30" s="159" t="s">
        <v>2469</v>
      </c>
      <c r="BF30" s="159"/>
      <c r="BG30" s="159" t="s">
        <v>45</v>
      </c>
      <c r="BH30" s="159" t="s">
        <v>46</v>
      </c>
      <c r="BI30" s="159" t="s">
        <v>41</v>
      </c>
      <c r="BJ30" s="156">
        <v>1</v>
      </c>
      <c r="BK30" s="156"/>
      <c r="BL30" s="156"/>
    </row>
    <row r="31" spans="1:70">
      <c r="A31" s="184" t="str">
        <f t="shared" si="0"/>
        <v>2021027</v>
      </c>
      <c r="B31" s="158" t="s">
        <v>244</v>
      </c>
      <c r="C31" s="158" t="s">
        <v>2877</v>
      </c>
      <c r="D31" s="159" t="s">
        <v>243</v>
      </c>
      <c r="E31" s="159"/>
      <c r="F31" s="158" t="s">
        <v>246</v>
      </c>
      <c r="G31" s="167">
        <v>30306</v>
      </c>
      <c r="H31" s="167"/>
      <c r="I31" s="159" t="s">
        <v>2569</v>
      </c>
      <c r="J31" s="159" t="s">
        <v>2619</v>
      </c>
      <c r="K31" s="159" t="s">
        <v>35</v>
      </c>
      <c r="L31" s="159" t="s">
        <v>245</v>
      </c>
      <c r="M31" s="158" t="s">
        <v>2625</v>
      </c>
      <c r="N31" s="158" t="s">
        <v>2625</v>
      </c>
      <c r="O31" s="159" t="s">
        <v>2657</v>
      </c>
      <c r="P31" s="159" t="s">
        <v>2662</v>
      </c>
      <c r="Q31" s="159" t="s">
        <v>2840</v>
      </c>
      <c r="R31" s="159" t="s">
        <v>2863</v>
      </c>
      <c r="S31" s="159"/>
      <c r="T31" s="159"/>
      <c r="U31" s="158"/>
      <c r="V31" s="158"/>
      <c r="W31" s="159"/>
      <c r="X31" s="159"/>
      <c r="Y31" s="159"/>
      <c r="Z31" s="159"/>
      <c r="AA31" s="159"/>
      <c r="AB31" s="167">
        <v>37530</v>
      </c>
      <c r="AC31" s="159" t="s">
        <v>45</v>
      </c>
      <c r="AD31" s="158"/>
      <c r="AE31" s="159"/>
      <c r="AF31" s="159"/>
      <c r="AG31" s="159"/>
      <c r="AH31" s="159"/>
      <c r="AI31" s="159"/>
      <c r="AJ31" s="159"/>
      <c r="AK31" s="159" t="s">
        <v>2600</v>
      </c>
      <c r="AL31" s="159"/>
      <c r="AM31" s="159"/>
      <c r="AN31" s="185" t="s">
        <v>216</v>
      </c>
      <c r="AO31" s="172" t="s">
        <v>78</v>
      </c>
      <c r="AP31" s="172"/>
      <c r="AQ31" s="172"/>
      <c r="AR31" s="178" t="s">
        <v>2618</v>
      </c>
      <c r="AS31" s="178" t="s">
        <v>2618</v>
      </c>
      <c r="BD31" s="156"/>
      <c r="BF31" s="159"/>
      <c r="BG31" s="159" t="s">
        <v>45</v>
      </c>
      <c r="BH31" s="159" t="s">
        <v>46</v>
      </c>
      <c r="BI31" s="159" t="s">
        <v>41</v>
      </c>
      <c r="BJ31" s="156">
        <v>3</v>
      </c>
      <c r="BK31" s="156"/>
      <c r="BL31" s="156"/>
    </row>
    <row r="32" spans="1:70">
      <c r="A32" s="184" t="str">
        <f t="shared" si="0"/>
        <v>2021028</v>
      </c>
      <c r="B32" s="158" t="s">
        <v>1527</v>
      </c>
      <c r="C32" s="158" t="s">
        <v>2878</v>
      </c>
      <c r="D32" s="159" t="s">
        <v>1525</v>
      </c>
      <c r="E32" s="159"/>
      <c r="F32" s="158" t="s">
        <v>1529</v>
      </c>
      <c r="G32" s="167">
        <v>30639</v>
      </c>
      <c r="H32" s="167"/>
      <c r="I32" s="159" t="s">
        <v>2569</v>
      </c>
      <c r="J32" s="159" t="s">
        <v>2619</v>
      </c>
      <c r="K32" s="159" t="s">
        <v>35</v>
      </c>
      <c r="L32" s="159" t="s">
        <v>1528</v>
      </c>
      <c r="M32" s="158" t="s">
        <v>2622</v>
      </c>
      <c r="N32" s="158" t="s">
        <v>2622</v>
      </c>
      <c r="O32" s="159" t="s">
        <v>2669</v>
      </c>
      <c r="P32" s="159" t="s">
        <v>2790</v>
      </c>
      <c r="Q32" s="159" t="s">
        <v>2844</v>
      </c>
      <c r="R32" s="159" t="s">
        <v>2863</v>
      </c>
      <c r="S32" s="159"/>
      <c r="T32" s="159"/>
      <c r="U32" s="158"/>
      <c r="V32" s="158"/>
      <c r="W32" s="159"/>
      <c r="X32" s="159"/>
      <c r="Y32" s="159"/>
      <c r="Z32" s="159"/>
      <c r="AA32" s="159"/>
      <c r="AB32" s="167">
        <v>37530</v>
      </c>
      <c r="AC32" s="159" t="s">
        <v>45</v>
      </c>
      <c r="AD32" s="158"/>
      <c r="AE32" s="159"/>
      <c r="AF32" s="159"/>
      <c r="AG32" s="159"/>
      <c r="AH32" s="159"/>
      <c r="AI32" s="159"/>
      <c r="AJ32" s="159"/>
      <c r="AK32" s="159" t="s">
        <v>2600</v>
      </c>
      <c r="AL32" s="159"/>
      <c r="AM32" s="159"/>
      <c r="AN32" s="159" t="s">
        <v>786</v>
      </c>
      <c r="AO32" s="172" t="s">
        <v>78</v>
      </c>
      <c r="AP32" s="172"/>
      <c r="AQ32" s="172"/>
      <c r="AR32" s="178" t="s">
        <v>2618</v>
      </c>
      <c r="AS32" s="178" t="s">
        <v>2618</v>
      </c>
      <c r="BD32" s="185" t="s">
        <v>1442</v>
      </c>
      <c r="BE32" s="156" t="s">
        <v>1526</v>
      </c>
      <c r="BF32" s="159" t="s">
        <v>1482</v>
      </c>
      <c r="BG32" s="159" t="s">
        <v>45</v>
      </c>
      <c r="BH32" s="159" t="s">
        <v>46</v>
      </c>
      <c r="BI32" s="159" t="s">
        <v>41</v>
      </c>
      <c r="BJ32" s="156">
        <v>1</v>
      </c>
      <c r="BK32" s="156"/>
      <c r="BL32" s="156"/>
      <c r="BM32" s="155"/>
      <c r="BN32" s="155"/>
      <c r="BO32" s="155"/>
      <c r="BP32" s="155"/>
      <c r="BQ32" s="155"/>
      <c r="BR32" s="155"/>
    </row>
    <row r="33" spans="1:70">
      <c r="A33" s="184" t="str">
        <f t="shared" si="0"/>
        <v>2030129</v>
      </c>
      <c r="B33" s="158" t="s">
        <v>1043</v>
      </c>
      <c r="C33" s="158" t="s">
        <v>2879</v>
      </c>
      <c r="D33" s="159" t="s">
        <v>1041</v>
      </c>
      <c r="E33" s="159"/>
      <c r="F33" s="158" t="s">
        <v>1045</v>
      </c>
      <c r="G33" s="167">
        <v>29211</v>
      </c>
      <c r="H33" s="167"/>
      <c r="I33" s="159" t="s">
        <v>2569</v>
      </c>
      <c r="J33" s="159" t="s">
        <v>2619</v>
      </c>
      <c r="K33" s="159" t="s">
        <v>35</v>
      </c>
      <c r="L33" s="159" t="s">
        <v>1044</v>
      </c>
      <c r="M33" s="158" t="s">
        <v>2621</v>
      </c>
      <c r="N33" s="158" t="s">
        <v>2627</v>
      </c>
      <c r="O33" s="159" t="s">
        <v>2664</v>
      </c>
      <c r="P33" s="159" t="s">
        <v>2790</v>
      </c>
      <c r="Q33" s="159" t="s">
        <v>2844</v>
      </c>
      <c r="R33" s="159" t="s">
        <v>2863</v>
      </c>
      <c r="S33" s="159"/>
      <c r="T33" s="159"/>
      <c r="U33" s="158"/>
      <c r="V33" s="158"/>
      <c r="W33" s="159"/>
      <c r="X33" s="159"/>
      <c r="Y33" s="159"/>
      <c r="Z33" s="159"/>
      <c r="AA33" s="159"/>
      <c r="AB33" s="167">
        <v>37634</v>
      </c>
      <c r="AC33" s="159" t="s">
        <v>45</v>
      </c>
      <c r="AD33" s="158"/>
      <c r="AE33" s="159"/>
      <c r="AF33" s="159"/>
      <c r="AG33" s="159"/>
      <c r="AH33" s="159"/>
      <c r="AI33" s="159"/>
      <c r="AJ33" s="159"/>
      <c r="AK33" s="159" t="s">
        <v>2600</v>
      </c>
      <c r="AL33" s="159"/>
      <c r="AM33" s="159"/>
      <c r="AN33" s="159" t="s">
        <v>786</v>
      </c>
      <c r="AO33" s="172" t="s">
        <v>78</v>
      </c>
      <c r="AP33" s="172"/>
      <c r="AQ33" s="172"/>
      <c r="AR33" s="178" t="s">
        <v>2618</v>
      </c>
      <c r="AS33" s="178" t="s">
        <v>2618</v>
      </c>
      <c r="BD33" s="185" t="s">
        <v>1002</v>
      </c>
      <c r="BE33" s="156" t="s">
        <v>1033</v>
      </c>
      <c r="BF33" s="185" t="s">
        <v>2333</v>
      </c>
      <c r="BG33" s="159" t="s">
        <v>45</v>
      </c>
      <c r="BH33" s="159" t="s">
        <v>46</v>
      </c>
      <c r="BI33" s="159" t="s">
        <v>41</v>
      </c>
      <c r="BJ33" s="156">
        <v>1</v>
      </c>
      <c r="BK33" s="156"/>
      <c r="BL33" s="156"/>
    </row>
    <row r="34" spans="1:70">
      <c r="A34" s="184" t="str">
        <f t="shared" si="0"/>
        <v>4030530</v>
      </c>
      <c r="B34" s="158" t="s">
        <v>1676</v>
      </c>
      <c r="C34" s="158" t="s">
        <v>2880</v>
      </c>
      <c r="D34" s="159" t="s">
        <v>1675</v>
      </c>
      <c r="E34" s="159"/>
      <c r="F34" s="158" t="s">
        <v>1678</v>
      </c>
      <c r="G34" s="167">
        <v>25344</v>
      </c>
      <c r="H34" s="167"/>
      <c r="I34" s="159" t="s">
        <v>2569</v>
      </c>
      <c r="J34" s="159" t="s">
        <v>2619</v>
      </c>
      <c r="K34" s="159" t="s">
        <v>35</v>
      </c>
      <c r="L34" s="159" t="s">
        <v>1677</v>
      </c>
      <c r="M34" s="158" t="s">
        <v>2629</v>
      </c>
      <c r="N34" s="158" t="s">
        <v>2625</v>
      </c>
      <c r="O34" s="159" t="s">
        <v>2657</v>
      </c>
      <c r="P34" s="159" t="s">
        <v>2662</v>
      </c>
      <c r="Q34" s="159" t="s">
        <v>2840</v>
      </c>
      <c r="R34" s="159" t="s">
        <v>2863</v>
      </c>
      <c r="S34" s="159"/>
      <c r="T34" s="159"/>
      <c r="U34" s="158"/>
      <c r="V34" s="158"/>
      <c r="W34" s="159"/>
      <c r="X34" s="159"/>
      <c r="Y34" s="159"/>
      <c r="Z34" s="159"/>
      <c r="AA34" s="159"/>
      <c r="AB34" s="167">
        <v>37742</v>
      </c>
      <c r="AC34" s="159" t="s">
        <v>129</v>
      </c>
      <c r="AD34" s="158"/>
      <c r="AE34" s="159"/>
      <c r="AF34" s="159"/>
      <c r="AG34" s="159"/>
      <c r="AH34" s="159"/>
      <c r="AI34" s="159"/>
      <c r="AJ34" s="159"/>
      <c r="AK34" s="159" t="s">
        <v>2600</v>
      </c>
      <c r="AL34" s="159"/>
      <c r="AM34" s="159"/>
      <c r="AN34" s="159" t="s">
        <v>786</v>
      </c>
      <c r="AO34" s="172" t="s">
        <v>115</v>
      </c>
      <c r="AP34" s="172"/>
      <c r="AQ34" s="172"/>
      <c r="AR34" s="178" t="s">
        <v>2618</v>
      </c>
      <c r="AS34" s="178" t="s">
        <v>2618</v>
      </c>
      <c r="BD34" s="185" t="s">
        <v>1442</v>
      </c>
      <c r="BF34" s="159" t="s">
        <v>1482</v>
      </c>
      <c r="BG34" s="159" t="s">
        <v>129</v>
      </c>
      <c r="BH34" s="159" t="s">
        <v>32</v>
      </c>
      <c r="BI34" s="159" t="s">
        <v>41</v>
      </c>
      <c r="BJ34" s="156">
        <v>1</v>
      </c>
      <c r="BK34" s="156"/>
      <c r="BL34" s="156"/>
      <c r="BM34" s="186"/>
      <c r="BN34" s="186"/>
      <c r="BO34" s="186"/>
      <c r="BP34" s="186"/>
      <c r="BQ34" s="186"/>
      <c r="BR34" s="186"/>
    </row>
    <row r="35" spans="1:70">
      <c r="A35" s="184" t="str">
        <f t="shared" si="0"/>
        <v>2030631</v>
      </c>
      <c r="B35" s="158" t="s">
        <v>1128</v>
      </c>
      <c r="C35" s="158" t="s">
        <v>2881</v>
      </c>
      <c r="D35" s="159" t="s">
        <v>1126</v>
      </c>
      <c r="E35" s="159"/>
      <c r="F35" s="158" t="s">
        <v>1129</v>
      </c>
      <c r="G35" s="167">
        <v>30594</v>
      </c>
      <c r="H35" s="167"/>
      <c r="I35" s="159" t="s">
        <v>2569</v>
      </c>
      <c r="J35" s="159" t="s">
        <v>2619</v>
      </c>
      <c r="K35" s="159" t="s">
        <v>35</v>
      </c>
      <c r="L35" s="159" t="s">
        <v>755</v>
      </c>
      <c r="M35" s="158" t="s">
        <v>2628</v>
      </c>
      <c r="N35" s="158" t="s">
        <v>2626</v>
      </c>
      <c r="O35" s="159" t="s">
        <v>2660</v>
      </c>
      <c r="P35" s="159" t="s">
        <v>2662</v>
      </c>
      <c r="Q35" s="159" t="s">
        <v>2840</v>
      </c>
      <c r="R35" s="159" t="s">
        <v>2863</v>
      </c>
      <c r="S35" s="159"/>
      <c r="T35" s="159"/>
      <c r="U35" s="158"/>
      <c r="V35" s="158"/>
      <c r="W35" s="159"/>
      <c r="X35" s="159"/>
      <c r="Y35" s="159"/>
      <c r="Z35" s="159"/>
      <c r="AA35" s="159"/>
      <c r="AB35" s="167">
        <v>37773</v>
      </c>
      <c r="AC35" s="159" t="s">
        <v>45</v>
      </c>
      <c r="AD35" s="158"/>
      <c r="AE35" s="159"/>
      <c r="AF35" s="159"/>
      <c r="AG35" s="159"/>
      <c r="AH35" s="159"/>
      <c r="AI35" s="159"/>
      <c r="AJ35" s="159"/>
      <c r="AK35" s="159" t="s">
        <v>2600</v>
      </c>
      <c r="AL35" s="159"/>
      <c r="AM35" s="159"/>
      <c r="AN35" s="159" t="s">
        <v>786</v>
      </c>
      <c r="AO35" s="172" t="s">
        <v>78</v>
      </c>
      <c r="AP35" s="172"/>
      <c r="AQ35" s="172"/>
      <c r="AR35" s="178" t="s">
        <v>2618</v>
      </c>
      <c r="AS35" s="178" t="s">
        <v>2618</v>
      </c>
      <c r="BD35" s="185" t="s">
        <v>1002</v>
      </c>
      <c r="BE35" s="156" t="s">
        <v>1127</v>
      </c>
      <c r="BF35" s="185" t="s">
        <v>1042</v>
      </c>
      <c r="BG35" s="159" t="s">
        <v>45</v>
      </c>
      <c r="BH35" s="159" t="s">
        <v>46</v>
      </c>
      <c r="BI35" s="159" t="s">
        <v>41</v>
      </c>
      <c r="BJ35" s="156">
        <v>1</v>
      </c>
      <c r="BK35" s="156"/>
      <c r="BL35" s="156"/>
    </row>
    <row r="36" spans="1:70">
      <c r="A36" s="184" t="str">
        <f t="shared" si="0"/>
        <v>4030632</v>
      </c>
      <c r="B36" s="158" t="s">
        <v>1365</v>
      </c>
      <c r="C36" s="158" t="s">
        <v>2882</v>
      </c>
      <c r="D36" s="159" t="s">
        <v>1364</v>
      </c>
      <c r="E36" s="159"/>
      <c r="F36" s="158" t="s">
        <v>1367</v>
      </c>
      <c r="G36" s="167">
        <v>28257</v>
      </c>
      <c r="H36" s="167"/>
      <c r="I36" s="159" t="s">
        <v>2569</v>
      </c>
      <c r="J36" s="159" t="s">
        <v>2619</v>
      </c>
      <c r="K36" s="159" t="s">
        <v>35</v>
      </c>
      <c r="L36" s="159" t="s">
        <v>1366</v>
      </c>
      <c r="M36" s="158" t="s">
        <v>2625</v>
      </c>
      <c r="N36" s="158" t="s">
        <v>2621</v>
      </c>
      <c r="O36" s="159" t="s">
        <v>2663</v>
      </c>
      <c r="P36" s="159" t="s">
        <v>2662</v>
      </c>
      <c r="Q36" s="159" t="s">
        <v>2840</v>
      </c>
      <c r="R36" s="159" t="s">
        <v>2863</v>
      </c>
      <c r="S36" s="159"/>
      <c r="T36" s="159"/>
      <c r="U36" s="158"/>
      <c r="V36" s="158"/>
      <c r="W36" s="159"/>
      <c r="X36" s="159"/>
      <c r="Y36" s="159"/>
      <c r="Z36" s="159"/>
      <c r="AA36" s="159"/>
      <c r="AB36" s="167">
        <v>37773</v>
      </c>
      <c r="AC36" s="159" t="s">
        <v>129</v>
      </c>
      <c r="AD36" s="158"/>
      <c r="AE36" s="159"/>
      <c r="AF36" s="159"/>
      <c r="AG36" s="159"/>
      <c r="AH36" s="159"/>
      <c r="AI36" s="159"/>
      <c r="AJ36" s="159"/>
      <c r="AK36" s="159" t="s">
        <v>2600</v>
      </c>
      <c r="AL36" s="159"/>
      <c r="AM36" s="159"/>
      <c r="AN36" s="159" t="s">
        <v>786</v>
      </c>
      <c r="AO36" s="172" t="s">
        <v>115</v>
      </c>
      <c r="AP36" s="172"/>
      <c r="AQ36" s="172"/>
      <c r="AR36" s="178" t="s">
        <v>2618</v>
      </c>
      <c r="AS36" s="178" t="s">
        <v>2618</v>
      </c>
      <c r="BD36" s="185" t="s">
        <v>1002</v>
      </c>
      <c r="BE36" s="156" t="s">
        <v>1033</v>
      </c>
      <c r="BF36" s="156" t="s">
        <v>1049</v>
      </c>
      <c r="BG36" s="159" t="s">
        <v>129</v>
      </c>
      <c r="BH36" s="159" t="s">
        <v>158</v>
      </c>
      <c r="BI36" s="159" t="s">
        <v>41</v>
      </c>
      <c r="BJ36" s="156">
        <v>1</v>
      </c>
      <c r="BK36" s="156"/>
      <c r="BL36" s="156"/>
    </row>
    <row r="37" spans="1:70">
      <c r="A37" s="184" t="str">
        <f t="shared" si="0"/>
        <v>2030633</v>
      </c>
      <c r="B37" s="158" t="s">
        <v>2156</v>
      </c>
      <c r="C37" s="158" t="s">
        <v>2883</v>
      </c>
      <c r="D37" s="159" t="s">
        <v>2155</v>
      </c>
      <c r="E37" s="159"/>
      <c r="F37" s="158" t="s">
        <v>2158</v>
      </c>
      <c r="G37" s="167">
        <v>27875</v>
      </c>
      <c r="H37" s="167"/>
      <c r="I37" s="159" t="s">
        <v>2569</v>
      </c>
      <c r="J37" s="159" t="s">
        <v>2619</v>
      </c>
      <c r="K37" s="159" t="s">
        <v>35</v>
      </c>
      <c r="L37" s="159" t="s">
        <v>2157</v>
      </c>
      <c r="M37" s="158" t="s">
        <v>2630</v>
      </c>
      <c r="N37" s="158" t="s">
        <v>2626</v>
      </c>
      <c r="O37" s="159" t="s">
        <v>2670</v>
      </c>
      <c r="P37" s="159" t="s">
        <v>2801</v>
      </c>
      <c r="Q37" s="159" t="s">
        <v>2842</v>
      </c>
      <c r="R37" s="159" t="s">
        <v>2863</v>
      </c>
      <c r="S37" s="159"/>
      <c r="T37" s="159"/>
      <c r="U37" s="158"/>
      <c r="V37" s="158"/>
      <c r="W37" s="159"/>
      <c r="X37" s="159"/>
      <c r="Y37" s="159"/>
      <c r="Z37" s="159"/>
      <c r="AA37" s="159"/>
      <c r="AB37" s="167">
        <v>37773</v>
      </c>
      <c r="AC37" s="159" t="s">
        <v>45</v>
      </c>
      <c r="AD37" s="158"/>
      <c r="AE37" s="159"/>
      <c r="AF37" s="159"/>
      <c r="AG37" s="159"/>
      <c r="AH37" s="159"/>
      <c r="AI37" s="159"/>
      <c r="AJ37" s="159"/>
      <c r="AK37" s="159" t="s">
        <v>2600</v>
      </c>
      <c r="AL37" s="159"/>
      <c r="AM37" s="159"/>
      <c r="AN37" s="185" t="s">
        <v>2065</v>
      </c>
      <c r="AO37" s="162" t="s">
        <v>2104</v>
      </c>
      <c r="AR37" s="178" t="s">
        <v>2618</v>
      </c>
      <c r="AS37" s="178" t="s">
        <v>2618</v>
      </c>
      <c r="BD37" s="159"/>
      <c r="BE37" s="159" t="s">
        <v>2470</v>
      </c>
      <c r="BF37" s="159"/>
      <c r="BG37" s="159" t="s">
        <v>45</v>
      </c>
      <c r="BH37" s="159" t="s">
        <v>32</v>
      </c>
      <c r="BI37" s="159" t="s">
        <v>41</v>
      </c>
      <c r="BJ37" s="156">
        <v>1</v>
      </c>
      <c r="BK37" s="156"/>
      <c r="BL37" s="156"/>
    </row>
    <row r="38" spans="1:70">
      <c r="A38" s="184" t="str">
        <f t="shared" si="0"/>
        <v>2030634</v>
      </c>
      <c r="B38" s="189" t="s">
        <v>2179</v>
      </c>
      <c r="C38" s="158" t="s">
        <v>2884</v>
      </c>
      <c r="D38" s="159" t="s">
        <v>2177</v>
      </c>
      <c r="E38" s="159"/>
      <c r="F38" s="158" t="s">
        <v>2181</v>
      </c>
      <c r="G38" s="167">
        <v>26519</v>
      </c>
      <c r="H38" s="167"/>
      <c r="I38" s="159" t="s">
        <v>2569</v>
      </c>
      <c r="J38" s="159" t="s">
        <v>2619</v>
      </c>
      <c r="K38" s="159" t="s">
        <v>35</v>
      </c>
      <c r="L38" s="159" t="s">
        <v>2180</v>
      </c>
      <c r="M38" s="158" t="s">
        <v>2622</v>
      </c>
      <c r="N38" s="158" t="s">
        <v>2626</v>
      </c>
      <c r="O38" s="159" t="s">
        <v>2671</v>
      </c>
      <c r="P38" s="159" t="s">
        <v>2790</v>
      </c>
      <c r="Q38" s="159" t="s">
        <v>2844</v>
      </c>
      <c r="R38" s="159" t="s">
        <v>2863</v>
      </c>
      <c r="S38" s="159"/>
      <c r="T38" s="159"/>
      <c r="U38" s="158"/>
      <c r="V38" s="158"/>
      <c r="W38" s="159"/>
      <c r="X38" s="159"/>
      <c r="Y38" s="159"/>
      <c r="Z38" s="159"/>
      <c r="AA38" s="159"/>
      <c r="AB38" s="167">
        <v>37773</v>
      </c>
      <c r="AC38" s="159" t="s">
        <v>45</v>
      </c>
      <c r="AD38" s="158"/>
      <c r="AE38" s="159"/>
      <c r="AF38" s="159"/>
      <c r="AG38" s="159"/>
      <c r="AH38" s="159"/>
      <c r="AI38" s="159"/>
      <c r="AJ38" s="159"/>
      <c r="AK38" s="159" t="s">
        <v>2600</v>
      </c>
      <c r="AL38" s="159"/>
      <c r="AM38" s="159"/>
      <c r="AN38" s="159" t="s">
        <v>2065</v>
      </c>
      <c r="AO38" s="162" t="s">
        <v>2104</v>
      </c>
      <c r="AR38" s="178" t="s">
        <v>2618</v>
      </c>
      <c r="AS38" s="178" t="s">
        <v>2618</v>
      </c>
      <c r="BD38" s="159"/>
      <c r="BE38" s="159" t="s">
        <v>2471</v>
      </c>
      <c r="BF38" s="159"/>
      <c r="BG38" s="159" t="s">
        <v>45</v>
      </c>
      <c r="BH38" s="159" t="s">
        <v>72</v>
      </c>
      <c r="BI38" s="159" t="s">
        <v>41</v>
      </c>
      <c r="BJ38" s="156">
        <v>3</v>
      </c>
      <c r="BK38" s="156"/>
      <c r="BL38" s="156"/>
      <c r="BM38" s="155"/>
      <c r="BN38" s="155"/>
      <c r="BO38" s="155"/>
      <c r="BP38" s="155"/>
      <c r="BQ38" s="155"/>
      <c r="BR38" s="155"/>
    </row>
    <row r="39" spans="1:70">
      <c r="A39" s="184" t="str">
        <f t="shared" si="0"/>
        <v>1030635</v>
      </c>
      <c r="B39" s="164"/>
      <c r="C39" s="158" t="s">
        <v>2885</v>
      </c>
      <c r="D39" s="159" t="s">
        <v>770</v>
      </c>
      <c r="E39" s="159"/>
      <c r="F39" s="164"/>
      <c r="G39" s="167">
        <v>27375</v>
      </c>
      <c r="H39" s="167"/>
      <c r="I39" s="159" t="s">
        <v>2570</v>
      </c>
      <c r="J39" s="159" t="s">
        <v>2619</v>
      </c>
      <c r="K39" s="159"/>
      <c r="L39" s="159" t="s">
        <v>771</v>
      </c>
      <c r="M39" s="158" t="s">
        <v>2631</v>
      </c>
      <c r="N39" s="158" t="s">
        <v>2625</v>
      </c>
      <c r="O39" s="159" t="s">
        <v>2672</v>
      </c>
      <c r="P39" s="159" t="s">
        <v>2802</v>
      </c>
      <c r="Q39" s="159" t="s">
        <v>2842</v>
      </c>
      <c r="R39" s="159" t="s">
        <v>2863</v>
      </c>
      <c r="S39" s="159"/>
      <c r="T39" s="159"/>
      <c r="U39" s="158"/>
      <c r="V39" s="158"/>
      <c r="W39" s="159"/>
      <c r="X39" s="159"/>
      <c r="Y39" s="159"/>
      <c r="Z39" s="159"/>
      <c r="AA39" s="159"/>
      <c r="AB39" s="167">
        <v>37782</v>
      </c>
      <c r="AC39" s="159" t="s">
        <v>30</v>
      </c>
      <c r="AD39" s="158"/>
      <c r="AE39" s="159"/>
      <c r="AF39" s="159"/>
      <c r="AG39" s="159"/>
      <c r="AH39" s="159"/>
      <c r="AI39" s="159"/>
      <c r="AJ39" s="159"/>
      <c r="AK39" s="159" t="s">
        <v>2600</v>
      </c>
      <c r="AL39" s="159"/>
      <c r="AM39" s="159"/>
      <c r="AN39" s="185" t="s">
        <v>684</v>
      </c>
      <c r="AO39" s="172" t="s">
        <v>54</v>
      </c>
      <c r="AP39" s="172"/>
      <c r="AQ39" s="172"/>
      <c r="AR39" s="178" t="s">
        <v>2618</v>
      </c>
      <c r="AS39" s="178" t="s">
        <v>2618</v>
      </c>
      <c r="BD39" s="185" t="s">
        <v>684</v>
      </c>
      <c r="BF39" s="185"/>
      <c r="BG39" s="159" t="s">
        <v>30</v>
      </c>
      <c r="BH39" s="159" t="s">
        <v>72</v>
      </c>
      <c r="BI39" s="159" t="s">
        <v>41</v>
      </c>
      <c r="BJ39" s="156">
        <v>2</v>
      </c>
      <c r="BK39" s="156"/>
      <c r="BL39" s="156"/>
      <c r="BM39" s="155"/>
      <c r="BN39" s="155"/>
      <c r="BO39" s="155"/>
      <c r="BP39" s="155"/>
      <c r="BQ39" s="155"/>
      <c r="BR39" s="155"/>
    </row>
    <row r="40" spans="1:70">
      <c r="A40" s="184" t="str">
        <f t="shared" si="0"/>
        <v>2030836</v>
      </c>
      <c r="B40" s="158" t="s">
        <v>321</v>
      </c>
      <c r="C40" s="158" t="s">
        <v>2886</v>
      </c>
      <c r="D40" s="159" t="s">
        <v>320</v>
      </c>
      <c r="E40" s="159"/>
      <c r="F40" s="158" t="s">
        <v>323</v>
      </c>
      <c r="G40" s="167">
        <v>37880</v>
      </c>
      <c r="H40" s="167"/>
      <c r="I40" s="159" t="s">
        <v>2569</v>
      </c>
      <c r="J40" s="159" t="s">
        <v>2619</v>
      </c>
      <c r="K40" s="159" t="s">
        <v>35</v>
      </c>
      <c r="L40" s="159" t="s">
        <v>322</v>
      </c>
      <c r="M40" s="158" t="s">
        <v>2627</v>
      </c>
      <c r="N40" s="158" t="s">
        <v>2623</v>
      </c>
      <c r="O40" s="159" t="s">
        <v>2660</v>
      </c>
      <c r="P40" s="159" t="s">
        <v>2662</v>
      </c>
      <c r="Q40" s="159" t="s">
        <v>2840</v>
      </c>
      <c r="R40" s="159" t="s">
        <v>2863</v>
      </c>
      <c r="S40" s="159"/>
      <c r="T40" s="159"/>
      <c r="U40" s="158"/>
      <c r="V40" s="158"/>
      <c r="W40" s="159"/>
      <c r="X40" s="159"/>
      <c r="Y40" s="159"/>
      <c r="Z40" s="159"/>
      <c r="AA40" s="159"/>
      <c r="AB40" s="167">
        <v>37858</v>
      </c>
      <c r="AC40" s="159" t="s">
        <v>45</v>
      </c>
      <c r="AD40" s="158"/>
      <c r="AE40" s="159"/>
      <c r="AF40" s="159"/>
      <c r="AG40" s="159"/>
      <c r="AH40" s="159"/>
      <c r="AI40" s="159"/>
      <c r="AJ40" s="159"/>
      <c r="AK40" s="159" t="s">
        <v>2600</v>
      </c>
      <c r="AL40" s="159"/>
      <c r="AM40" s="159"/>
      <c r="AN40" s="185" t="s">
        <v>298</v>
      </c>
      <c r="AO40" s="172" t="s">
        <v>78</v>
      </c>
      <c r="AP40" s="172"/>
      <c r="AQ40" s="172"/>
      <c r="AR40" s="178" t="s">
        <v>2618</v>
      </c>
      <c r="AS40" s="178" t="s">
        <v>2618</v>
      </c>
      <c r="BD40" s="156"/>
      <c r="BF40" s="159"/>
      <c r="BG40" s="159" t="s">
        <v>45</v>
      </c>
      <c r="BH40" s="159" t="s">
        <v>46</v>
      </c>
      <c r="BI40" s="159" t="s">
        <v>41</v>
      </c>
      <c r="BJ40" s="156">
        <v>1</v>
      </c>
      <c r="BK40" s="156"/>
      <c r="BL40" s="156"/>
      <c r="BM40" s="155"/>
      <c r="BN40" s="155"/>
      <c r="BO40" s="155"/>
      <c r="BP40" s="155"/>
      <c r="BQ40" s="155"/>
      <c r="BR40" s="155"/>
    </row>
    <row r="41" spans="1:70">
      <c r="A41" s="184" t="str">
        <f t="shared" si="0"/>
        <v>2040637</v>
      </c>
      <c r="B41" s="158" t="s">
        <v>47</v>
      </c>
      <c r="C41" s="158" t="s">
        <v>2887</v>
      </c>
      <c r="D41" s="159" t="s">
        <v>43</v>
      </c>
      <c r="E41" s="159"/>
      <c r="F41" s="158" t="s">
        <v>49</v>
      </c>
      <c r="G41" s="167">
        <v>30523</v>
      </c>
      <c r="H41" s="167"/>
      <c r="I41" s="159" t="s">
        <v>2569</v>
      </c>
      <c r="J41" s="159" t="s">
        <v>2619</v>
      </c>
      <c r="K41" s="159" t="s">
        <v>35</v>
      </c>
      <c r="L41" s="159" t="s">
        <v>48</v>
      </c>
      <c r="M41" s="158" t="s">
        <v>2625</v>
      </c>
      <c r="N41" s="158" t="s">
        <v>2626</v>
      </c>
      <c r="O41" s="159" t="s">
        <v>2673</v>
      </c>
      <c r="P41" s="159" t="s">
        <v>2803</v>
      </c>
      <c r="Q41" s="159" t="s">
        <v>2840</v>
      </c>
      <c r="R41" s="159" t="s">
        <v>2863</v>
      </c>
      <c r="S41" s="159"/>
      <c r="T41" s="159"/>
      <c r="U41" s="158"/>
      <c r="V41" s="158"/>
      <c r="W41" s="159"/>
      <c r="X41" s="159"/>
      <c r="Y41" s="159"/>
      <c r="Z41" s="159"/>
      <c r="AA41" s="159"/>
      <c r="AB41" s="167">
        <v>38139</v>
      </c>
      <c r="AC41" s="159" t="s">
        <v>45</v>
      </c>
      <c r="AD41" s="158"/>
      <c r="AE41" s="159"/>
      <c r="AF41" s="159"/>
      <c r="AG41" s="159"/>
      <c r="AH41" s="159"/>
      <c r="AI41" s="159"/>
      <c r="AJ41" s="159"/>
      <c r="AK41" s="159" t="s">
        <v>2600</v>
      </c>
      <c r="AL41" s="159"/>
      <c r="AM41" s="159"/>
      <c r="AN41" s="159" t="s">
        <v>29</v>
      </c>
      <c r="AO41" s="172" t="s">
        <v>44</v>
      </c>
      <c r="AP41" s="172"/>
      <c r="AQ41" s="172"/>
      <c r="AR41" s="178" t="s">
        <v>2618</v>
      </c>
      <c r="AS41" s="178" t="s">
        <v>2618</v>
      </c>
      <c r="BD41" s="156"/>
      <c r="BF41" s="159"/>
      <c r="BG41" s="159" t="s">
        <v>45</v>
      </c>
      <c r="BH41" s="159" t="s">
        <v>46</v>
      </c>
      <c r="BI41" s="159" t="s">
        <v>41</v>
      </c>
      <c r="BJ41" s="156">
        <v>3</v>
      </c>
      <c r="BK41" s="156"/>
      <c r="BL41" s="156"/>
    </row>
    <row r="42" spans="1:70">
      <c r="A42" s="184" t="str">
        <f t="shared" si="0"/>
        <v>2040638</v>
      </c>
      <c r="B42" s="158" t="s">
        <v>425</v>
      </c>
      <c r="C42" s="158" t="s">
        <v>2888</v>
      </c>
      <c r="D42" s="159" t="s">
        <v>424</v>
      </c>
      <c r="E42" s="159"/>
      <c r="F42" s="158" t="s">
        <v>427</v>
      </c>
      <c r="G42" s="167">
        <v>29061</v>
      </c>
      <c r="H42" s="167"/>
      <c r="I42" s="159" t="s">
        <v>2569</v>
      </c>
      <c r="J42" s="159" t="s">
        <v>2619</v>
      </c>
      <c r="K42" s="159" t="s">
        <v>35</v>
      </c>
      <c r="L42" s="159" t="s">
        <v>426</v>
      </c>
      <c r="M42" s="158" t="s">
        <v>2621</v>
      </c>
      <c r="N42" s="158" t="s">
        <v>2626</v>
      </c>
      <c r="O42" s="159" t="s">
        <v>2674</v>
      </c>
      <c r="P42" s="159" t="s">
        <v>2732</v>
      </c>
      <c r="Q42" s="159" t="s">
        <v>2840</v>
      </c>
      <c r="R42" s="159" t="s">
        <v>2863</v>
      </c>
      <c r="S42" s="159"/>
      <c r="T42" s="159"/>
      <c r="U42" s="158"/>
      <c r="V42" s="158"/>
      <c r="W42" s="159"/>
      <c r="X42" s="159"/>
      <c r="Y42" s="159"/>
      <c r="Z42" s="159"/>
      <c r="AA42" s="159"/>
      <c r="AB42" s="167">
        <v>38139</v>
      </c>
      <c r="AC42" s="159" t="s">
        <v>45</v>
      </c>
      <c r="AD42" s="158"/>
      <c r="AE42" s="159"/>
      <c r="AF42" s="159"/>
      <c r="AG42" s="159"/>
      <c r="AH42" s="159"/>
      <c r="AI42" s="159"/>
      <c r="AJ42" s="159"/>
      <c r="AK42" s="159" t="s">
        <v>2600</v>
      </c>
      <c r="AL42" s="159"/>
      <c r="AM42" s="159"/>
      <c r="AN42" s="159" t="s">
        <v>392</v>
      </c>
      <c r="AO42" s="172" t="s">
        <v>115</v>
      </c>
      <c r="AP42" s="172"/>
      <c r="AQ42" s="172"/>
      <c r="AR42" s="178" t="s">
        <v>2618</v>
      </c>
      <c r="AS42" s="178" t="s">
        <v>2618</v>
      </c>
      <c r="BD42" s="159" t="s">
        <v>401</v>
      </c>
      <c r="BF42" s="159"/>
      <c r="BG42" s="159" t="s">
        <v>45</v>
      </c>
      <c r="BH42" s="159" t="s">
        <v>121</v>
      </c>
      <c r="BI42" s="159" t="s">
        <v>41</v>
      </c>
      <c r="BJ42" s="156">
        <v>3</v>
      </c>
      <c r="BK42" s="156"/>
      <c r="BL42" s="156"/>
    </row>
    <row r="43" spans="1:70">
      <c r="A43" s="184" t="str">
        <f t="shared" si="0"/>
        <v>2040639</v>
      </c>
      <c r="B43" s="158" t="s">
        <v>1104</v>
      </c>
      <c r="C43" s="158" t="s">
        <v>2889</v>
      </c>
      <c r="D43" s="159" t="s">
        <v>1103</v>
      </c>
      <c r="E43" s="159"/>
      <c r="F43" s="158" t="s">
        <v>1105</v>
      </c>
      <c r="G43" s="167">
        <v>30541</v>
      </c>
      <c r="H43" s="167"/>
      <c r="I43" s="159" t="s">
        <v>2569</v>
      </c>
      <c r="J43" s="159" t="s">
        <v>2619</v>
      </c>
      <c r="K43" s="159" t="s">
        <v>35</v>
      </c>
      <c r="L43" s="159" t="s">
        <v>628</v>
      </c>
      <c r="M43" s="158" t="s">
        <v>2629</v>
      </c>
      <c r="N43" s="158" t="s">
        <v>2623</v>
      </c>
      <c r="O43" s="159" t="s">
        <v>2660</v>
      </c>
      <c r="P43" s="159" t="s">
        <v>2662</v>
      </c>
      <c r="Q43" s="159" t="s">
        <v>2840</v>
      </c>
      <c r="R43" s="159" t="s">
        <v>2863</v>
      </c>
      <c r="S43" s="159"/>
      <c r="T43" s="159"/>
      <c r="U43" s="158"/>
      <c r="V43" s="158"/>
      <c r="W43" s="159"/>
      <c r="X43" s="159"/>
      <c r="Y43" s="159"/>
      <c r="Z43" s="159"/>
      <c r="AA43" s="159"/>
      <c r="AB43" s="167">
        <v>38139</v>
      </c>
      <c r="AC43" s="159" t="s">
        <v>45</v>
      </c>
      <c r="AD43" s="158"/>
      <c r="AE43" s="159"/>
      <c r="AF43" s="159"/>
      <c r="AG43" s="159"/>
      <c r="AH43" s="159"/>
      <c r="AI43" s="159"/>
      <c r="AJ43" s="159"/>
      <c r="AK43" s="159" t="s">
        <v>2600</v>
      </c>
      <c r="AL43" s="159"/>
      <c r="AM43" s="159"/>
      <c r="AN43" s="159" t="s">
        <v>786</v>
      </c>
      <c r="AO43" s="172" t="s">
        <v>78</v>
      </c>
      <c r="AP43" s="172"/>
      <c r="AQ43" s="172"/>
      <c r="AR43" s="178" t="s">
        <v>2618</v>
      </c>
      <c r="AS43" s="178" t="s">
        <v>2618</v>
      </c>
      <c r="BD43" s="185" t="s">
        <v>1002</v>
      </c>
      <c r="BE43" s="156" t="s">
        <v>1092</v>
      </c>
      <c r="BF43" s="185" t="s">
        <v>2333</v>
      </c>
      <c r="BG43" s="159" t="s">
        <v>45</v>
      </c>
      <c r="BH43" s="159" t="s">
        <v>32</v>
      </c>
      <c r="BI43" s="159" t="s">
        <v>41</v>
      </c>
      <c r="BJ43" s="156">
        <v>1</v>
      </c>
      <c r="BK43" s="156"/>
      <c r="BL43" s="156"/>
    </row>
    <row r="44" spans="1:70">
      <c r="A44" s="184" t="str">
        <f t="shared" si="0"/>
        <v>2040640</v>
      </c>
      <c r="B44" s="158" t="s">
        <v>1140</v>
      </c>
      <c r="C44" s="158" t="s">
        <v>2890</v>
      </c>
      <c r="D44" s="159" t="s">
        <v>1139</v>
      </c>
      <c r="E44" s="159"/>
      <c r="F44" s="158" t="s">
        <v>1141</v>
      </c>
      <c r="G44" s="167">
        <v>31107</v>
      </c>
      <c r="H44" s="167"/>
      <c r="I44" s="159" t="s">
        <v>2569</v>
      </c>
      <c r="J44" s="159" t="s">
        <v>2619</v>
      </c>
      <c r="K44" s="159" t="s">
        <v>35</v>
      </c>
      <c r="L44" s="159" t="s">
        <v>755</v>
      </c>
      <c r="M44" s="158" t="s">
        <v>2628</v>
      </c>
      <c r="N44" s="158" t="s">
        <v>2626</v>
      </c>
      <c r="O44" s="159" t="s">
        <v>2660</v>
      </c>
      <c r="P44" s="159" t="s">
        <v>2662</v>
      </c>
      <c r="Q44" s="159" t="s">
        <v>2840</v>
      </c>
      <c r="R44" s="159" t="s">
        <v>2863</v>
      </c>
      <c r="S44" s="159"/>
      <c r="T44" s="159"/>
      <c r="U44" s="158"/>
      <c r="V44" s="158"/>
      <c r="W44" s="159"/>
      <c r="X44" s="159"/>
      <c r="Y44" s="159"/>
      <c r="Z44" s="159"/>
      <c r="AA44" s="159"/>
      <c r="AB44" s="167">
        <v>38139</v>
      </c>
      <c r="AC44" s="159" t="s">
        <v>45</v>
      </c>
      <c r="AD44" s="158"/>
      <c r="AE44" s="159"/>
      <c r="AF44" s="159"/>
      <c r="AG44" s="159"/>
      <c r="AH44" s="159"/>
      <c r="AI44" s="159"/>
      <c r="AJ44" s="159"/>
      <c r="AK44" s="159" t="s">
        <v>2600</v>
      </c>
      <c r="AL44" s="159"/>
      <c r="AM44" s="159"/>
      <c r="AN44" s="159" t="s">
        <v>786</v>
      </c>
      <c r="AO44" s="172" t="s">
        <v>78</v>
      </c>
      <c r="AP44" s="172"/>
      <c r="AQ44" s="172"/>
      <c r="AR44" s="178" t="s">
        <v>2618</v>
      </c>
      <c r="AS44" s="178" t="s">
        <v>2618</v>
      </c>
      <c r="BD44" s="185" t="s">
        <v>1002</v>
      </c>
      <c r="BE44" s="156" t="s">
        <v>1127</v>
      </c>
      <c r="BF44" s="159" t="s">
        <v>1049</v>
      </c>
      <c r="BG44" s="159" t="s">
        <v>45</v>
      </c>
      <c r="BH44" s="159" t="s">
        <v>32</v>
      </c>
      <c r="BI44" s="159" t="s">
        <v>41</v>
      </c>
      <c r="BJ44" s="156">
        <v>1</v>
      </c>
      <c r="BK44" s="156"/>
      <c r="BL44" s="156"/>
    </row>
    <row r="45" spans="1:70">
      <c r="A45" s="184" t="str">
        <f t="shared" si="0"/>
        <v>2040641</v>
      </c>
      <c r="B45" s="158" t="s">
        <v>1500</v>
      </c>
      <c r="C45" s="158" t="s">
        <v>2891</v>
      </c>
      <c r="D45" s="159" t="s">
        <v>1498</v>
      </c>
      <c r="E45" s="159"/>
      <c r="F45" s="158" t="s">
        <v>1501</v>
      </c>
      <c r="G45" s="167">
        <v>30850</v>
      </c>
      <c r="H45" s="167"/>
      <c r="I45" s="159" t="s">
        <v>2569</v>
      </c>
      <c r="J45" s="159" t="s">
        <v>2619</v>
      </c>
      <c r="K45" s="159" t="s">
        <v>35</v>
      </c>
      <c r="L45" s="159" t="s">
        <v>628</v>
      </c>
      <c r="M45" s="158" t="s">
        <v>2629</v>
      </c>
      <c r="N45" s="158" t="s">
        <v>2623</v>
      </c>
      <c r="O45" s="159" t="s">
        <v>2660</v>
      </c>
      <c r="P45" s="159" t="s">
        <v>2662</v>
      </c>
      <c r="Q45" s="159" t="s">
        <v>2840</v>
      </c>
      <c r="R45" s="159" t="s">
        <v>2863</v>
      </c>
      <c r="S45" s="159"/>
      <c r="T45" s="159"/>
      <c r="U45" s="158"/>
      <c r="V45" s="158"/>
      <c r="W45" s="159"/>
      <c r="X45" s="159"/>
      <c r="Y45" s="159"/>
      <c r="Z45" s="159"/>
      <c r="AA45" s="159"/>
      <c r="AB45" s="167">
        <v>38139</v>
      </c>
      <c r="AC45" s="159" t="s">
        <v>45</v>
      </c>
      <c r="AD45" s="158"/>
      <c r="AE45" s="159"/>
      <c r="AF45" s="159"/>
      <c r="AG45" s="159"/>
      <c r="AH45" s="159"/>
      <c r="AI45" s="159"/>
      <c r="AJ45" s="159"/>
      <c r="AK45" s="159" t="s">
        <v>2600</v>
      </c>
      <c r="AL45" s="159"/>
      <c r="AM45" s="159"/>
      <c r="AN45" s="159" t="s">
        <v>786</v>
      </c>
      <c r="AO45" s="172" t="s">
        <v>78</v>
      </c>
      <c r="AP45" s="172"/>
      <c r="AQ45" s="172"/>
      <c r="AR45" s="178" t="s">
        <v>2618</v>
      </c>
      <c r="AS45" s="178" t="s">
        <v>2618</v>
      </c>
      <c r="BD45" s="185" t="s">
        <v>1442</v>
      </c>
      <c r="BE45" s="156" t="s">
        <v>1526</v>
      </c>
      <c r="BF45" s="187" t="s">
        <v>1508</v>
      </c>
      <c r="BG45" s="159" t="s">
        <v>45</v>
      </c>
      <c r="BH45" s="159" t="s">
        <v>32</v>
      </c>
      <c r="BI45" s="159" t="s">
        <v>41</v>
      </c>
      <c r="BJ45" s="156">
        <v>1</v>
      </c>
      <c r="BK45" s="156"/>
      <c r="BL45" s="156"/>
    </row>
    <row r="46" spans="1:70">
      <c r="A46" s="184" t="str">
        <f t="shared" si="0"/>
        <v>2040642</v>
      </c>
      <c r="B46" s="158" t="s">
        <v>2148</v>
      </c>
      <c r="C46" s="158" t="s">
        <v>2892</v>
      </c>
      <c r="D46" s="159" t="s">
        <v>2147</v>
      </c>
      <c r="E46" s="159"/>
      <c r="F46" s="158" t="s">
        <v>2150</v>
      </c>
      <c r="G46" s="167">
        <v>28589</v>
      </c>
      <c r="H46" s="167"/>
      <c r="I46" s="159" t="s">
        <v>2569</v>
      </c>
      <c r="J46" s="159" t="s">
        <v>2619</v>
      </c>
      <c r="K46" s="159" t="s">
        <v>35</v>
      </c>
      <c r="L46" s="159" t="s">
        <v>2149</v>
      </c>
      <c r="M46" s="158" t="s">
        <v>2621</v>
      </c>
      <c r="N46" s="158" t="s">
        <v>2625</v>
      </c>
      <c r="O46" s="159" t="s">
        <v>2657</v>
      </c>
      <c r="P46" s="159" t="s">
        <v>2662</v>
      </c>
      <c r="Q46" s="159" t="s">
        <v>2840</v>
      </c>
      <c r="R46" s="159" t="s">
        <v>2863</v>
      </c>
      <c r="S46" s="159"/>
      <c r="T46" s="159"/>
      <c r="U46" s="158"/>
      <c r="V46" s="158"/>
      <c r="W46" s="159"/>
      <c r="X46" s="159"/>
      <c r="Y46" s="159"/>
      <c r="Z46" s="159"/>
      <c r="AA46" s="159"/>
      <c r="AB46" s="167">
        <v>38139</v>
      </c>
      <c r="AC46" s="159" t="s">
        <v>45</v>
      </c>
      <c r="AD46" s="158"/>
      <c r="AE46" s="159"/>
      <c r="AF46" s="159"/>
      <c r="AG46" s="159"/>
      <c r="AH46" s="159"/>
      <c r="AI46" s="159"/>
      <c r="AJ46" s="159"/>
      <c r="AK46" s="159" t="s">
        <v>2600</v>
      </c>
      <c r="AL46" s="159"/>
      <c r="AM46" s="159"/>
      <c r="AN46" s="185" t="s">
        <v>2065</v>
      </c>
      <c r="AO46" s="162" t="s">
        <v>2104</v>
      </c>
      <c r="AR46" s="178" t="s">
        <v>2618</v>
      </c>
      <c r="AS46" s="178" t="s">
        <v>2618</v>
      </c>
      <c r="BD46" s="159"/>
      <c r="BE46" s="159" t="s">
        <v>2469</v>
      </c>
      <c r="BF46" s="159"/>
      <c r="BG46" s="159" t="s">
        <v>45</v>
      </c>
      <c r="BH46" s="159" t="s">
        <v>32</v>
      </c>
      <c r="BI46" s="159" t="s">
        <v>41</v>
      </c>
      <c r="BJ46" s="156">
        <v>1</v>
      </c>
      <c r="BK46" s="156"/>
      <c r="BL46" s="156"/>
    </row>
    <row r="47" spans="1:70">
      <c r="A47" s="184" t="str">
        <f t="shared" si="0"/>
        <v>2050143</v>
      </c>
      <c r="B47" s="158" t="s">
        <v>2162</v>
      </c>
      <c r="C47" s="158" t="s">
        <v>2893</v>
      </c>
      <c r="D47" s="159" t="s">
        <v>2161</v>
      </c>
      <c r="E47" s="159"/>
      <c r="F47" s="158" t="s">
        <v>2164</v>
      </c>
      <c r="G47" s="167">
        <v>30418</v>
      </c>
      <c r="H47" s="167"/>
      <c r="I47" s="159" t="s">
        <v>2569</v>
      </c>
      <c r="J47" s="159" t="s">
        <v>2619</v>
      </c>
      <c r="K47" s="159" t="s">
        <v>35</v>
      </c>
      <c r="L47" s="159" t="s">
        <v>2163</v>
      </c>
      <c r="M47" s="158" t="s">
        <v>2632</v>
      </c>
      <c r="N47" s="158" t="s">
        <v>2622</v>
      </c>
      <c r="O47" s="159" t="s">
        <v>2660</v>
      </c>
      <c r="P47" s="159" t="s">
        <v>2662</v>
      </c>
      <c r="Q47" s="159" t="s">
        <v>2840</v>
      </c>
      <c r="R47" s="159" t="s">
        <v>2863</v>
      </c>
      <c r="S47" s="159"/>
      <c r="T47" s="159"/>
      <c r="U47" s="158"/>
      <c r="V47" s="158"/>
      <c r="W47" s="159"/>
      <c r="X47" s="159"/>
      <c r="Y47" s="159"/>
      <c r="Z47" s="159"/>
      <c r="AA47" s="159"/>
      <c r="AB47" s="167">
        <v>38369</v>
      </c>
      <c r="AC47" s="159" t="s">
        <v>45</v>
      </c>
      <c r="AD47" s="158"/>
      <c r="AE47" s="159"/>
      <c r="AF47" s="159"/>
      <c r="AG47" s="159"/>
      <c r="AH47" s="159"/>
      <c r="AI47" s="159"/>
      <c r="AJ47" s="159"/>
      <c r="AK47" s="159" t="s">
        <v>2600</v>
      </c>
      <c r="AL47" s="159"/>
      <c r="AM47" s="159"/>
      <c r="AN47" s="185" t="s">
        <v>2065</v>
      </c>
      <c r="AO47" s="162" t="s">
        <v>2104</v>
      </c>
      <c r="AR47" s="178" t="s">
        <v>2618</v>
      </c>
      <c r="AS47" s="178" t="s">
        <v>2618</v>
      </c>
      <c r="BD47" s="159"/>
      <c r="BE47" s="159" t="s">
        <v>2470</v>
      </c>
      <c r="BF47" s="159"/>
      <c r="BG47" s="159" t="s">
        <v>45</v>
      </c>
      <c r="BH47" s="159" t="s">
        <v>46</v>
      </c>
      <c r="BI47" s="159" t="s">
        <v>41</v>
      </c>
      <c r="BJ47" s="156">
        <v>1</v>
      </c>
      <c r="BK47" s="156"/>
      <c r="BL47" s="156"/>
    </row>
    <row r="48" spans="1:70">
      <c r="A48" s="184" t="str">
        <f t="shared" si="0"/>
        <v>2050144</v>
      </c>
      <c r="B48" s="158" t="s">
        <v>105</v>
      </c>
      <c r="C48" s="158" t="s">
        <v>2894</v>
      </c>
      <c r="D48" s="159" t="s">
        <v>104</v>
      </c>
      <c r="E48" s="159"/>
      <c r="F48" s="158" t="s">
        <v>107</v>
      </c>
      <c r="G48" s="167">
        <v>30268</v>
      </c>
      <c r="H48" s="167"/>
      <c r="I48" s="159" t="s">
        <v>2569</v>
      </c>
      <c r="J48" s="159" t="s">
        <v>2619</v>
      </c>
      <c r="K48" s="159" t="s">
        <v>35</v>
      </c>
      <c r="L48" s="159" t="s">
        <v>106</v>
      </c>
      <c r="M48" s="158" t="s">
        <v>2626</v>
      </c>
      <c r="N48" s="158" t="s">
        <v>2622</v>
      </c>
      <c r="O48" s="159" t="s">
        <v>2675</v>
      </c>
      <c r="P48" s="159" t="s">
        <v>2801</v>
      </c>
      <c r="Q48" s="159" t="s">
        <v>2842</v>
      </c>
      <c r="R48" s="159" t="s">
        <v>2863</v>
      </c>
      <c r="S48" s="159"/>
      <c r="T48" s="159"/>
      <c r="U48" s="158"/>
      <c r="V48" s="158"/>
      <c r="W48" s="159"/>
      <c r="X48" s="159"/>
      <c r="Y48" s="159"/>
      <c r="Z48" s="159"/>
      <c r="AA48" s="159"/>
      <c r="AB48" s="167">
        <v>38371</v>
      </c>
      <c r="AC48" s="159" t="s">
        <v>45</v>
      </c>
      <c r="AD48" s="158"/>
      <c r="AE48" s="159"/>
      <c r="AF48" s="159"/>
      <c r="AG48" s="159"/>
      <c r="AH48" s="159"/>
      <c r="AI48" s="159"/>
      <c r="AJ48" s="159"/>
      <c r="AK48" s="159" t="s">
        <v>2600</v>
      </c>
      <c r="AL48" s="159"/>
      <c r="AM48" s="159"/>
      <c r="AN48" s="159" t="s">
        <v>29</v>
      </c>
      <c r="AO48" s="172" t="s">
        <v>78</v>
      </c>
      <c r="AP48" s="172"/>
      <c r="AQ48" s="172"/>
      <c r="AR48" s="178" t="s">
        <v>2618</v>
      </c>
      <c r="AS48" s="178" t="s">
        <v>2618</v>
      </c>
      <c r="BD48" s="156"/>
      <c r="BF48" s="159"/>
      <c r="BG48" s="159" t="s">
        <v>45</v>
      </c>
      <c r="BH48" s="159" t="s">
        <v>46</v>
      </c>
      <c r="BI48" s="159" t="s">
        <v>41</v>
      </c>
      <c r="BJ48" s="156">
        <v>1</v>
      </c>
      <c r="BK48" s="156"/>
      <c r="BL48" s="156"/>
    </row>
    <row r="49" spans="1:70">
      <c r="A49" s="184" t="str">
        <f t="shared" si="0"/>
        <v>2050145</v>
      </c>
      <c r="B49" s="158" t="s">
        <v>1062</v>
      </c>
      <c r="C49" s="158" t="s">
        <v>2895</v>
      </c>
      <c r="D49" s="159" t="s">
        <v>1060</v>
      </c>
      <c r="E49" s="159"/>
      <c r="F49" s="189" t="s">
        <v>1064</v>
      </c>
      <c r="G49" s="167">
        <v>29474</v>
      </c>
      <c r="H49" s="167"/>
      <c r="I49" s="159" t="s">
        <v>2569</v>
      </c>
      <c r="J49" s="159" t="s">
        <v>2619</v>
      </c>
      <c r="K49" s="159" t="s">
        <v>35</v>
      </c>
      <c r="L49" s="159" t="s">
        <v>1063</v>
      </c>
      <c r="M49" s="158" t="s">
        <v>2629</v>
      </c>
      <c r="N49" s="158" t="s">
        <v>2623</v>
      </c>
      <c r="O49" s="159" t="s">
        <v>2676</v>
      </c>
      <c r="P49" s="159" t="s">
        <v>2710</v>
      </c>
      <c r="Q49" s="159" t="s">
        <v>2842</v>
      </c>
      <c r="R49" s="159" t="s">
        <v>2863</v>
      </c>
      <c r="S49" s="159"/>
      <c r="T49" s="159"/>
      <c r="U49" s="158"/>
      <c r="V49" s="158"/>
      <c r="W49" s="159"/>
      <c r="X49" s="159"/>
      <c r="Y49" s="159"/>
      <c r="Z49" s="159"/>
      <c r="AA49" s="159"/>
      <c r="AB49" s="167">
        <v>38371</v>
      </c>
      <c r="AC49" s="159" t="s">
        <v>45</v>
      </c>
      <c r="AD49" s="158"/>
      <c r="AE49" s="159"/>
      <c r="AF49" s="159"/>
      <c r="AG49" s="159"/>
      <c r="AH49" s="159"/>
      <c r="AI49" s="159"/>
      <c r="AJ49" s="159"/>
      <c r="AK49" s="159" t="s">
        <v>2600</v>
      </c>
      <c r="AL49" s="159"/>
      <c r="AM49" s="159"/>
      <c r="AN49" s="159" t="s">
        <v>786</v>
      </c>
      <c r="AO49" s="172" t="s">
        <v>78</v>
      </c>
      <c r="AP49" s="172"/>
      <c r="AQ49" s="172"/>
      <c r="AR49" s="178" t="s">
        <v>2618</v>
      </c>
      <c r="AS49" s="178" t="s">
        <v>2618</v>
      </c>
      <c r="BD49" s="185" t="s">
        <v>1002</v>
      </c>
      <c r="BE49" s="156" t="s">
        <v>1061</v>
      </c>
      <c r="BF49" s="185" t="s">
        <v>2333</v>
      </c>
      <c r="BG49" s="159" t="s">
        <v>45</v>
      </c>
      <c r="BH49" s="159" t="s">
        <v>46</v>
      </c>
      <c r="BI49" s="159" t="s">
        <v>41</v>
      </c>
      <c r="BJ49" s="156">
        <v>1</v>
      </c>
      <c r="BK49" s="156"/>
      <c r="BL49" s="156"/>
    </row>
    <row r="50" spans="1:70">
      <c r="A50" s="184" t="str">
        <f t="shared" si="0"/>
        <v>2050646</v>
      </c>
      <c r="B50" s="158" t="s">
        <v>84</v>
      </c>
      <c r="C50" s="158" t="s">
        <v>2896</v>
      </c>
      <c r="D50" s="159" t="s">
        <v>83</v>
      </c>
      <c r="E50" s="159"/>
      <c r="F50" s="158" t="s">
        <v>86</v>
      </c>
      <c r="G50" s="167">
        <v>31219</v>
      </c>
      <c r="H50" s="167"/>
      <c r="I50" s="159" t="s">
        <v>2569</v>
      </c>
      <c r="J50" s="159" t="s">
        <v>2619</v>
      </c>
      <c r="K50" s="159" t="s">
        <v>35</v>
      </c>
      <c r="L50" s="159" t="s">
        <v>85</v>
      </c>
      <c r="M50" s="158" t="s">
        <v>2623</v>
      </c>
      <c r="N50" s="158" t="s">
        <v>2625</v>
      </c>
      <c r="O50" s="159" t="s">
        <v>2657</v>
      </c>
      <c r="P50" s="159" t="s">
        <v>2662</v>
      </c>
      <c r="Q50" s="159" t="s">
        <v>2840</v>
      </c>
      <c r="R50" s="159" t="s">
        <v>2863</v>
      </c>
      <c r="S50" s="159"/>
      <c r="T50" s="159"/>
      <c r="U50" s="158"/>
      <c r="V50" s="158"/>
      <c r="W50" s="159"/>
      <c r="X50" s="159"/>
      <c r="Y50" s="159"/>
      <c r="Z50" s="159"/>
      <c r="AA50" s="159"/>
      <c r="AB50" s="167">
        <v>38504</v>
      </c>
      <c r="AC50" s="159" t="s">
        <v>45</v>
      </c>
      <c r="AD50" s="158"/>
      <c r="AE50" s="159"/>
      <c r="AF50" s="159"/>
      <c r="AG50" s="159"/>
      <c r="AH50" s="159"/>
      <c r="AI50" s="159"/>
      <c r="AJ50" s="159"/>
      <c r="AK50" s="159" t="s">
        <v>2600</v>
      </c>
      <c r="AL50" s="159"/>
      <c r="AM50" s="159"/>
      <c r="AN50" s="159" t="s">
        <v>29</v>
      </c>
      <c r="AO50" s="172" t="s">
        <v>78</v>
      </c>
      <c r="AP50" s="172"/>
      <c r="AQ50" s="172"/>
      <c r="AR50" s="178" t="s">
        <v>2618</v>
      </c>
      <c r="AS50" s="178" t="s">
        <v>2618</v>
      </c>
      <c r="BD50" s="156"/>
      <c r="BF50" s="159"/>
      <c r="BG50" s="159" t="s">
        <v>45</v>
      </c>
      <c r="BH50" s="159" t="s">
        <v>46</v>
      </c>
      <c r="BI50" s="159" t="s">
        <v>41</v>
      </c>
      <c r="BJ50" s="156">
        <v>1</v>
      </c>
      <c r="BK50" s="156" t="s">
        <v>2236</v>
      </c>
      <c r="BL50" s="156"/>
    </row>
    <row r="51" spans="1:70">
      <c r="A51" s="184" t="str">
        <f t="shared" si="0"/>
        <v>2050647</v>
      </c>
      <c r="B51" s="158" t="s">
        <v>741</v>
      </c>
      <c r="C51" s="158" t="s">
        <v>2897</v>
      </c>
      <c r="D51" s="159" t="s">
        <v>739</v>
      </c>
      <c r="E51" s="159"/>
      <c r="F51" s="158" t="s">
        <v>743</v>
      </c>
      <c r="G51" s="167">
        <v>30274</v>
      </c>
      <c r="H51" s="167"/>
      <c r="I51" s="159" t="s">
        <v>2569</v>
      </c>
      <c r="J51" s="159" t="s">
        <v>2619</v>
      </c>
      <c r="K51" s="159" t="s">
        <v>35</v>
      </c>
      <c r="L51" s="159" t="s">
        <v>742</v>
      </c>
      <c r="M51" s="158" t="s">
        <v>2623</v>
      </c>
      <c r="N51" s="158" t="s">
        <v>2622</v>
      </c>
      <c r="O51" s="159" t="s">
        <v>2657</v>
      </c>
      <c r="P51" s="159" t="s">
        <v>2662</v>
      </c>
      <c r="Q51" s="159" t="s">
        <v>2840</v>
      </c>
      <c r="R51" s="159" t="s">
        <v>2863</v>
      </c>
      <c r="S51" s="159"/>
      <c r="T51" s="159"/>
      <c r="U51" s="158"/>
      <c r="V51" s="158"/>
      <c r="W51" s="159"/>
      <c r="X51" s="159"/>
      <c r="Y51" s="159"/>
      <c r="Z51" s="159"/>
      <c r="AA51" s="159"/>
      <c r="AB51" s="167">
        <v>38504</v>
      </c>
      <c r="AC51" s="159" t="s">
        <v>45</v>
      </c>
      <c r="AD51" s="158"/>
      <c r="AE51" s="159"/>
      <c r="AF51" s="159"/>
      <c r="AG51" s="159"/>
      <c r="AH51" s="159"/>
      <c r="AI51" s="159"/>
      <c r="AJ51" s="159"/>
      <c r="AK51" s="159" t="s">
        <v>2600</v>
      </c>
      <c r="AL51" s="159"/>
      <c r="AM51" s="159"/>
      <c r="AN51" s="185" t="s">
        <v>684</v>
      </c>
      <c r="AO51" s="172" t="s">
        <v>78</v>
      </c>
      <c r="AP51" s="172"/>
      <c r="AQ51" s="172"/>
      <c r="AR51" s="178" t="s">
        <v>2618</v>
      </c>
      <c r="AS51" s="178" t="s">
        <v>2618</v>
      </c>
      <c r="BD51" s="159" t="s">
        <v>733</v>
      </c>
      <c r="BF51" s="159"/>
      <c r="BG51" s="159" t="s">
        <v>45</v>
      </c>
      <c r="BH51" s="159" t="s">
        <v>121</v>
      </c>
      <c r="BI51" s="159" t="s">
        <v>41</v>
      </c>
      <c r="BJ51" s="156">
        <v>3</v>
      </c>
      <c r="BK51" s="156"/>
      <c r="BL51" s="156"/>
      <c r="BM51" s="161"/>
      <c r="BN51" s="161"/>
      <c r="BO51" s="161"/>
      <c r="BP51" s="161"/>
      <c r="BQ51" s="161"/>
      <c r="BR51" s="161"/>
    </row>
    <row r="52" spans="1:70" s="186" customFormat="1">
      <c r="A52" s="184" t="str">
        <f t="shared" si="0"/>
        <v>2050648</v>
      </c>
      <c r="B52" s="158" t="s">
        <v>884</v>
      </c>
      <c r="C52" s="158" t="s">
        <v>2898</v>
      </c>
      <c r="D52" s="159" t="s">
        <v>882</v>
      </c>
      <c r="E52" s="159"/>
      <c r="F52" s="158" t="s">
        <v>886</v>
      </c>
      <c r="G52" s="167">
        <v>30237</v>
      </c>
      <c r="H52" s="167"/>
      <c r="I52" s="159" t="s">
        <v>2569</v>
      </c>
      <c r="J52" s="159" t="s">
        <v>2619</v>
      </c>
      <c r="K52" s="159" t="s">
        <v>35</v>
      </c>
      <c r="L52" s="159" t="s">
        <v>885</v>
      </c>
      <c r="M52" s="158" t="s">
        <v>2626</v>
      </c>
      <c r="N52" s="158" t="s">
        <v>2623</v>
      </c>
      <c r="O52" s="159" t="s">
        <v>2677</v>
      </c>
      <c r="P52" s="159" t="s">
        <v>2659</v>
      </c>
      <c r="Q52" s="159" t="s">
        <v>2840</v>
      </c>
      <c r="R52" s="159" t="s">
        <v>2863</v>
      </c>
      <c r="S52" s="159"/>
      <c r="T52" s="159"/>
      <c r="U52" s="158"/>
      <c r="V52" s="158"/>
      <c r="W52" s="159"/>
      <c r="X52" s="159"/>
      <c r="Y52" s="159"/>
      <c r="Z52" s="159"/>
      <c r="AA52" s="159"/>
      <c r="AB52" s="167">
        <v>38504</v>
      </c>
      <c r="AC52" s="159" t="s">
        <v>45</v>
      </c>
      <c r="AD52" s="158"/>
      <c r="AE52" s="159"/>
      <c r="AF52" s="159"/>
      <c r="AG52" s="159"/>
      <c r="AH52" s="159"/>
      <c r="AI52" s="159"/>
      <c r="AJ52" s="159"/>
      <c r="AK52" s="159" t="s">
        <v>2600</v>
      </c>
      <c r="AL52" s="159"/>
      <c r="AM52" s="159"/>
      <c r="AN52" s="159" t="s">
        <v>786</v>
      </c>
      <c r="AO52" s="172" t="s">
        <v>78</v>
      </c>
      <c r="AP52" s="172"/>
      <c r="AQ52" s="172"/>
      <c r="AR52" s="178" t="s">
        <v>2618</v>
      </c>
      <c r="AS52" s="178" t="s">
        <v>2618</v>
      </c>
      <c r="AT52" s="178"/>
      <c r="AU52" s="159"/>
      <c r="AV52" s="159"/>
      <c r="AW52" s="159"/>
      <c r="AX52" s="159"/>
      <c r="AY52" s="159"/>
      <c r="AZ52" s="159"/>
      <c r="BA52" s="159"/>
      <c r="BB52" s="159"/>
      <c r="BC52" s="159"/>
      <c r="BD52" s="185" t="s">
        <v>787</v>
      </c>
      <c r="BE52" s="156" t="s">
        <v>883</v>
      </c>
      <c r="BF52" s="159" t="s">
        <v>833</v>
      </c>
      <c r="BG52" s="159" t="s">
        <v>45</v>
      </c>
      <c r="BH52" s="159" t="s">
        <v>46</v>
      </c>
      <c r="BI52" s="159" t="s">
        <v>41</v>
      </c>
      <c r="BJ52" s="156">
        <v>1</v>
      </c>
      <c r="BK52" s="156"/>
      <c r="BL52" s="156"/>
      <c r="BM52" s="162"/>
      <c r="BN52" s="162"/>
      <c r="BO52" s="162"/>
      <c r="BP52" s="162"/>
      <c r="BQ52" s="162"/>
      <c r="BR52" s="162"/>
    </row>
    <row r="53" spans="1:70">
      <c r="A53" s="184" t="str">
        <f t="shared" si="0"/>
        <v>2050649</v>
      </c>
      <c r="B53" s="158" t="s">
        <v>901</v>
      </c>
      <c r="C53" s="158" t="s">
        <v>2899</v>
      </c>
      <c r="D53" s="159" t="s">
        <v>899</v>
      </c>
      <c r="E53" s="159"/>
      <c r="F53" s="158" t="s">
        <v>903</v>
      </c>
      <c r="G53" s="167">
        <v>28134</v>
      </c>
      <c r="H53" s="167"/>
      <c r="I53" s="159" t="s">
        <v>2569</v>
      </c>
      <c r="J53" s="159" t="s">
        <v>2619</v>
      </c>
      <c r="K53" s="159" t="s">
        <v>35</v>
      </c>
      <c r="L53" s="159" t="s">
        <v>902</v>
      </c>
      <c r="M53" s="158" t="s">
        <v>2626</v>
      </c>
      <c r="N53" s="158" t="s">
        <v>2626</v>
      </c>
      <c r="O53" s="159" t="s">
        <v>2662</v>
      </c>
      <c r="P53" s="159" t="s">
        <v>2662</v>
      </c>
      <c r="Q53" s="159" t="s">
        <v>2840</v>
      </c>
      <c r="R53" s="159" t="s">
        <v>2863</v>
      </c>
      <c r="S53" s="159"/>
      <c r="T53" s="159"/>
      <c r="U53" s="158"/>
      <c r="V53" s="158"/>
      <c r="W53" s="159"/>
      <c r="X53" s="159"/>
      <c r="Y53" s="159"/>
      <c r="Z53" s="159"/>
      <c r="AA53" s="159"/>
      <c r="AB53" s="167">
        <v>38504</v>
      </c>
      <c r="AC53" s="159" t="s">
        <v>45</v>
      </c>
      <c r="AD53" s="158"/>
      <c r="AE53" s="159"/>
      <c r="AF53" s="159"/>
      <c r="AG53" s="159"/>
      <c r="AH53" s="159"/>
      <c r="AI53" s="159"/>
      <c r="AJ53" s="159"/>
      <c r="AK53" s="159" t="s">
        <v>2600</v>
      </c>
      <c r="AL53" s="159"/>
      <c r="AM53" s="159"/>
      <c r="AN53" s="159" t="s">
        <v>786</v>
      </c>
      <c r="AO53" s="172" t="s">
        <v>78</v>
      </c>
      <c r="AP53" s="172"/>
      <c r="AQ53" s="172"/>
      <c r="AR53" s="178" t="s">
        <v>2618</v>
      </c>
      <c r="AS53" s="178" t="s">
        <v>2618</v>
      </c>
      <c r="BD53" s="185" t="s">
        <v>787</v>
      </c>
      <c r="BE53" s="156" t="s">
        <v>900</v>
      </c>
      <c r="BF53" s="159" t="s">
        <v>833</v>
      </c>
      <c r="BG53" s="159" t="s">
        <v>45</v>
      </c>
      <c r="BH53" s="159" t="s">
        <v>32</v>
      </c>
      <c r="BI53" s="159" t="s">
        <v>41</v>
      </c>
      <c r="BJ53" s="156">
        <v>1</v>
      </c>
      <c r="BK53" s="156"/>
      <c r="BL53" s="156"/>
    </row>
    <row r="54" spans="1:70">
      <c r="A54" s="184" t="str">
        <f t="shared" si="0"/>
        <v>2050650</v>
      </c>
      <c r="B54" s="158" t="s">
        <v>1082</v>
      </c>
      <c r="C54" s="158" t="s">
        <v>2900</v>
      </c>
      <c r="D54" s="159" t="s">
        <v>1081</v>
      </c>
      <c r="E54" s="159"/>
      <c r="F54" s="158" t="s">
        <v>1083</v>
      </c>
      <c r="G54" s="167">
        <v>31417</v>
      </c>
      <c r="H54" s="167"/>
      <c r="I54" s="159" t="s">
        <v>2569</v>
      </c>
      <c r="J54" s="159" t="s">
        <v>2619</v>
      </c>
      <c r="K54" s="159" t="s">
        <v>35</v>
      </c>
      <c r="L54" s="159" t="s">
        <v>628</v>
      </c>
      <c r="M54" s="158" t="s">
        <v>2629</v>
      </c>
      <c r="N54" s="158" t="s">
        <v>2623</v>
      </c>
      <c r="O54" s="159" t="s">
        <v>2660</v>
      </c>
      <c r="P54" s="159" t="s">
        <v>2662</v>
      </c>
      <c r="Q54" s="159" t="s">
        <v>2840</v>
      </c>
      <c r="R54" s="159" t="s">
        <v>2863</v>
      </c>
      <c r="S54" s="159"/>
      <c r="T54" s="159"/>
      <c r="U54" s="158"/>
      <c r="V54" s="158"/>
      <c r="W54" s="159"/>
      <c r="X54" s="159"/>
      <c r="Y54" s="159"/>
      <c r="Z54" s="159"/>
      <c r="AA54" s="159"/>
      <c r="AB54" s="167">
        <v>38504</v>
      </c>
      <c r="AC54" s="159" t="s">
        <v>45</v>
      </c>
      <c r="AD54" s="158"/>
      <c r="AE54" s="159"/>
      <c r="AF54" s="159"/>
      <c r="AG54" s="159"/>
      <c r="AH54" s="159"/>
      <c r="AI54" s="159"/>
      <c r="AJ54" s="159"/>
      <c r="AK54" s="159" t="s">
        <v>2600</v>
      </c>
      <c r="AL54" s="159"/>
      <c r="AM54" s="159"/>
      <c r="AN54" s="159" t="s">
        <v>786</v>
      </c>
      <c r="AO54" s="172" t="s">
        <v>78</v>
      </c>
      <c r="AP54" s="172"/>
      <c r="AQ54" s="172"/>
      <c r="AR54" s="178" t="s">
        <v>2618</v>
      </c>
      <c r="AS54" s="178" t="s">
        <v>2618</v>
      </c>
      <c r="BD54" s="185" t="s">
        <v>1002</v>
      </c>
      <c r="BE54" s="156" t="s">
        <v>1075</v>
      </c>
      <c r="BF54" s="185" t="s">
        <v>2333</v>
      </c>
      <c r="BG54" s="159" t="s">
        <v>45</v>
      </c>
      <c r="BH54" s="159" t="s">
        <v>46</v>
      </c>
      <c r="BI54" s="159" t="s">
        <v>41</v>
      </c>
      <c r="BJ54" s="156">
        <v>1</v>
      </c>
      <c r="BK54" s="156"/>
      <c r="BL54" s="156"/>
    </row>
    <row r="55" spans="1:70">
      <c r="A55" s="184" t="str">
        <f t="shared" si="0"/>
        <v>3050651</v>
      </c>
      <c r="B55" s="158" t="s">
        <v>1227</v>
      </c>
      <c r="C55" s="158" t="s">
        <v>2901</v>
      </c>
      <c r="D55" s="159" t="s">
        <v>1226</v>
      </c>
      <c r="E55" s="159"/>
      <c r="F55" s="158" t="s">
        <v>1229</v>
      </c>
      <c r="G55" s="167">
        <v>33134</v>
      </c>
      <c r="H55" s="167"/>
      <c r="I55" s="159" t="s">
        <v>2569</v>
      </c>
      <c r="J55" s="159" t="s">
        <v>2619</v>
      </c>
      <c r="K55" s="159" t="s">
        <v>35</v>
      </c>
      <c r="L55" s="159" t="s">
        <v>1228</v>
      </c>
      <c r="M55" s="158" t="s">
        <v>2621</v>
      </c>
      <c r="N55" s="158" t="s">
        <v>2625</v>
      </c>
      <c r="O55" s="159" t="s">
        <v>2662</v>
      </c>
      <c r="P55" s="159" t="s">
        <v>2662</v>
      </c>
      <c r="Q55" s="159" t="s">
        <v>2840</v>
      </c>
      <c r="R55" s="159" t="s">
        <v>2863</v>
      </c>
      <c r="S55" s="159"/>
      <c r="T55" s="159"/>
      <c r="U55" s="158"/>
      <c r="V55" s="158"/>
      <c r="W55" s="159"/>
      <c r="X55" s="159"/>
      <c r="Y55" s="159"/>
      <c r="Z55" s="159"/>
      <c r="AA55" s="159"/>
      <c r="AB55" s="167">
        <v>38504</v>
      </c>
      <c r="AC55" s="159" t="s">
        <v>71</v>
      </c>
      <c r="AD55" s="158"/>
      <c r="AE55" s="159"/>
      <c r="AF55" s="159"/>
      <c r="AG55" s="159"/>
      <c r="AH55" s="159"/>
      <c r="AI55" s="159"/>
      <c r="AJ55" s="159"/>
      <c r="AK55" s="159" t="s">
        <v>2600</v>
      </c>
      <c r="AL55" s="159"/>
      <c r="AM55" s="159"/>
      <c r="AN55" s="185" t="s">
        <v>786</v>
      </c>
      <c r="AO55" s="172" t="s">
        <v>937</v>
      </c>
      <c r="AP55" s="172"/>
      <c r="AQ55" s="172"/>
      <c r="AR55" s="178" t="s">
        <v>2618</v>
      </c>
      <c r="AS55" s="178" t="s">
        <v>2618</v>
      </c>
      <c r="BD55" s="185" t="s">
        <v>1002</v>
      </c>
      <c r="BE55" s="156" t="s">
        <v>2457</v>
      </c>
      <c r="BF55" s="185" t="s">
        <v>1049</v>
      </c>
      <c r="BG55" s="159" t="s">
        <v>71</v>
      </c>
      <c r="BH55" s="159" t="s">
        <v>32</v>
      </c>
      <c r="BI55" s="159" t="s">
        <v>41</v>
      </c>
      <c r="BJ55" s="156">
        <v>1</v>
      </c>
      <c r="BK55" s="156"/>
      <c r="BL55" s="156"/>
    </row>
    <row r="56" spans="1:70">
      <c r="A56" s="184" t="str">
        <f t="shared" si="0"/>
        <v>4050652</v>
      </c>
      <c r="B56" s="158" t="s">
        <v>1832</v>
      </c>
      <c r="C56" s="158" t="s">
        <v>2902</v>
      </c>
      <c r="D56" s="159" t="s">
        <v>1831</v>
      </c>
      <c r="E56" s="159"/>
      <c r="F56" s="158" t="s">
        <v>1833</v>
      </c>
      <c r="G56" s="167">
        <v>24990</v>
      </c>
      <c r="H56" s="167"/>
      <c r="I56" s="159" t="s">
        <v>2570</v>
      </c>
      <c r="J56" s="159" t="s">
        <v>2619</v>
      </c>
      <c r="K56" s="159" t="s">
        <v>35</v>
      </c>
      <c r="L56" s="159" t="s">
        <v>100</v>
      </c>
      <c r="M56" s="158" t="s">
        <v>2627</v>
      </c>
      <c r="N56" s="158" t="s">
        <v>2622</v>
      </c>
      <c r="O56" s="159" t="s">
        <v>2659</v>
      </c>
      <c r="P56" s="159" t="s">
        <v>2659</v>
      </c>
      <c r="Q56" s="159" t="s">
        <v>2840</v>
      </c>
      <c r="R56" s="159" t="s">
        <v>2863</v>
      </c>
      <c r="S56" s="159"/>
      <c r="T56" s="159"/>
      <c r="U56" s="158"/>
      <c r="V56" s="158"/>
      <c r="W56" s="159"/>
      <c r="X56" s="159"/>
      <c r="Y56" s="159"/>
      <c r="Z56" s="159"/>
      <c r="AA56" s="159"/>
      <c r="AB56" s="167">
        <v>38504</v>
      </c>
      <c r="AC56" s="159" t="s">
        <v>129</v>
      </c>
      <c r="AD56" s="158"/>
      <c r="AE56" s="159"/>
      <c r="AF56" s="159"/>
      <c r="AG56" s="159"/>
      <c r="AH56" s="159"/>
      <c r="AI56" s="159"/>
      <c r="AJ56" s="159"/>
      <c r="AK56" s="159" t="s">
        <v>2600</v>
      </c>
      <c r="AL56" s="159"/>
      <c r="AM56" s="159"/>
      <c r="AN56" s="159" t="s">
        <v>786</v>
      </c>
      <c r="AO56" s="172" t="s">
        <v>115</v>
      </c>
      <c r="AP56" s="172"/>
      <c r="AQ56" s="172"/>
      <c r="AR56" s="178" t="s">
        <v>2618</v>
      </c>
      <c r="AS56" s="178" t="s">
        <v>2618</v>
      </c>
      <c r="BD56" s="185" t="s">
        <v>1442</v>
      </c>
      <c r="BE56" s="156" t="s">
        <v>1758</v>
      </c>
      <c r="BF56" s="159" t="s">
        <v>1508</v>
      </c>
      <c r="BG56" s="159" t="s">
        <v>129</v>
      </c>
      <c r="BH56" s="159" t="s">
        <v>121</v>
      </c>
      <c r="BI56" s="159" t="s">
        <v>41</v>
      </c>
      <c r="BJ56" s="156">
        <v>1</v>
      </c>
      <c r="BK56" s="156"/>
      <c r="BL56" s="156"/>
    </row>
    <row r="57" spans="1:70">
      <c r="A57" s="184" t="str">
        <f t="shared" si="0"/>
        <v>2050953</v>
      </c>
      <c r="B57" s="158" t="s">
        <v>336</v>
      </c>
      <c r="C57" s="158" t="s">
        <v>2903</v>
      </c>
      <c r="D57" s="159" t="s">
        <v>334</v>
      </c>
      <c r="E57" s="159"/>
      <c r="F57" s="158" t="s">
        <v>338</v>
      </c>
      <c r="G57" s="167">
        <v>32103</v>
      </c>
      <c r="H57" s="167"/>
      <c r="I57" s="159" t="s">
        <v>2569</v>
      </c>
      <c r="J57" s="159" t="s">
        <v>2619</v>
      </c>
      <c r="K57" s="159" t="s">
        <v>35</v>
      </c>
      <c r="L57" s="159" t="s">
        <v>337</v>
      </c>
      <c r="M57" s="158" t="s">
        <v>2622</v>
      </c>
      <c r="N57" s="158" t="s">
        <v>2622</v>
      </c>
      <c r="O57" s="159" t="s">
        <v>2662</v>
      </c>
      <c r="P57" s="159" t="s">
        <v>2662</v>
      </c>
      <c r="Q57" s="159" t="s">
        <v>2840</v>
      </c>
      <c r="R57" s="159" t="s">
        <v>2863</v>
      </c>
      <c r="S57" s="159"/>
      <c r="T57" s="159"/>
      <c r="U57" s="158"/>
      <c r="V57" s="158"/>
      <c r="W57" s="159"/>
      <c r="X57" s="159"/>
      <c r="Y57" s="159"/>
      <c r="Z57" s="159"/>
      <c r="AA57" s="159"/>
      <c r="AB57" s="167">
        <v>38621</v>
      </c>
      <c r="AC57" s="159" t="s">
        <v>45</v>
      </c>
      <c r="AD57" s="158"/>
      <c r="AE57" s="159"/>
      <c r="AF57" s="159"/>
      <c r="AG57" s="159"/>
      <c r="AH57" s="159"/>
      <c r="AI57" s="159"/>
      <c r="AJ57" s="159"/>
      <c r="AK57" s="159" t="s">
        <v>2600</v>
      </c>
      <c r="AL57" s="159"/>
      <c r="AM57" s="159"/>
      <c r="AN57" s="185" t="s">
        <v>298</v>
      </c>
      <c r="AO57" s="172" t="s">
        <v>78</v>
      </c>
      <c r="AP57" s="172"/>
      <c r="AQ57" s="172"/>
      <c r="AR57" s="178" t="s">
        <v>2618</v>
      </c>
      <c r="AS57" s="178" t="s">
        <v>2618</v>
      </c>
      <c r="BD57" s="156"/>
      <c r="BF57" s="159"/>
      <c r="BG57" s="159" t="s">
        <v>45</v>
      </c>
      <c r="BH57" s="159"/>
      <c r="BI57" s="159" t="s">
        <v>41</v>
      </c>
      <c r="BJ57" s="156">
        <v>1</v>
      </c>
      <c r="BK57" s="156"/>
      <c r="BL57" s="156"/>
    </row>
    <row r="58" spans="1:70">
      <c r="A58" s="184" t="str">
        <f t="shared" si="0"/>
        <v>3060254</v>
      </c>
      <c r="B58" s="158" t="s">
        <v>2192</v>
      </c>
      <c r="C58" s="158" t="s">
        <v>2904</v>
      </c>
      <c r="D58" s="159" t="s">
        <v>2191</v>
      </c>
      <c r="E58" s="159"/>
      <c r="F58" s="158" t="s">
        <v>2193</v>
      </c>
      <c r="G58" s="167">
        <v>29672</v>
      </c>
      <c r="H58" s="167"/>
      <c r="I58" s="159" t="s">
        <v>2570</v>
      </c>
      <c r="J58" s="159" t="s">
        <v>2619</v>
      </c>
      <c r="K58" s="159" t="s">
        <v>35</v>
      </c>
      <c r="L58" s="159" t="s">
        <v>878</v>
      </c>
      <c r="M58" s="158" t="s">
        <v>2622</v>
      </c>
      <c r="N58" s="158" t="s">
        <v>2625</v>
      </c>
      <c r="O58" s="159" t="s">
        <v>2657</v>
      </c>
      <c r="P58" s="159" t="s">
        <v>2662</v>
      </c>
      <c r="Q58" s="159" t="s">
        <v>2840</v>
      </c>
      <c r="R58" s="159" t="s">
        <v>2863</v>
      </c>
      <c r="S58" s="159"/>
      <c r="T58" s="159"/>
      <c r="U58" s="158"/>
      <c r="V58" s="158"/>
      <c r="W58" s="159"/>
      <c r="X58" s="159"/>
      <c r="Y58" s="159"/>
      <c r="Z58" s="159"/>
      <c r="AA58" s="159"/>
      <c r="AB58" s="167">
        <v>38760</v>
      </c>
      <c r="AC58" s="159" t="s">
        <v>71</v>
      </c>
      <c r="AD58" s="158"/>
      <c r="AE58" s="159"/>
      <c r="AF58" s="159"/>
      <c r="AG58" s="159"/>
      <c r="AH58" s="159"/>
      <c r="AI58" s="159"/>
      <c r="AJ58" s="159"/>
      <c r="AK58" s="159" t="s">
        <v>2600</v>
      </c>
      <c r="AL58" s="159"/>
      <c r="AM58" s="159"/>
      <c r="AN58" s="185" t="s">
        <v>2065</v>
      </c>
      <c r="AO58" s="166" t="s">
        <v>115</v>
      </c>
      <c r="AP58" s="166"/>
      <c r="AQ58" s="166"/>
      <c r="AR58" s="178" t="s">
        <v>2618</v>
      </c>
      <c r="AS58" s="178" t="s">
        <v>2618</v>
      </c>
      <c r="BD58" s="159"/>
      <c r="BE58" s="159" t="s">
        <v>2472</v>
      </c>
      <c r="BF58" s="159"/>
      <c r="BG58" s="159" t="s">
        <v>71</v>
      </c>
      <c r="BH58" s="159" t="s">
        <v>121</v>
      </c>
      <c r="BI58" s="159" t="s">
        <v>41</v>
      </c>
      <c r="BJ58" s="156">
        <v>3</v>
      </c>
      <c r="BK58" s="156"/>
      <c r="BL58" s="156"/>
    </row>
    <row r="59" spans="1:70">
      <c r="A59" s="184" t="str">
        <f t="shared" si="0"/>
        <v>2060655</v>
      </c>
      <c r="B59" s="158" t="s">
        <v>237</v>
      </c>
      <c r="C59" s="158" t="s">
        <v>2905</v>
      </c>
      <c r="D59" s="159" t="s">
        <v>236</v>
      </c>
      <c r="E59" s="159"/>
      <c r="F59" s="158" t="s">
        <v>239</v>
      </c>
      <c r="G59" s="167">
        <v>33485</v>
      </c>
      <c r="H59" s="167"/>
      <c r="I59" s="159" t="s">
        <v>2569</v>
      </c>
      <c r="J59" s="159" t="s">
        <v>2619</v>
      </c>
      <c r="K59" s="159" t="s">
        <v>35</v>
      </c>
      <c r="L59" s="159" t="s">
        <v>238</v>
      </c>
      <c r="M59" s="158" t="s">
        <v>2633</v>
      </c>
      <c r="N59" s="158" t="s">
        <v>2622</v>
      </c>
      <c r="O59" s="159" t="s">
        <v>2660</v>
      </c>
      <c r="P59" s="159" t="s">
        <v>2662</v>
      </c>
      <c r="Q59" s="159" t="s">
        <v>2840</v>
      </c>
      <c r="R59" s="159" t="s">
        <v>2863</v>
      </c>
      <c r="S59" s="159"/>
      <c r="T59" s="159"/>
      <c r="U59" s="158"/>
      <c r="V59" s="158"/>
      <c r="W59" s="159"/>
      <c r="X59" s="159"/>
      <c r="Y59" s="159"/>
      <c r="Z59" s="159"/>
      <c r="AA59" s="159"/>
      <c r="AB59" s="167">
        <v>38869</v>
      </c>
      <c r="AC59" s="159" t="s">
        <v>45</v>
      </c>
      <c r="AD59" s="158"/>
      <c r="AE59" s="159"/>
      <c r="AF59" s="159"/>
      <c r="AG59" s="159"/>
      <c r="AH59" s="159"/>
      <c r="AI59" s="159"/>
      <c r="AJ59" s="159"/>
      <c r="AK59" s="159" t="s">
        <v>2600</v>
      </c>
      <c r="AL59" s="159"/>
      <c r="AM59" s="159"/>
      <c r="AN59" s="185" t="s">
        <v>216</v>
      </c>
      <c r="AO59" s="172" t="s">
        <v>78</v>
      </c>
      <c r="AP59" s="172"/>
      <c r="AQ59" s="172"/>
      <c r="AR59" s="178" t="s">
        <v>2618</v>
      </c>
      <c r="AS59" s="178" t="s">
        <v>2618</v>
      </c>
      <c r="BD59" s="156"/>
      <c r="BF59" s="185"/>
      <c r="BG59" s="159" t="s">
        <v>45</v>
      </c>
      <c r="BH59" s="159" t="s">
        <v>121</v>
      </c>
      <c r="BI59" s="159" t="s">
        <v>41</v>
      </c>
      <c r="BJ59" s="156">
        <v>3</v>
      </c>
      <c r="BK59" s="156"/>
      <c r="BL59" s="156"/>
    </row>
    <row r="60" spans="1:70">
      <c r="A60" s="184" t="str">
        <f t="shared" si="0"/>
        <v>2060656</v>
      </c>
      <c r="B60" s="158" t="s">
        <v>1027</v>
      </c>
      <c r="C60" s="158" t="s">
        <v>2906</v>
      </c>
      <c r="D60" s="159" t="s">
        <v>1025</v>
      </c>
      <c r="E60" s="159"/>
      <c r="F60" s="158" t="s">
        <v>1028</v>
      </c>
      <c r="G60" s="167">
        <v>28987</v>
      </c>
      <c r="H60" s="167"/>
      <c r="I60" s="159" t="s">
        <v>2569</v>
      </c>
      <c r="J60" s="159" t="s">
        <v>2619</v>
      </c>
      <c r="K60" s="159" t="s">
        <v>35</v>
      </c>
      <c r="L60" s="159" t="s">
        <v>284</v>
      </c>
      <c r="M60" s="158" t="s">
        <v>2626</v>
      </c>
      <c r="N60" s="158" t="s">
        <v>2621</v>
      </c>
      <c r="O60" s="159" t="s">
        <v>2657</v>
      </c>
      <c r="P60" s="159" t="s">
        <v>2662</v>
      </c>
      <c r="Q60" s="159" t="s">
        <v>2840</v>
      </c>
      <c r="R60" s="159" t="s">
        <v>2863</v>
      </c>
      <c r="S60" s="159"/>
      <c r="T60" s="159"/>
      <c r="U60" s="158"/>
      <c r="V60" s="158"/>
      <c r="W60" s="159"/>
      <c r="X60" s="159"/>
      <c r="Y60" s="159"/>
      <c r="Z60" s="159"/>
      <c r="AA60" s="159"/>
      <c r="AB60" s="167">
        <v>38869</v>
      </c>
      <c r="AC60" s="159" t="s">
        <v>45</v>
      </c>
      <c r="AD60" s="158"/>
      <c r="AE60" s="159"/>
      <c r="AF60" s="159"/>
      <c r="AG60" s="159"/>
      <c r="AH60" s="159"/>
      <c r="AI60" s="159"/>
      <c r="AJ60" s="159"/>
      <c r="AK60" s="159" t="s">
        <v>2600</v>
      </c>
      <c r="AL60" s="159"/>
      <c r="AM60" s="159"/>
      <c r="AN60" s="159" t="s">
        <v>786</v>
      </c>
      <c r="AO60" s="172" t="s">
        <v>78</v>
      </c>
      <c r="AP60" s="172"/>
      <c r="AQ60" s="172"/>
      <c r="AR60" s="178" t="s">
        <v>2618</v>
      </c>
      <c r="AS60" s="178" t="s">
        <v>2618</v>
      </c>
      <c r="BD60" s="185" t="s">
        <v>1002</v>
      </c>
      <c r="BE60" s="156" t="s">
        <v>1026</v>
      </c>
      <c r="BF60" s="156" t="s">
        <v>1042</v>
      </c>
      <c r="BG60" s="159" t="s">
        <v>45</v>
      </c>
      <c r="BH60" s="159" t="s">
        <v>46</v>
      </c>
      <c r="BI60" s="159" t="s">
        <v>41</v>
      </c>
      <c r="BJ60" s="156">
        <v>1</v>
      </c>
      <c r="BK60" s="156"/>
      <c r="BL60" s="156"/>
    </row>
    <row r="61" spans="1:70">
      <c r="A61" s="184" t="str">
        <f t="shared" si="0"/>
        <v>2060657</v>
      </c>
      <c r="B61" s="158" t="s">
        <v>1035</v>
      </c>
      <c r="C61" s="158" t="s">
        <v>2907</v>
      </c>
      <c r="D61" s="159" t="s">
        <v>1032</v>
      </c>
      <c r="E61" s="159"/>
      <c r="F61" s="158" t="s">
        <v>1037</v>
      </c>
      <c r="G61" s="167">
        <v>31705</v>
      </c>
      <c r="H61" s="167"/>
      <c r="I61" s="159" t="s">
        <v>2569</v>
      </c>
      <c r="J61" s="159" t="s">
        <v>2619</v>
      </c>
      <c r="K61" s="159" t="s">
        <v>35</v>
      </c>
      <c r="L61" s="159" t="s">
        <v>1036</v>
      </c>
      <c r="M61" s="158" t="s">
        <v>2622</v>
      </c>
      <c r="N61" s="158" t="s">
        <v>2626</v>
      </c>
      <c r="O61" s="159" t="s">
        <v>2659</v>
      </c>
      <c r="P61" s="159" t="s">
        <v>2659</v>
      </c>
      <c r="Q61" s="159" t="s">
        <v>2840</v>
      </c>
      <c r="R61" s="159" t="s">
        <v>2863</v>
      </c>
      <c r="S61" s="159"/>
      <c r="T61" s="159"/>
      <c r="U61" s="158"/>
      <c r="V61" s="158"/>
      <c r="W61" s="159"/>
      <c r="X61" s="159"/>
      <c r="Y61" s="159"/>
      <c r="Z61" s="159"/>
      <c r="AA61" s="159"/>
      <c r="AB61" s="167">
        <v>38869</v>
      </c>
      <c r="AC61" s="159" t="s">
        <v>45</v>
      </c>
      <c r="AD61" s="158"/>
      <c r="AE61" s="159"/>
      <c r="AF61" s="159"/>
      <c r="AG61" s="159"/>
      <c r="AH61" s="159"/>
      <c r="AI61" s="159"/>
      <c r="AJ61" s="159"/>
      <c r="AK61" s="159" t="s">
        <v>2600</v>
      </c>
      <c r="AL61" s="159"/>
      <c r="AM61" s="159"/>
      <c r="AN61" s="159" t="s">
        <v>786</v>
      </c>
      <c r="AO61" s="172" t="s">
        <v>78</v>
      </c>
      <c r="AP61" s="172"/>
      <c r="AQ61" s="172"/>
      <c r="AR61" s="178" t="s">
        <v>2618</v>
      </c>
      <c r="AS61" s="178" t="s">
        <v>2618</v>
      </c>
      <c r="BD61" s="185" t="s">
        <v>1002</v>
      </c>
      <c r="BE61" s="156" t="s">
        <v>1033</v>
      </c>
      <c r="BF61" s="156" t="s">
        <v>1042</v>
      </c>
      <c r="BG61" s="159" t="s">
        <v>45</v>
      </c>
      <c r="BH61" s="159" t="s">
        <v>46</v>
      </c>
      <c r="BI61" s="159" t="s">
        <v>41</v>
      </c>
      <c r="BJ61" s="156">
        <v>1</v>
      </c>
      <c r="BK61" s="156"/>
      <c r="BL61" s="156"/>
    </row>
    <row r="62" spans="1:70">
      <c r="A62" s="184" t="str">
        <f t="shared" si="0"/>
        <v>2060658</v>
      </c>
      <c r="B62" s="158" t="s">
        <v>1056</v>
      </c>
      <c r="C62" s="158" t="s">
        <v>2908</v>
      </c>
      <c r="D62" s="159" t="s">
        <v>1054</v>
      </c>
      <c r="E62" s="159"/>
      <c r="F62" s="158" t="s">
        <v>1057</v>
      </c>
      <c r="G62" s="167">
        <v>31572</v>
      </c>
      <c r="H62" s="167"/>
      <c r="I62" s="159" t="s">
        <v>2569</v>
      </c>
      <c r="J62" s="159" t="s">
        <v>2619</v>
      </c>
      <c r="K62" s="159" t="s">
        <v>35</v>
      </c>
      <c r="L62" s="159" t="s">
        <v>439</v>
      </c>
      <c r="M62" s="158" t="s">
        <v>2621</v>
      </c>
      <c r="N62" s="158" t="s">
        <v>2626</v>
      </c>
      <c r="O62" s="159" t="s">
        <v>2678</v>
      </c>
      <c r="P62" s="159" t="s">
        <v>2662</v>
      </c>
      <c r="Q62" s="159" t="s">
        <v>2840</v>
      </c>
      <c r="R62" s="159" t="s">
        <v>2863</v>
      </c>
      <c r="S62" s="159"/>
      <c r="T62" s="159"/>
      <c r="U62" s="158"/>
      <c r="V62" s="158"/>
      <c r="W62" s="159"/>
      <c r="X62" s="159"/>
      <c r="Y62" s="159"/>
      <c r="Z62" s="159"/>
      <c r="AA62" s="159"/>
      <c r="AB62" s="167">
        <v>38869</v>
      </c>
      <c r="AC62" s="159" t="s">
        <v>45</v>
      </c>
      <c r="AD62" s="158"/>
      <c r="AE62" s="159"/>
      <c r="AF62" s="159"/>
      <c r="AG62" s="159"/>
      <c r="AH62" s="159"/>
      <c r="AI62" s="159"/>
      <c r="AJ62" s="159"/>
      <c r="AK62" s="159" t="s">
        <v>2600</v>
      </c>
      <c r="AL62" s="159"/>
      <c r="AM62" s="159"/>
      <c r="AN62" s="159" t="s">
        <v>786</v>
      </c>
      <c r="AO62" s="172" t="s">
        <v>78</v>
      </c>
      <c r="AP62" s="172"/>
      <c r="AQ62" s="172"/>
      <c r="AR62" s="178" t="s">
        <v>2618</v>
      </c>
      <c r="AS62" s="178" t="s">
        <v>2618</v>
      </c>
      <c r="BD62" s="185" t="s">
        <v>1002</v>
      </c>
      <c r="BE62" s="156" t="s">
        <v>1061</v>
      </c>
      <c r="BF62" s="185" t="s">
        <v>1042</v>
      </c>
      <c r="BG62" s="159" t="s">
        <v>45</v>
      </c>
      <c r="BH62" s="159" t="s">
        <v>46</v>
      </c>
      <c r="BI62" s="159" t="s">
        <v>41</v>
      </c>
      <c r="BJ62" s="156">
        <v>1</v>
      </c>
      <c r="BK62" s="156"/>
      <c r="BL62" s="156"/>
    </row>
    <row r="63" spans="1:70">
      <c r="A63" s="184" t="str">
        <f t="shared" si="0"/>
        <v>3060659</v>
      </c>
      <c r="B63" s="158" t="s">
        <v>1261</v>
      </c>
      <c r="C63" s="158" t="s">
        <v>2909</v>
      </c>
      <c r="D63" s="159" t="s">
        <v>1260</v>
      </c>
      <c r="E63" s="159"/>
      <c r="F63" s="158" t="s">
        <v>1262</v>
      </c>
      <c r="G63" s="167">
        <v>27720</v>
      </c>
      <c r="H63" s="167"/>
      <c r="I63" s="159" t="s">
        <v>2569</v>
      </c>
      <c r="J63" s="159" t="s">
        <v>2619</v>
      </c>
      <c r="K63" s="159" t="s">
        <v>35</v>
      </c>
      <c r="L63" s="159" t="s">
        <v>808</v>
      </c>
      <c r="M63" s="158" t="s">
        <v>2621</v>
      </c>
      <c r="N63" s="158" t="s">
        <v>2623</v>
      </c>
      <c r="O63" s="159" t="s">
        <v>2657</v>
      </c>
      <c r="P63" s="159" t="s">
        <v>2662</v>
      </c>
      <c r="Q63" s="159" t="s">
        <v>2840</v>
      </c>
      <c r="R63" s="159" t="s">
        <v>2863</v>
      </c>
      <c r="S63" s="159"/>
      <c r="T63" s="159"/>
      <c r="U63" s="158"/>
      <c r="V63" s="158"/>
      <c r="W63" s="159"/>
      <c r="X63" s="159"/>
      <c r="Y63" s="159"/>
      <c r="Z63" s="159"/>
      <c r="AA63" s="159"/>
      <c r="AB63" s="167">
        <v>38869</v>
      </c>
      <c r="AC63" s="159" t="s">
        <v>71</v>
      </c>
      <c r="AD63" s="158"/>
      <c r="AE63" s="159"/>
      <c r="AF63" s="159"/>
      <c r="AG63" s="159"/>
      <c r="AH63" s="159"/>
      <c r="AI63" s="159"/>
      <c r="AJ63" s="159"/>
      <c r="AK63" s="159" t="s">
        <v>2600</v>
      </c>
      <c r="AL63" s="159"/>
      <c r="AM63" s="159"/>
      <c r="AN63" s="159" t="s">
        <v>786</v>
      </c>
      <c r="AO63" s="172" t="s">
        <v>937</v>
      </c>
      <c r="AP63" s="172"/>
      <c r="AQ63" s="172"/>
      <c r="AR63" s="178" t="s">
        <v>2618</v>
      </c>
      <c r="AS63" s="178" t="s">
        <v>2618</v>
      </c>
      <c r="BD63" s="185" t="s">
        <v>1002</v>
      </c>
      <c r="BE63" s="156" t="s">
        <v>1145</v>
      </c>
      <c r="BF63" s="185" t="s">
        <v>1049</v>
      </c>
      <c r="BG63" s="159" t="s">
        <v>71</v>
      </c>
      <c r="BH63" s="159" t="s">
        <v>46</v>
      </c>
      <c r="BI63" s="159" t="s">
        <v>41</v>
      </c>
      <c r="BJ63" s="156">
        <v>1</v>
      </c>
      <c r="BK63" s="156"/>
      <c r="BL63" s="156"/>
    </row>
    <row r="64" spans="1:70">
      <c r="A64" s="184" t="str">
        <f t="shared" si="0"/>
        <v>2060660</v>
      </c>
      <c r="B64" s="158" t="s">
        <v>1494</v>
      </c>
      <c r="C64" s="158" t="s">
        <v>2910</v>
      </c>
      <c r="D64" s="159" t="s">
        <v>1492</v>
      </c>
      <c r="E64" s="159"/>
      <c r="F64" s="158" t="s">
        <v>1495</v>
      </c>
      <c r="G64" s="167">
        <v>26616</v>
      </c>
      <c r="H64" s="167"/>
      <c r="I64" s="159" t="s">
        <v>2569</v>
      </c>
      <c r="J64" s="159" t="s">
        <v>2619</v>
      </c>
      <c r="K64" s="159" t="s">
        <v>35</v>
      </c>
      <c r="L64" s="159" t="s">
        <v>231</v>
      </c>
      <c r="M64" s="158" t="s">
        <v>2622</v>
      </c>
      <c r="N64" s="158" t="s">
        <v>2621</v>
      </c>
      <c r="O64" s="159" t="s">
        <v>2656</v>
      </c>
      <c r="P64" s="159" t="s">
        <v>696</v>
      </c>
      <c r="Q64" s="159" t="s">
        <v>2844</v>
      </c>
      <c r="R64" s="159" t="s">
        <v>2863</v>
      </c>
      <c r="S64" s="159"/>
      <c r="T64" s="159"/>
      <c r="U64" s="158"/>
      <c r="V64" s="158"/>
      <c r="W64" s="159"/>
      <c r="X64" s="159"/>
      <c r="Y64" s="159"/>
      <c r="Z64" s="159"/>
      <c r="AA64" s="159"/>
      <c r="AB64" s="167">
        <v>38869</v>
      </c>
      <c r="AC64" s="159" t="s">
        <v>45</v>
      </c>
      <c r="AD64" s="158"/>
      <c r="AE64" s="159"/>
      <c r="AF64" s="159"/>
      <c r="AG64" s="159"/>
      <c r="AH64" s="159"/>
      <c r="AI64" s="159"/>
      <c r="AJ64" s="159"/>
      <c r="AK64" s="159" t="s">
        <v>2600</v>
      </c>
      <c r="AL64" s="159"/>
      <c r="AM64" s="159"/>
      <c r="AN64" s="159" t="s">
        <v>786</v>
      </c>
      <c r="AO64" s="172" t="s">
        <v>78</v>
      </c>
      <c r="AP64" s="172"/>
      <c r="AQ64" s="172"/>
      <c r="AR64" s="178" t="s">
        <v>2618</v>
      </c>
      <c r="AS64" s="178" t="s">
        <v>2618</v>
      </c>
      <c r="BD64" s="185" t="s">
        <v>1442</v>
      </c>
      <c r="BE64" s="156" t="s">
        <v>1493</v>
      </c>
      <c r="BF64" s="159" t="s">
        <v>1482</v>
      </c>
      <c r="BG64" s="159" t="s">
        <v>45</v>
      </c>
      <c r="BH64" s="159" t="s">
        <v>32</v>
      </c>
      <c r="BI64" s="159" t="s">
        <v>41</v>
      </c>
      <c r="BJ64" s="156">
        <v>1</v>
      </c>
      <c r="BK64" s="156"/>
      <c r="BL64" s="156"/>
    </row>
    <row r="65" spans="1:70">
      <c r="A65" s="184" t="str">
        <f t="shared" si="0"/>
        <v>2061161</v>
      </c>
      <c r="B65" s="158" t="s">
        <v>890</v>
      </c>
      <c r="C65" s="158" t="s">
        <v>2911</v>
      </c>
      <c r="D65" s="159" t="s">
        <v>889</v>
      </c>
      <c r="E65" s="159"/>
      <c r="F65" s="158" t="s">
        <v>892</v>
      </c>
      <c r="G65" s="167">
        <v>32205</v>
      </c>
      <c r="H65" s="167"/>
      <c r="I65" s="159" t="s">
        <v>2569</v>
      </c>
      <c r="J65" s="159" t="s">
        <v>2619</v>
      </c>
      <c r="K65" s="159" t="s">
        <v>35</v>
      </c>
      <c r="L65" s="159" t="s">
        <v>891</v>
      </c>
      <c r="M65" s="158" t="s">
        <v>2623</v>
      </c>
      <c r="N65" s="158" t="s">
        <v>2621</v>
      </c>
      <c r="O65" s="159" t="s">
        <v>2679</v>
      </c>
      <c r="P65" s="159" t="s">
        <v>2804</v>
      </c>
      <c r="Q65" s="159" t="s">
        <v>2842</v>
      </c>
      <c r="R65" s="159" t="s">
        <v>2863</v>
      </c>
      <c r="S65" s="159"/>
      <c r="T65" s="159"/>
      <c r="U65" s="158"/>
      <c r="V65" s="158"/>
      <c r="W65" s="159"/>
      <c r="X65" s="159"/>
      <c r="Y65" s="159"/>
      <c r="Z65" s="159"/>
      <c r="AA65" s="159"/>
      <c r="AB65" s="167">
        <v>39022</v>
      </c>
      <c r="AC65" s="159" t="s">
        <v>45</v>
      </c>
      <c r="AD65" s="158"/>
      <c r="AE65" s="159"/>
      <c r="AF65" s="159"/>
      <c r="AG65" s="159"/>
      <c r="AH65" s="159"/>
      <c r="AI65" s="159"/>
      <c r="AJ65" s="159"/>
      <c r="AK65" s="159" t="s">
        <v>2600</v>
      </c>
      <c r="AL65" s="159"/>
      <c r="AM65" s="159"/>
      <c r="AN65" s="159" t="s">
        <v>786</v>
      </c>
      <c r="AO65" s="172" t="s">
        <v>78</v>
      </c>
      <c r="AP65" s="172"/>
      <c r="AQ65" s="172"/>
      <c r="AR65" s="178" t="s">
        <v>2618</v>
      </c>
      <c r="AS65" s="178" t="s">
        <v>2618</v>
      </c>
      <c r="BD65" s="185" t="s">
        <v>787</v>
      </c>
      <c r="BE65" s="156" t="s">
        <v>883</v>
      </c>
      <c r="BF65" s="159" t="s">
        <v>855</v>
      </c>
      <c r="BG65" s="159" t="s">
        <v>45</v>
      </c>
      <c r="BH65" s="159" t="s">
        <v>46</v>
      </c>
      <c r="BI65" s="159" t="s">
        <v>41</v>
      </c>
      <c r="BJ65" s="156">
        <v>1</v>
      </c>
      <c r="BK65" s="156"/>
      <c r="BL65" s="156"/>
    </row>
    <row r="66" spans="1:70">
      <c r="A66" s="184" t="str">
        <f t="shared" si="0"/>
        <v>4070662</v>
      </c>
      <c r="B66" s="158" t="s">
        <v>482</v>
      </c>
      <c r="C66" s="158" t="s">
        <v>2912</v>
      </c>
      <c r="D66" s="159" t="s">
        <v>480</v>
      </c>
      <c r="E66" s="159"/>
      <c r="F66" s="158" t="s">
        <v>484</v>
      </c>
      <c r="G66" s="167">
        <v>31344</v>
      </c>
      <c r="H66" s="167"/>
      <c r="I66" s="159" t="s">
        <v>2569</v>
      </c>
      <c r="J66" s="159" t="s">
        <v>2619</v>
      </c>
      <c r="K66" s="159" t="s">
        <v>35</v>
      </c>
      <c r="L66" s="159" t="s">
        <v>483</v>
      </c>
      <c r="M66" s="158" t="s">
        <v>2625</v>
      </c>
      <c r="N66" s="158" t="s">
        <v>2621</v>
      </c>
      <c r="O66" s="159" t="s">
        <v>2666</v>
      </c>
      <c r="P66" s="159" t="s">
        <v>2662</v>
      </c>
      <c r="Q66" s="159" t="s">
        <v>2840</v>
      </c>
      <c r="R66" s="159" t="s">
        <v>2863</v>
      </c>
      <c r="S66" s="159"/>
      <c r="T66" s="159"/>
      <c r="U66" s="158"/>
      <c r="V66" s="158"/>
      <c r="W66" s="159"/>
      <c r="X66" s="159"/>
      <c r="Y66" s="159"/>
      <c r="Z66" s="159"/>
      <c r="AA66" s="159"/>
      <c r="AB66" s="167">
        <v>39234</v>
      </c>
      <c r="AC66" s="159" t="s">
        <v>129</v>
      </c>
      <c r="AD66" s="158"/>
      <c r="AE66" s="159"/>
      <c r="AF66" s="159"/>
      <c r="AG66" s="159"/>
      <c r="AH66" s="159"/>
      <c r="AI66" s="159"/>
      <c r="AJ66" s="159"/>
      <c r="AK66" s="159" t="s">
        <v>2600</v>
      </c>
      <c r="AL66" s="159"/>
      <c r="AM66" s="159"/>
      <c r="AN66" s="159" t="s">
        <v>392</v>
      </c>
      <c r="AO66" s="172" t="s">
        <v>115</v>
      </c>
      <c r="AP66" s="172"/>
      <c r="AQ66" s="172"/>
      <c r="AR66" s="178" t="s">
        <v>2618</v>
      </c>
      <c r="AS66" s="178" t="s">
        <v>2618</v>
      </c>
      <c r="BD66" s="159" t="s">
        <v>401</v>
      </c>
      <c r="BF66" s="159"/>
      <c r="BG66" s="159" t="s">
        <v>129</v>
      </c>
      <c r="BH66" s="159" t="s">
        <v>121</v>
      </c>
      <c r="BI66" s="159" t="s">
        <v>41</v>
      </c>
      <c r="BJ66" s="156">
        <v>1</v>
      </c>
      <c r="BK66" s="156"/>
      <c r="BL66" s="156"/>
    </row>
    <row r="67" spans="1:70" s="186" customFormat="1">
      <c r="A67" s="184" t="str">
        <f t="shared" si="0"/>
        <v>2070663</v>
      </c>
      <c r="B67" s="158" t="s">
        <v>713</v>
      </c>
      <c r="C67" s="158" t="s">
        <v>2913</v>
      </c>
      <c r="D67" s="159" t="s">
        <v>712</v>
      </c>
      <c r="E67" s="159"/>
      <c r="F67" s="158" t="s">
        <v>715</v>
      </c>
      <c r="G67" s="167">
        <v>31209</v>
      </c>
      <c r="H67" s="167"/>
      <c r="I67" s="159" t="s">
        <v>2569</v>
      </c>
      <c r="J67" s="159" t="s">
        <v>2619</v>
      </c>
      <c r="K67" s="159" t="s">
        <v>35</v>
      </c>
      <c r="L67" s="159" t="s">
        <v>714</v>
      </c>
      <c r="M67" s="158" t="s">
        <v>2626</v>
      </c>
      <c r="N67" s="158" t="s">
        <v>2626</v>
      </c>
      <c r="O67" s="159" t="s">
        <v>2678</v>
      </c>
      <c r="P67" s="159" t="s">
        <v>2662</v>
      </c>
      <c r="Q67" s="159" t="s">
        <v>2840</v>
      </c>
      <c r="R67" s="159" t="s">
        <v>2863</v>
      </c>
      <c r="S67" s="159"/>
      <c r="T67" s="159"/>
      <c r="U67" s="158"/>
      <c r="V67" s="158"/>
      <c r="W67" s="159"/>
      <c r="X67" s="159"/>
      <c r="Y67" s="159"/>
      <c r="Z67" s="159"/>
      <c r="AA67" s="159"/>
      <c r="AB67" s="167">
        <v>39234</v>
      </c>
      <c r="AC67" s="159" t="s">
        <v>45</v>
      </c>
      <c r="AD67" s="158"/>
      <c r="AE67" s="159"/>
      <c r="AF67" s="159"/>
      <c r="AG67" s="159"/>
      <c r="AH67" s="159"/>
      <c r="AI67" s="159"/>
      <c r="AJ67" s="159"/>
      <c r="AK67" s="159" t="s">
        <v>2600</v>
      </c>
      <c r="AL67" s="159"/>
      <c r="AM67" s="159"/>
      <c r="AN67" s="185" t="s">
        <v>684</v>
      </c>
      <c r="AO67" s="172" t="s">
        <v>78</v>
      </c>
      <c r="AP67" s="172"/>
      <c r="AQ67" s="172"/>
      <c r="AR67" s="178" t="s">
        <v>2618</v>
      </c>
      <c r="AS67" s="178" t="s">
        <v>2618</v>
      </c>
      <c r="AT67" s="178"/>
      <c r="AU67" s="159"/>
      <c r="AV67" s="159"/>
      <c r="AW67" s="159"/>
      <c r="AX67" s="159"/>
      <c r="AY67" s="159"/>
      <c r="AZ67" s="159"/>
      <c r="BA67" s="159"/>
      <c r="BB67" s="159"/>
      <c r="BC67" s="159"/>
      <c r="BD67" s="159" t="s">
        <v>704</v>
      </c>
      <c r="BE67" s="156"/>
      <c r="BF67" s="159"/>
      <c r="BG67" s="159" t="s">
        <v>45</v>
      </c>
      <c r="BH67" s="159" t="s">
        <v>46</v>
      </c>
      <c r="BI67" s="159" t="s">
        <v>41</v>
      </c>
      <c r="BJ67" s="156">
        <v>3</v>
      </c>
      <c r="BK67" s="156"/>
      <c r="BL67" s="156"/>
      <c r="BM67" s="162"/>
      <c r="BN67" s="162"/>
      <c r="BO67" s="162"/>
      <c r="BP67" s="162"/>
      <c r="BQ67" s="162"/>
      <c r="BR67" s="162"/>
    </row>
    <row r="68" spans="1:70" s="186" customFormat="1">
      <c r="A68" s="184" t="str">
        <f t="shared" si="0"/>
        <v>3070664</v>
      </c>
      <c r="B68" s="158" t="s">
        <v>948</v>
      </c>
      <c r="C68" s="158" t="s">
        <v>2914</v>
      </c>
      <c r="D68" s="159" t="s">
        <v>947</v>
      </c>
      <c r="E68" s="159"/>
      <c r="F68" s="158"/>
      <c r="G68" s="167">
        <v>29344</v>
      </c>
      <c r="H68" s="167"/>
      <c r="I68" s="159" t="s">
        <v>2569</v>
      </c>
      <c r="J68" s="159" t="s">
        <v>2619</v>
      </c>
      <c r="K68" s="159" t="s">
        <v>35</v>
      </c>
      <c r="L68" s="159" t="s">
        <v>808</v>
      </c>
      <c r="M68" s="158" t="s">
        <v>2623</v>
      </c>
      <c r="N68" s="158" t="s">
        <v>2623</v>
      </c>
      <c r="O68" s="159" t="s">
        <v>2657</v>
      </c>
      <c r="P68" s="159" t="s">
        <v>2662</v>
      </c>
      <c r="Q68" s="159" t="s">
        <v>2840</v>
      </c>
      <c r="R68" s="159" t="s">
        <v>2863</v>
      </c>
      <c r="S68" s="159"/>
      <c r="T68" s="159"/>
      <c r="U68" s="158"/>
      <c r="V68" s="158"/>
      <c r="W68" s="159"/>
      <c r="X68" s="159"/>
      <c r="Y68" s="159"/>
      <c r="Z68" s="159"/>
      <c r="AA68" s="159"/>
      <c r="AB68" s="167">
        <v>39234</v>
      </c>
      <c r="AC68" s="159" t="s">
        <v>71</v>
      </c>
      <c r="AD68" s="158"/>
      <c r="AE68" s="159"/>
      <c r="AF68" s="159"/>
      <c r="AG68" s="159"/>
      <c r="AH68" s="159"/>
      <c r="AI68" s="159"/>
      <c r="AJ68" s="159"/>
      <c r="AK68" s="159" t="s">
        <v>2600</v>
      </c>
      <c r="AL68" s="159"/>
      <c r="AM68" s="159"/>
      <c r="AN68" s="159" t="s">
        <v>786</v>
      </c>
      <c r="AO68" s="172" t="s">
        <v>937</v>
      </c>
      <c r="AP68" s="172"/>
      <c r="AQ68" s="172"/>
      <c r="AR68" s="178" t="s">
        <v>2618</v>
      </c>
      <c r="AS68" s="178" t="s">
        <v>2618</v>
      </c>
      <c r="AT68" s="178"/>
      <c r="AU68" s="159"/>
      <c r="AV68" s="159"/>
      <c r="AW68" s="159"/>
      <c r="AX68" s="159"/>
      <c r="AY68" s="159"/>
      <c r="AZ68" s="159"/>
      <c r="BA68" s="159"/>
      <c r="BB68" s="159"/>
      <c r="BC68" s="159"/>
      <c r="BD68" s="185" t="s">
        <v>787</v>
      </c>
      <c r="BE68" s="156" t="s">
        <v>883</v>
      </c>
      <c r="BF68" s="159" t="s">
        <v>855</v>
      </c>
      <c r="BG68" s="159" t="s">
        <v>71</v>
      </c>
      <c r="BH68" s="159" t="s">
        <v>121</v>
      </c>
      <c r="BI68" s="159" t="s">
        <v>41</v>
      </c>
      <c r="BJ68" s="156">
        <v>1</v>
      </c>
      <c r="BK68" s="156"/>
      <c r="BL68" s="156"/>
      <c r="BM68" s="162"/>
      <c r="BN68" s="162"/>
      <c r="BO68" s="162"/>
      <c r="BP68" s="162"/>
      <c r="BQ68" s="162"/>
      <c r="BR68" s="162"/>
    </row>
    <row r="69" spans="1:70" s="186" customFormat="1">
      <c r="A69" s="184" t="str">
        <f t="shared" si="0"/>
        <v>2070665</v>
      </c>
      <c r="B69" s="158" t="s">
        <v>1087</v>
      </c>
      <c r="C69" s="158" t="s">
        <v>2915</v>
      </c>
      <c r="D69" s="159" t="s">
        <v>1086</v>
      </c>
      <c r="E69" s="159"/>
      <c r="F69" s="158" t="s">
        <v>809</v>
      </c>
      <c r="G69" s="167">
        <v>30809</v>
      </c>
      <c r="H69" s="167"/>
      <c r="I69" s="159" t="s">
        <v>2569</v>
      </c>
      <c r="J69" s="159" t="s">
        <v>2619</v>
      </c>
      <c r="K69" s="159" t="s">
        <v>35</v>
      </c>
      <c r="L69" s="159" t="s">
        <v>628</v>
      </c>
      <c r="M69" s="158" t="s">
        <v>2629</v>
      </c>
      <c r="N69" s="158" t="s">
        <v>2623</v>
      </c>
      <c r="O69" s="159" t="s">
        <v>2660</v>
      </c>
      <c r="P69" s="159" t="s">
        <v>2662</v>
      </c>
      <c r="Q69" s="159" t="s">
        <v>2840</v>
      </c>
      <c r="R69" s="159" t="s">
        <v>2863</v>
      </c>
      <c r="S69" s="159"/>
      <c r="T69" s="159"/>
      <c r="U69" s="158"/>
      <c r="V69" s="158"/>
      <c r="W69" s="159"/>
      <c r="X69" s="159"/>
      <c r="Y69" s="159"/>
      <c r="Z69" s="159"/>
      <c r="AA69" s="159"/>
      <c r="AB69" s="167">
        <v>39234</v>
      </c>
      <c r="AC69" s="159" t="s">
        <v>45</v>
      </c>
      <c r="AD69" s="158"/>
      <c r="AE69" s="159"/>
      <c r="AF69" s="159"/>
      <c r="AG69" s="159"/>
      <c r="AH69" s="159"/>
      <c r="AI69" s="159"/>
      <c r="AJ69" s="159"/>
      <c r="AK69" s="159" t="s">
        <v>2600</v>
      </c>
      <c r="AL69" s="159"/>
      <c r="AM69" s="159"/>
      <c r="AN69" s="159" t="s">
        <v>786</v>
      </c>
      <c r="AO69" s="172" t="s">
        <v>78</v>
      </c>
      <c r="AP69" s="172"/>
      <c r="AQ69" s="172"/>
      <c r="AR69" s="178" t="s">
        <v>2618</v>
      </c>
      <c r="AS69" s="178" t="s">
        <v>2618</v>
      </c>
      <c r="AT69" s="178"/>
      <c r="AU69" s="159"/>
      <c r="AV69" s="159"/>
      <c r="AW69" s="159"/>
      <c r="AX69" s="159"/>
      <c r="AY69" s="159"/>
      <c r="AZ69" s="159"/>
      <c r="BA69" s="159"/>
      <c r="BB69" s="159"/>
      <c r="BC69" s="159"/>
      <c r="BD69" s="185" t="s">
        <v>1002</v>
      </c>
      <c r="BE69" s="156" t="s">
        <v>1075</v>
      </c>
      <c r="BF69" s="185" t="s">
        <v>1049</v>
      </c>
      <c r="BG69" s="159" t="s">
        <v>45</v>
      </c>
      <c r="BH69" s="159" t="s">
        <v>32</v>
      </c>
      <c r="BI69" s="159" t="s">
        <v>41</v>
      </c>
      <c r="BJ69" s="156">
        <v>1</v>
      </c>
      <c r="BK69" s="156"/>
      <c r="BL69" s="156"/>
      <c r="BM69" s="162"/>
      <c r="BN69" s="162"/>
      <c r="BO69" s="162"/>
      <c r="BP69" s="162"/>
      <c r="BQ69" s="162"/>
      <c r="BR69" s="162"/>
    </row>
    <row r="70" spans="1:70">
      <c r="A70" s="184" t="str">
        <f t="shared" ref="A70:A133" si="1">IF(AC70="Tetap","1",IF(AC70="Kontrak","2",IF(AC70="Harian Lepas","3",IF(AC70="Borongan","4"))))&amp;TEXT(AB70,"YY")&amp;TEXT(AB70,"MM")&amp;TEXT(C70,"00")</f>
        <v>3070666</v>
      </c>
      <c r="B70" s="158" t="s">
        <v>1216</v>
      </c>
      <c r="C70" s="158" t="s">
        <v>2916</v>
      </c>
      <c r="D70" s="159" t="s">
        <v>1215</v>
      </c>
      <c r="E70" s="159"/>
      <c r="F70" s="158" t="s">
        <v>1218</v>
      </c>
      <c r="G70" s="167">
        <v>30683</v>
      </c>
      <c r="H70" s="167"/>
      <c r="I70" s="159" t="s">
        <v>2569</v>
      </c>
      <c r="J70" s="159" t="s">
        <v>2619</v>
      </c>
      <c r="K70" s="159" t="s">
        <v>35</v>
      </c>
      <c r="L70" s="159" t="s">
        <v>1217</v>
      </c>
      <c r="M70" s="158" t="s">
        <v>2634</v>
      </c>
      <c r="N70" s="158" t="s">
        <v>2623</v>
      </c>
      <c r="O70" s="159" t="s">
        <v>2680</v>
      </c>
      <c r="P70" s="159" t="s">
        <v>2662</v>
      </c>
      <c r="Q70" s="159" t="s">
        <v>2840</v>
      </c>
      <c r="R70" s="159" t="s">
        <v>2863</v>
      </c>
      <c r="S70" s="159"/>
      <c r="T70" s="159"/>
      <c r="U70" s="158"/>
      <c r="V70" s="158"/>
      <c r="W70" s="159"/>
      <c r="X70" s="159"/>
      <c r="Y70" s="159"/>
      <c r="Z70" s="159"/>
      <c r="AA70" s="159"/>
      <c r="AB70" s="167">
        <v>39234</v>
      </c>
      <c r="AC70" s="159" t="s">
        <v>71</v>
      </c>
      <c r="AD70" s="158"/>
      <c r="AE70" s="159"/>
      <c r="AF70" s="159"/>
      <c r="AG70" s="159"/>
      <c r="AH70" s="159"/>
      <c r="AI70" s="159"/>
      <c r="AJ70" s="159"/>
      <c r="AK70" s="159" t="s">
        <v>2600</v>
      </c>
      <c r="AL70" s="159"/>
      <c r="AM70" s="159"/>
      <c r="AN70" s="159" t="s">
        <v>786</v>
      </c>
      <c r="AO70" s="172" t="s">
        <v>937</v>
      </c>
      <c r="AP70" s="172"/>
      <c r="AQ70" s="172"/>
      <c r="AR70" s="178" t="s">
        <v>2618</v>
      </c>
      <c r="AS70" s="178" t="s">
        <v>2618</v>
      </c>
      <c r="BD70" s="185" t="s">
        <v>1002</v>
      </c>
      <c r="BE70" s="156" t="s">
        <v>1092</v>
      </c>
      <c r="BF70" s="185" t="s">
        <v>2333</v>
      </c>
      <c r="BG70" s="159" t="s">
        <v>71</v>
      </c>
      <c r="BH70" s="159" t="s">
        <v>158</v>
      </c>
      <c r="BI70" s="159" t="s">
        <v>41</v>
      </c>
      <c r="BJ70" s="156">
        <v>1</v>
      </c>
      <c r="BK70" s="156"/>
      <c r="BL70" s="156"/>
    </row>
    <row r="71" spans="1:70">
      <c r="A71" s="184" t="str">
        <f t="shared" si="1"/>
        <v>3070667</v>
      </c>
      <c r="B71" s="158" t="s">
        <v>1257</v>
      </c>
      <c r="C71" s="158" t="s">
        <v>2917</v>
      </c>
      <c r="D71" s="159" t="s">
        <v>1256</v>
      </c>
      <c r="E71" s="159"/>
      <c r="F71" s="158" t="s">
        <v>1258</v>
      </c>
      <c r="G71" s="167">
        <v>31880</v>
      </c>
      <c r="H71" s="167"/>
      <c r="I71" s="159" t="s">
        <v>2569</v>
      </c>
      <c r="J71" s="159" t="s">
        <v>2619</v>
      </c>
      <c r="K71" s="159" t="s">
        <v>35</v>
      </c>
      <c r="L71" s="159" t="s">
        <v>617</v>
      </c>
      <c r="M71" s="158" t="s">
        <v>2623</v>
      </c>
      <c r="N71" s="158" t="s">
        <v>2621</v>
      </c>
      <c r="O71" s="159" t="s">
        <v>2657</v>
      </c>
      <c r="P71" s="159" t="s">
        <v>2662</v>
      </c>
      <c r="Q71" s="159" t="s">
        <v>2840</v>
      </c>
      <c r="R71" s="159" t="s">
        <v>2863</v>
      </c>
      <c r="S71" s="159"/>
      <c r="T71" s="159"/>
      <c r="U71" s="158"/>
      <c r="V71" s="158"/>
      <c r="W71" s="159"/>
      <c r="X71" s="159"/>
      <c r="Y71" s="159"/>
      <c r="Z71" s="159"/>
      <c r="AA71" s="159"/>
      <c r="AB71" s="167">
        <v>39234</v>
      </c>
      <c r="AC71" s="159" t="s">
        <v>71</v>
      </c>
      <c r="AD71" s="158"/>
      <c r="AE71" s="159"/>
      <c r="AF71" s="159"/>
      <c r="AG71" s="159"/>
      <c r="AH71" s="159"/>
      <c r="AI71" s="159"/>
      <c r="AJ71" s="159"/>
      <c r="AK71" s="159" t="s">
        <v>2600</v>
      </c>
      <c r="AL71" s="159"/>
      <c r="AM71" s="159"/>
      <c r="AN71" s="159" t="s">
        <v>786</v>
      </c>
      <c r="AO71" s="172" t="s">
        <v>937</v>
      </c>
      <c r="AP71" s="172"/>
      <c r="AQ71" s="172"/>
      <c r="AR71" s="178" t="s">
        <v>2618</v>
      </c>
      <c r="AS71" s="178" t="s">
        <v>2618</v>
      </c>
      <c r="BD71" s="185" t="s">
        <v>1002</v>
      </c>
      <c r="BE71" s="156" t="s">
        <v>1145</v>
      </c>
      <c r="BF71" s="185" t="s">
        <v>1042</v>
      </c>
      <c r="BG71" s="159" t="s">
        <v>71</v>
      </c>
      <c r="BH71" s="159" t="s">
        <v>46</v>
      </c>
      <c r="BI71" s="159" t="s">
        <v>41</v>
      </c>
      <c r="BJ71" s="156">
        <v>1</v>
      </c>
      <c r="BK71" s="156"/>
      <c r="BL71" s="156"/>
      <c r="BM71" s="186"/>
      <c r="BN71" s="186"/>
      <c r="BO71" s="186"/>
      <c r="BP71" s="186"/>
      <c r="BQ71" s="186"/>
      <c r="BR71" s="186"/>
    </row>
    <row r="72" spans="1:70">
      <c r="A72" s="184" t="str">
        <f t="shared" si="1"/>
        <v>4070668</v>
      </c>
      <c r="B72" s="158" t="s">
        <v>1340</v>
      </c>
      <c r="C72" s="158" t="s">
        <v>2918</v>
      </c>
      <c r="D72" s="159" t="s">
        <v>1339</v>
      </c>
      <c r="E72" s="159"/>
      <c r="F72" s="158" t="s">
        <v>1341</v>
      </c>
      <c r="G72" s="167">
        <v>29754</v>
      </c>
      <c r="H72" s="167"/>
      <c r="I72" s="159" t="s">
        <v>2569</v>
      </c>
      <c r="J72" s="159" t="s">
        <v>2619</v>
      </c>
      <c r="K72" s="159" t="s">
        <v>165</v>
      </c>
      <c r="L72" s="159" t="s">
        <v>155</v>
      </c>
      <c r="M72" s="158" t="s">
        <v>2629</v>
      </c>
      <c r="N72" s="158" t="s">
        <v>2623</v>
      </c>
      <c r="O72" s="159" t="s">
        <v>2668</v>
      </c>
      <c r="P72" s="159" t="s">
        <v>2662</v>
      </c>
      <c r="Q72" s="159" t="s">
        <v>2840</v>
      </c>
      <c r="R72" s="159" t="s">
        <v>2863</v>
      </c>
      <c r="S72" s="159"/>
      <c r="T72" s="159"/>
      <c r="U72" s="158"/>
      <c r="V72" s="158"/>
      <c r="W72" s="159"/>
      <c r="X72" s="159"/>
      <c r="Y72" s="159"/>
      <c r="Z72" s="159"/>
      <c r="AA72" s="159"/>
      <c r="AB72" s="167">
        <v>39234</v>
      </c>
      <c r="AC72" s="159" t="s">
        <v>129</v>
      </c>
      <c r="AD72" s="158"/>
      <c r="AE72" s="159"/>
      <c r="AF72" s="159"/>
      <c r="AG72" s="159"/>
      <c r="AH72" s="159"/>
      <c r="AI72" s="159"/>
      <c r="AJ72" s="159"/>
      <c r="AK72" s="159" t="s">
        <v>2600</v>
      </c>
      <c r="AL72" s="159"/>
      <c r="AM72" s="159"/>
      <c r="AN72" s="159" t="s">
        <v>786</v>
      </c>
      <c r="AO72" s="172" t="s">
        <v>115</v>
      </c>
      <c r="AP72" s="172"/>
      <c r="AQ72" s="172"/>
      <c r="AR72" s="178" t="s">
        <v>2618</v>
      </c>
      <c r="AS72" s="178" t="s">
        <v>2618</v>
      </c>
      <c r="BD72" s="185" t="s">
        <v>1002</v>
      </c>
      <c r="BE72" s="156" t="s">
        <v>1092</v>
      </c>
      <c r="BF72" s="185" t="s">
        <v>1042</v>
      </c>
      <c r="BG72" s="159" t="s">
        <v>129</v>
      </c>
      <c r="BH72" s="159" t="s">
        <v>158</v>
      </c>
      <c r="BI72" s="159" t="s">
        <v>41</v>
      </c>
      <c r="BJ72" s="156">
        <v>1</v>
      </c>
      <c r="BK72" s="156"/>
      <c r="BL72" s="156"/>
    </row>
    <row r="73" spans="1:70">
      <c r="A73" s="184" t="str">
        <f t="shared" si="1"/>
        <v>4070769</v>
      </c>
      <c r="B73" s="158" t="s">
        <v>499</v>
      </c>
      <c r="C73" s="158" t="s">
        <v>2919</v>
      </c>
      <c r="D73" s="159" t="s">
        <v>498</v>
      </c>
      <c r="E73" s="159"/>
      <c r="F73" s="158" t="s">
        <v>501</v>
      </c>
      <c r="G73" s="167">
        <v>26854</v>
      </c>
      <c r="H73" s="167"/>
      <c r="I73" s="159" t="s">
        <v>2569</v>
      </c>
      <c r="J73" s="159" t="s">
        <v>2619</v>
      </c>
      <c r="K73" s="159" t="s">
        <v>35</v>
      </c>
      <c r="L73" s="159" t="s">
        <v>500</v>
      </c>
      <c r="M73" s="158" t="s">
        <v>2623</v>
      </c>
      <c r="N73" s="158" t="s">
        <v>2621</v>
      </c>
      <c r="O73" s="159" t="s">
        <v>2681</v>
      </c>
      <c r="P73" s="159" t="s">
        <v>2662</v>
      </c>
      <c r="Q73" s="159" t="s">
        <v>2840</v>
      </c>
      <c r="R73" s="159" t="s">
        <v>2863</v>
      </c>
      <c r="S73" s="159"/>
      <c r="T73" s="159"/>
      <c r="U73" s="158"/>
      <c r="V73" s="158"/>
      <c r="W73" s="159"/>
      <c r="X73" s="159"/>
      <c r="Y73" s="159"/>
      <c r="Z73" s="159"/>
      <c r="AA73" s="159"/>
      <c r="AB73" s="167">
        <v>39264</v>
      </c>
      <c r="AC73" s="159" t="s">
        <v>129</v>
      </c>
      <c r="AD73" s="158"/>
      <c r="AE73" s="159"/>
      <c r="AF73" s="159"/>
      <c r="AG73" s="159"/>
      <c r="AH73" s="159"/>
      <c r="AI73" s="159"/>
      <c r="AJ73" s="159"/>
      <c r="AK73" s="159" t="s">
        <v>2600</v>
      </c>
      <c r="AL73" s="159"/>
      <c r="AM73" s="159"/>
      <c r="AN73" s="159" t="s">
        <v>392</v>
      </c>
      <c r="AO73" s="172" t="s">
        <v>115</v>
      </c>
      <c r="AP73" s="172"/>
      <c r="AQ73" s="172"/>
      <c r="AR73" s="178" t="s">
        <v>2618</v>
      </c>
      <c r="AS73" s="178" t="s">
        <v>2618</v>
      </c>
      <c r="BD73" s="159" t="s">
        <v>401</v>
      </c>
      <c r="BF73" s="159"/>
      <c r="BG73" s="159" t="s">
        <v>129</v>
      </c>
      <c r="BH73" s="159" t="s">
        <v>121</v>
      </c>
      <c r="BI73" s="159" t="s">
        <v>41</v>
      </c>
      <c r="BJ73" s="156">
        <v>1</v>
      </c>
      <c r="BK73" s="156"/>
      <c r="BL73" s="156"/>
      <c r="BM73" s="186"/>
      <c r="BN73" s="186"/>
      <c r="BO73" s="186"/>
      <c r="BP73" s="186"/>
      <c r="BQ73" s="186"/>
      <c r="BR73" s="186"/>
    </row>
    <row r="74" spans="1:70">
      <c r="A74" s="184" t="str">
        <f t="shared" si="1"/>
        <v>2070770</v>
      </c>
      <c r="B74" s="158" t="s">
        <v>1099</v>
      </c>
      <c r="C74" s="158" t="s">
        <v>2920</v>
      </c>
      <c r="D74" s="159" t="s">
        <v>1098</v>
      </c>
      <c r="E74" s="159"/>
      <c r="F74" s="158" t="s">
        <v>1100</v>
      </c>
      <c r="G74" s="167">
        <v>32370</v>
      </c>
      <c r="H74" s="167"/>
      <c r="I74" s="159" t="s">
        <v>2569</v>
      </c>
      <c r="J74" s="159" t="s">
        <v>2619</v>
      </c>
      <c r="K74" s="159" t="s">
        <v>35</v>
      </c>
      <c r="L74" s="159" t="s">
        <v>755</v>
      </c>
      <c r="M74" s="158" t="s">
        <v>2628</v>
      </c>
      <c r="N74" s="158" t="s">
        <v>2623</v>
      </c>
      <c r="O74" s="159" t="s">
        <v>2660</v>
      </c>
      <c r="P74" s="159" t="s">
        <v>2662</v>
      </c>
      <c r="Q74" s="159" t="s">
        <v>2840</v>
      </c>
      <c r="R74" s="159" t="s">
        <v>2863</v>
      </c>
      <c r="S74" s="159"/>
      <c r="T74" s="159"/>
      <c r="U74" s="158"/>
      <c r="V74" s="158"/>
      <c r="W74" s="159"/>
      <c r="X74" s="159"/>
      <c r="Y74" s="159"/>
      <c r="Z74" s="159"/>
      <c r="AA74" s="159"/>
      <c r="AB74" s="167">
        <v>39264</v>
      </c>
      <c r="AC74" s="159" t="s">
        <v>45</v>
      </c>
      <c r="AD74" s="158"/>
      <c r="AE74" s="159"/>
      <c r="AF74" s="159"/>
      <c r="AG74" s="159"/>
      <c r="AH74" s="159"/>
      <c r="AI74" s="159"/>
      <c r="AJ74" s="159"/>
      <c r="AK74" s="159" t="s">
        <v>2600</v>
      </c>
      <c r="AL74" s="159"/>
      <c r="AM74" s="159"/>
      <c r="AN74" s="159" t="s">
        <v>786</v>
      </c>
      <c r="AO74" s="172" t="s">
        <v>78</v>
      </c>
      <c r="AP74" s="172"/>
      <c r="AQ74" s="172"/>
      <c r="AR74" s="178" t="s">
        <v>2618</v>
      </c>
      <c r="AS74" s="178" t="s">
        <v>2618</v>
      </c>
      <c r="BD74" s="185" t="s">
        <v>1002</v>
      </c>
      <c r="BE74" s="156" t="s">
        <v>1127</v>
      </c>
      <c r="BF74" s="185" t="s">
        <v>2333</v>
      </c>
      <c r="BG74" s="159" t="s">
        <v>45</v>
      </c>
      <c r="BH74" s="159" t="s">
        <v>46</v>
      </c>
      <c r="BI74" s="159" t="s">
        <v>41</v>
      </c>
      <c r="BJ74" s="156">
        <v>1</v>
      </c>
      <c r="BK74" s="156"/>
      <c r="BL74" s="156"/>
    </row>
    <row r="75" spans="1:70">
      <c r="A75" s="184" t="str">
        <f t="shared" si="1"/>
        <v>2070771</v>
      </c>
      <c r="B75" s="158" t="s">
        <v>409</v>
      </c>
      <c r="C75" s="158" t="s">
        <v>2921</v>
      </c>
      <c r="D75" s="159" t="s">
        <v>408</v>
      </c>
      <c r="E75" s="159"/>
      <c r="F75" s="158" t="s">
        <v>411</v>
      </c>
      <c r="G75" s="167">
        <v>33785</v>
      </c>
      <c r="H75" s="167"/>
      <c r="I75" s="159" t="s">
        <v>2569</v>
      </c>
      <c r="J75" s="159" t="s">
        <v>2619</v>
      </c>
      <c r="K75" s="159" t="s">
        <v>35</v>
      </c>
      <c r="L75" s="159" t="s">
        <v>410</v>
      </c>
      <c r="M75" s="158" t="s">
        <v>2635</v>
      </c>
      <c r="N75" s="158" t="s">
        <v>2625</v>
      </c>
      <c r="O75" s="159" t="s">
        <v>2660</v>
      </c>
      <c r="P75" s="159" t="s">
        <v>2662</v>
      </c>
      <c r="Q75" s="159" t="s">
        <v>2840</v>
      </c>
      <c r="R75" s="159" t="s">
        <v>2863</v>
      </c>
      <c r="S75" s="159"/>
      <c r="T75" s="159"/>
      <c r="U75" s="158"/>
      <c r="V75" s="158"/>
      <c r="W75" s="159"/>
      <c r="X75" s="159"/>
      <c r="Y75" s="159"/>
      <c r="Z75" s="159"/>
      <c r="AA75" s="159"/>
      <c r="AB75" s="167">
        <v>39275</v>
      </c>
      <c r="AC75" s="159" t="s">
        <v>45</v>
      </c>
      <c r="AD75" s="158"/>
      <c r="AE75" s="159"/>
      <c r="AF75" s="159"/>
      <c r="AG75" s="159"/>
      <c r="AH75" s="159"/>
      <c r="AI75" s="159"/>
      <c r="AJ75" s="159"/>
      <c r="AK75" s="159" t="s">
        <v>2600</v>
      </c>
      <c r="AL75" s="159"/>
      <c r="AM75" s="159"/>
      <c r="AN75" s="159" t="s">
        <v>392</v>
      </c>
      <c r="AO75" s="172" t="s">
        <v>115</v>
      </c>
      <c r="AP75" s="172"/>
      <c r="AQ75" s="172"/>
      <c r="AR75" s="178" t="s">
        <v>2618</v>
      </c>
      <c r="AS75" s="178" t="s">
        <v>2618</v>
      </c>
      <c r="BD75" s="159" t="s">
        <v>401</v>
      </c>
      <c r="BF75" s="159"/>
      <c r="BG75" s="159" t="s">
        <v>45</v>
      </c>
      <c r="BH75" s="159" t="s">
        <v>121</v>
      </c>
      <c r="BI75" s="159" t="s">
        <v>41</v>
      </c>
      <c r="BJ75" s="156">
        <v>3</v>
      </c>
      <c r="BK75" s="156"/>
      <c r="BL75" s="156"/>
    </row>
    <row r="76" spans="1:70">
      <c r="A76" s="184" t="str">
        <f t="shared" si="1"/>
        <v>3070972</v>
      </c>
      <c r="B76" s="158" t="s">
        <v>668</v>
      </c>
      <c r="C76" s="158" t="s">
        <v>2922</v>
      </c>
      <c r="D76" s="159" t="s">
        <v>667</v>
      </c>
      <c r="E76" s="159"/>
      <c r="F76" s="158" t="s">
        <v>670</v>
      </c>
      <c r="G76" s="167">
        <v>31391</v>
      </c>
      <c r="H76" s="167"/>
      <c r="I76" s="159" t="s">
        <v>2569</v>
      </c>
      <c r="J76" s="159" t="s">
        <v>2619</v>
      </c>
      <c r="K76" s="159" t="s">
        <v>35</v>
      </c>
      <c r="L76" s="159" t="s">
        <v>669</v>
      </c>
      <c r="M76" s="158" t="s">
        <v>2626</v>
      </c>
      <c r="N76" s="158" t="s">
        <v>2621</v>
      </c>
      <c r="O76" s="159" t="s">
        <v>2668</v>
      </c>
      <c r="P76" s="159" t="s">
        <v>2662</v>
      </c>
      <c r="Q76" s="159" t="s">
        <v>2840</v>
      </c>
      <c r="R76" s="159" t="s">
        <v>2863</v>
      </c>
      <c r="S76" s="159"/>
      <c r="T76" s="159"/>
      <c r="U76" s="158"/>
      <c r="V76" s="158"/>
      <c r="W76" s="159"/>
      <c r="X76" s="159"/>
      <c r="Y76" s="159"/>
      <c r="Z76" s="159"/>
      <c r="AA76" s="159"/>
      <c r="AB76" s="167">
        <v>39330</v>
      </c>
      <c r="AC76" s="159" t="s">
        <v>71</v>
      </c>
      <c r="AD76" s="158"/>
      <c r="AE76" s="159"/>
      <c r="AF76" s="159"/>
      <c r="AG76" s="159"/>
      <c r="AH76" s="159"/>
      <c r="AI76" s="159"/>
      <c r="AJ76" s="159"/>
      <c r="AK76" s="159" t="s">
        <v>2600</v>
      </c>
      <c r="AL76" s="159"/>
      <c r="AM76" s="159"/>
      <c r="AN76" s="159" t="s">
        <v>553</v>
      </c>
      <c r="AO76" s="172" t="s">
        <v>564</v>
      </c>
      <c r="AP76" s="172"/>
      <c r="AQ76" s="172"/>
      <c r="AR76" s="178" t="s">
        <v>2618</v>
      </c>
      <c r="AS76" s="178" t="s">
        <v>2618</v>
      </c>
      <c r="BD76" s="162" t="s">
        <v>595</v>
      </c>
      <c r="BE76" s="156" t="s">
        <v>595</v>
      </c>
      <c r="BF76" s="159"/>
      <c r="BG76" s="159" t="s">
        <v>71</v>
      </c>
      <c r="BH76" s="159" t="s">
        <v>158</v>
      </c>
      <c r="BI76" s="159" t="s">
        <v>41</v>
      </c>
      <c r="BJ76" s="156">
        <v>1</v>
      </c>
      <c r="BK76" s="156"/>
      <c r="BL76" s="156"/>
    </row>
    <row r="77" spans="1:70">
      <c r="A77" s="184" t="str">
        <f t="shared" si="1"/>
        <v>4080473</v>
      </c>
      <c r="B77" s="158" t="s">
        <v>517</v>
      </c>
      <c r="C77" s="158" t="s">
        <v>2923</v>
      </c>
      <c r="D77" s="159" t="s">
        <v>516</v>
      </c>
      <c r="E77" s="159"/>
      <c r="F77" s="158" t="s">
        <v>518</v>
      </c>
      <c r="G77" s="167">
        <v>31878</v>
      </c>
      <c r="H77" s="167"/>
      <c r="I77" s="159" t="s">
        <v>2569</v>
      </c>
      <c r="J77" s="159" t="s">
        <v>2619</v>
      </c>
      <c r="K77" s="159" t="s">
        <v>35</v>
      </c>
      <c r="L77" s="158" t="s">
        <v>410</v>
      </c>
      <c r="M77" s="158" t="s">
        <v>2635</v>
      </c>
      <c r="N77" s="158" t="s">
        <v>2625</v>
      </c>
      <c r="O77" s="159" t="s">
        <v>2660</v>
      </c>
      <c r="P77" s="159" t="s">
        <v>2662</v>
      </c>
      <c r="Q77" s="159" t="s">
        <v>2840</v>
      </c>
      <c r="R77" s="159" t="s">
        <v>2863</v>
      </c>
      <c r="S77" s="159"/>
      <c r="T77" s="159"/>
      <c r="U77" s="158"/>
      <c r="V77" s="158"/>
      <c r="W77" s="159"/>
      <c r="X77" s="159"/>
      <c r="Y77" s="159"/>
      <c r="Z77" s="159"/>
      <c r="AA77" s="159"/>
      <c r="AB77" s="167">
        <v>39539</v>
      </c>
      <c r="AC77" s="159" t="s">
        <v>129</v>
      </c>
      <c r="AD77" s="158"/>
      <c r="AE77" s="159"/>
      <c r="AF77" s="159"/>
      <c r="AG77" s="159"/>
      <c r="AH77" s="159"/>
      <c r="AI77" s="159"/>
      <c r="AJ77" s="159"/>
      <c r="AK77" s="159" t="s">
        <v>2600</v>
      </c>
      <c r="AL77" s="159"/>
      <c r="AM77" s="159"/>
      <c r="AN77" s="159" t="s">
        <v>392</v>
      </c>
      <c r="AO77" s="172" t="s">
        <v>115</v>
      </c>
      <c r="AP77" s="172"/>
      <c r="AQ77" s="172"/>
      <c r="AR77" s="178" t="s">
        <v>2618</v>
      </c>
      <c r="AS77" s="178" t="s">
        <v>2618</v>
      </c>
      <c r="BD77" s="159" t="s">
        <v>401</v>
      </c>
      <c r="BF77" s="159"/>
      <c r="BG77" s="159" t="s">
        <v>129</v>
      </c>
      <c r="BH77" s="159" t="s">
        <v>158</v>
      </c>
      <c r="BI77" s="159" t="s">
        <v>41</v>
      </c>
      <c r="BJ77" s="156">
        <v>1</v>
      </c>
      <c r="BK77" s="156"/>
      <c r="BL77" s="156"/>
    </row>
    <row r="78" spans="1:70">
      <c r="A78" s="184" t="str">
        <f t="shared" si="1"/>
        <v>3080474</v>
      </c>
      <c r="B78" s="158" t="s">
        <v>1205</v>
      </c>
      <c r="C78" s="158" t="s">
        <v>2924</v>
      </c>
      <c r="D78" s="159" t="s">
        <v>1204</v>
      </c>
      <c r="E78" s="159"/>
      <c r="F78" s="158" t="s">
        <v>1206</v>
      </c>
      <c r="G78" s="167">
        <v>33822</v>
      </c>
      <c r="H78" s="167"/>
      <c r="I78" s="159" t="s">
        <v>2569</v>
      </c>
      <c r="J78" s="159" t="s">
        <v>2619</v>
      </c>
      <c r="K78" s="159" t="s">
        <v>35</v>
      </c>
      <c r="L78" s="159" t="s">
        <v>669</v>
      </c>
      <c r="M78" s="158" t="s">
        <v>2626</v>
      </c>
      <c r="N78" s="158" t="s">
        <v>2621</v>
      </c>
      <c r="O78" s="159" t="s">
        <v>2668</v>
      </c>
      <c r="P78" s="159" t="s">
        <v>2662</v>
      </c>
      <c r="Q78" s="159" t="s">
        <v>2840</v>
      </c>
      <c r="R78" s="159" t="s">
        <v>2863</v>
      </c>
      <c r="S78" s="159"/>
      <c r="T78" s="159"/>
      <c r="U78" s="158"/>
      <c r="V78" s="158"/>
      <c r="W78" s="159"/>
      <c r="X78" s="159"/>
      <c r="Y78" s="159"/>
      <c r="Z78" s="159"/>
      <c r="AA78" s="159"/>
      <c r="AB78" s="167">
        <v>39543</v>
      </c>
      <c r="AC78" s="159" t="s">
        <v>71</v>
      </c>
      <c r="AD78" s="158"/>
      <c r="AE78" s="159"/>
      <c r="AF78" s="159"/>
      <c r="AG78" s="159"/>
      <c r="AH78" s="159"/>
      <c r="AI78" s="159"/>
      <c r="AJ78" s="159"/>
      <c r="AK78" s="159" t="s">
        <v>2600</v>
      </c>
      <c r="AL78" s="159"/>
      <c r="AM78" s="159"/>
      <c r="AN78" s="159" t="s">
        <v>786</v>
      </c>
      <c r="AO78" s="172" t="s">
        <v>937</v>
      </c>
      <c r="AP78" s="172"/>
      <c r="AQ78" s="172"/>
      <c r="AR78" s="178" t="s">
        <v>2618</v>
      </c>
      <c r="AS78" s="178" t="s">
        <v>2618</v>
      </c>
      <c r="BD78" s="185" t="s">
        <v>1002</v>
      </c>
      <c r="BE78" s="156" t="s">
        <v>1075</v>
      </c>
      <c r="BF78" s="185" t="s">
        <v>1049</v>
      </c>
      <c r="BG78" s="159" t="s">
        <v>71</v>
      </c>
      <c r="BH78" s="159" t="s">
        <v>121</v>
      </c>
      <c r="BI78" s="159" t="s">
        <v>41</v>
      </c>
      <c r="BJ78" s="156">
        <v>1</v>
      </c>
      <c r="BK78" s="156"/>
      <c r="BL78" s="156"/>
    </row>
    <row r="79" spans="1:70">
      <c r="A79" s="184" t="str">
        <f t="shared" si="1"/>
        <v>2080675</v>
      </c>
      <c r="B79" s="158" t="s">
        <v>64</v>
      </c>
      <c r="C79" s="158" t="s">
        <v>2925</v>
      </c>
      <c r="D79" s="159" t="s">
        <v>62</v>
      </c>
      <c r="E79" s="159"/>
      <c r="F79" s="158" t="s">
        <v>66</v>
      </c>
      <c r="G79" s="167">
        <v>31563</v>
      </c>
      <c r="H79" s="167"/>
      <c r="I79" s="159" t="s">
        <v>2570</v>
      </c>
      <c r="J79" s="159" t="s">
        <v>2619</v>
      </c>
      <c r="K79" s="159" t="s">
        <v>35</v>
      </c>
      <c r="L79" s="159" t="s">
        <v>65</v>
      </c>
      <c r="M79" s="158" t="s">
        <v>2622</v>
      </c>
      <c r="N79" s="158" t="s">
        <v>2621</v>
      </c>
      <c r="O79" s="159" t="s">
        <v>2683</v>
      </c>
      <c r="P79" s="159" t="s">
        <v>2662</v>
      </c>
      <c r="Q79" s="159" t="s">
        <v>2840</v>
      </c>
      <c r="R79" s="159" t="s">
        <v>2863</v>
      </c>
      <c r="S79" s="159"/>
      <c r="T79" s="159"/>
      <c r="U79" s="158"/>
      <c r="V79" s="158"/>
      <c r="W79" s="159"/>
      <c r="X79" s="159"/>
      <c r="Y79" s="159"/>
      <c r="Z79" s="159"/>
      <c r="AA79" s="159"/>
      <c r="AB79" s="167">
        <v>39600</v>
      </c>
      <c r="AC79" s="159" t="s">
        <v>45</v>
      </c>
      <c r="AD79" s="158"/>
      <c r="AE79" s="159"/>
      <c r="AF79" s="159"/>
      <c r="AG79" s="159"/>
      <c r="AH79" s="159"/>
      <c r="AI79" s="159"/>
      <c r="AJ79" s="159"/>
      <c r="AK79" s="159" t="s">
        <v>2600</v>
      </c>
      <c r="AL79" s="159"/>
      <c r="AM79" s="159"/>
      <c r="AN79" s="159" t="s">
        <v>29</v>
      </c>
      <c r="AO79" s="172" t="s">
        <v>63</v>
      </c>
      <c r="AP79" s="172"/>
      <c r="AQ79" s="172"/>
      <c r="AR79" s="178" t="s">
        <v>2618</v>
      </c>
      <c r="AS79" s="178" t="s">
        <v>2618</v>
      </c>
      <c r="BD79" s="159"/>
      <c r="BF79" s="159"/>
      <c r="BG79" s="159" t="s">
        <v>45</v>
      </c>
      <c r="BH79" s="159" t="s">
        <v>32</v>
      </c>
      <c r="BI79" s="159" t="s">
        <v>41</v>
      </c>
      <c r="BJ79" s="156">
        <v>1</v>
      </c>
      <c r="BK79" s="156"/>
      <c r="BL79" s="156"/>
    </row>
    <row r="80" spans="1:70">
      <c r="A80" s="184" t="str">
        <f t="shared" si="1"/>
        <v>2080676</v>
      </c>
      <c r="B80" s="158" t="s">
        <v>707</v>
      </c>
      <c r="C80" s="158" t="s">
        <v>2926</v>
      </c>
      <c r="D80" s="159" t="s">
        <v>706</v>
      </c>
      <c r="E80" s="159"/>
      <c r="F80" s="158" t="s">
        <v>709</v>
      </c>
      <c r="G80" s="167">
        <v>30424</v>
      </c>
      <c r="H80" s="167"/>
      <c r="I80" s="159" t="s">
        <v>2569</v>
      </c>
      <c r="J80" s="159" t="s">
        <v>2619</v>
      </c>
      <c r="K80" s="159" t="s">
        <v>35</v>
      </c>
      <c r="L80" s="159" t="s">
        <v>708</v>
      </c>
      <c r="M80" s="158" t="s">
        <v>2629</v>
      </c>
      <c r="N80" s="158" t="s">
        <v>2638</v>
      </c>
      <c r="O80" s="159" t="s">
        <v>2682</v>
      </c>
      <c r="P80" s="159" t="s">
        <v>2790</v>
      </c>
      <c r="Q80" s="159" t="s">
        <v>2844</v>
      </c>
      <c r="R80" s="159" t="s">
        <v>2863</v>
      </c>
      <c r="S80" s="159"/>
      <c r="T80" s="159"/>
      <c r="U80" s="158"/>
      <c r="V80" s="158"/>
      <c r="W80" s="159"/>
      <c r="X80" s="159"/>
      <c r="Y80" s="159"/>
      <c r="Z80" s="159"/>
      <c r="AA80" s="159"/>
      <c r="AB80" s="167">
        <v>39600</v>
      </c>
      <c r="AC80" s="159" t="s">
        <v>45</v>
      </c>
      <c r="AD80" s="158"/>
      <c r="AE80" s="159"/>
      <c r="AF80" s="159"/>
      <c r="AG80" s="159"/>
      <c r="AH80" s="159"/>
      <c r="AI80" s="159"/>
      <c r="AJ80" s="159"/>
      <c r="AK80" s="159" t="s">
        <v>2600</v>
      </c>
      <c r="AL80" s="159"/>
      <c r="AM80" s="159"/>
      <c r="AN80" s="185" t="s">
        <v>684</v>
      </c>
      <c r="AO80" s="172" t="s">
        <v>78</v>
      </c>
      <c r="AP80" s="172"/>
      <c r="AQ80" s="172"/>
      <c r="AR80" s="178" t="s">
        <v>2618</v>
      </c>
      <c r="AS80" s="178" t="s">
        <v>2618</v>
      </c>
      <c r="BD80" s="159" t="s">
        <v>704</v>
      </c>
      <c r="BF80" s="159"/>
      <c r="BG80" s="159" t="s">
        <v>45</v>
      </c>
      <c r="BH80" s="159" t="s">
        <v>32</v>
      </c>
      <c r="BI80" s="159" t="s">
        <v>41</v>
      </c>
      <c r="BJ80" s="156">
        <v>3</v>
      </c>
      <c r="BK80" s="156"/>
      <c r="BL80" s="156"/>
    </row>
    <row r="81" spans="1:70" s="190" customFormat="1">
      <c r="A81" s="184" t="str">
        <f t="shared" si="1"/>
        <v>2080677</v>
      </c>
      <c r="B81" s="158" t="s">
        <v>754</v>
      </c>
      <c r="C81" s="158" t="s">
        <v>2927</v>
      </c>
      <c r="D81" s="159" t="s">
        <v>752</v>
      </c>
      <c r="E81" s="159"/>
      <c r="F81" s="158" t="s">
        <v>756</v>
      </c>
      <c r="G81" s="167">
        <v>30895</v>
      </c>
      <c r="H81" s="167"/>
      <c r="I81" s="159" t="s">
        <v>2569</v>
      </c>
      <c r="J81" s="159" t="s">
        <v>2619</v>
      </c>
      <c r="K81" s="159" t="s">
        <v>35</v>
      </c>
      <c r="L81" s="159" t="s">
        <v>755</v>
      </c>
      <c r="M81" s="158" t="s">
        <v>2628</v>
      </c>
      <c r="N81" s="158" t="s">
        <v>2626</v>
      </c>
      <c r="O81" s="159" t="s">
        <v>2660</v>
      </c>
      <c r="P81" s="159" t="s">
        <v>2662</v>
      </c>
      <c r="Q81" s="159" t="s">
        <v>2840</v>
      </c>
      <c r="R81" s="159" t="s">
        <v>2863</v>
      </c>
      <c r="S81" s="159"/>
      <c r="T81" s="159"/>
      <c r="U81" s="158"/>
      <c r="V81" s="158"/>
      <c r="W81" s="159"/>
      <c r="X81" s="159"/>
      <c r="Y81" s="159"/>
      <c r="Z81" s="159"/>
      <c r="AA81" s="159"/>
      <c r="AB81" s="167">
        <v>39600</v>
      </c>
      <c r="AC81" s="159" t="s">
        <v>45</v>
      </c>
      <c r="AD81" s="158"/>
      <c r="AE81" s="159"/>
      <c r="AF81" s="159"/>
      <c r="AG81" s="159"/>
      <c r="AH81" s="159"/>
      <c r="AI81" s="159"/>
      <c r="AJ81" s="159"/>
      <c r="AK81" s="159" t="s">
        <v>2600</v>
      </c>
      <c r="AL81" s="159"/>
      <c r="AM81" s="159"/>
      <c r="AN81" s="185" t="s">
        <v>684</v>
      </c>
      <c r="AO81" s="172" t="s">
        <v>78</v>
      </c>
      <c r="AP81" s="172"/>
      <c r="AQ81" s="172"/>
      <c r="AR81" s="178" t="s">
        <v>2618</v>
      </c>
      <c r="AS81" s="178" t="s">
        <v>2618</v>
      </c>
      <c r="AT81" s="178"/>
      <c r="AU81" s="159"/>
      <c r="AV81" s="159"/>
      <c r="AW81" s="159"/>
      <c r="AX81" s="159"/>
      <c r="AY81" s="159"/>
      <c r="AZ81" s="159"/>
      <c r="BA81" s="159"/>
      <c r="BB81" s="159"/>
      <c r="BC81" s="159"/>
      <c r="BD81" s="159" t="s">
        <v>733</v>
      </c>
      <c r="BE81" s="156"/>
      <c r="BF81" s="159"/>
      <c r="BG81" s="159" t="s">
        <v>45</v>
      </c>
      <c r="BH81" s="159" t="s">
        <v>46</v>
      </c>
      <c r="BI81" s="159" t="s">
        <v>41</v>
      </c>
      <c r="BJ81" s="156">
        <v>3</v>
      </c>
      <c r="BK81" s="156"/>
      <c r="BL81" s="156"/>
      <c r="BM81" s="162"/>
      <c r="BN81" s="162"/>
      <c r="BO81" s="162"/>
      <c r="BP81" s="162"/>
      <c r="BQ81" s="162"/>
      <c r="BR81" s="162"/>
    </row>
    <row r="82" spans="1:70">
      <c r="A82" s="184" t="str">
        <f t="shared" si="1"/>
        <v>2080678</v>
      </c>
      <c r="B82" s="158" t="s">
        <v>895</v>
      </c>
      <c r="C82" s="158" t="s">
        <v>2928</v>
      </c>
      <c r="D82" s="159" t="s">
        <v>894</v>
      </c>
      <c r="E82" s="159"/>
      <c r="F82" s="158" t="s">
        <v>896</v>
      </c>
      <c r="G82" s="167">
        <v>31060</v>
      </c>
      <c r="H82" s="167"/>
      <c r="I82" s="159" t="s">
        <v>2569</v>
      </c>
      <c r="J82" s="159" t="s">
        <v>2619</v>
      </c>
      <c r="K82" s="159" t="s">
        <v>35</v>
      </c>
      <c r="L82" s="159" t="s">
        <v>238</v>
      </c>
      <c r="M82" s="158" t="s">
        <v>2633</v>
      </c>
      <c r="N82" s="158" t="s">
        <v>2622</v>
      </c>
      <c r="O82" s="159" t="s">
        <v>2660</v>
      </c>
      <c r="P82" s="159" t="s">
        <v>2662</v>
      </c>
      <c r="Q82" s="159" t="s">
        <v>2840</v>
      </c>
      <c r="R82" s="159" t="s">
        <v>2863</v>
      </c>
      <c r="S82" s="159"/>
      <c r="T82" s="159"/>
      <c r="U82" s="158"/>
      <c r="V82" s="158"/>
      <c r="W82" s="159"/>
      <c r="X82" s="159"/>
      <c r="Y82" s="159"/>
      <c r="Z82" s="159"/>
      <c r="AA82" s="159"/>
      <c r="AB82" s="167">
        <v>39600</v>
      </c>
      <c r="AC82" s="159" t="s">
        <v>45</v>
      </c>
      <c r="AD82" s="158"/>
      <c r="AE82" s="159"/>
      <c r="AF82" s="159"/>
      <c r="AG82" s="159"/>
      <c r="AH82" s="159"/>
      <c r="AI82" s="159"/>
      <c r="AJ82" s="159"/>
      <c r="AK82" s="159" t="s">
        <v>2600</v>
      </c>
      <c r="AL82" s="159"/>
      <c r="AM82" s="159"/>
      <c r="AN82" s="159" t="s">
        <v>786</v>
      </c>
      <c r="AO82" s="172" t="s">
        <v>78</v>
      </c>
      <c r="AP82" s="172"/>
      <c r="AQ82" s="172"/>
      <c r="AR82" s="178" t="s">
        <v>2618</v>
      </c>
      <c r="AS82" s="178" t="s">
        <v>2618</v>
      </c>
      <c r="BD82" s="185" t="s">
        <v>787</v>
      </c>
      <c r="BE82" s="156" t="s">
        <v>883</v>
      </c>
      <c r="BF82" s="159" t="s">
        <v>841</v>
      </c>
      <c r="BG82" s="159" t="s">
        <v>45</v>
      </c>
      <c r="BH82" s="159" t="s">
        <v>121</v>
      </c>
      <c r="BI82" s="159" t="s">
        <v>41</v>
      </c>
      <c r="BJ82" s="156">
        <v>1</v>
      </c>
      <c r="BK82" s="156"/>
      <c r="BL82" s="156"/>
      <c r="BM82" s="190"/>
      <c r="BN82" s="190"/>
      <c r="BO82" s="190"/>
      <c r="BP82" s="190"/>
      <c r="BQ82" s="190"/>
      <c r="BR82" s="190"/>
    </row>
    <row r="83" spans="1:70">
      <c r="A83" s="184" t="str">
        <f t="shared" si="1"/>
        <v>2080679</v>
      </c>
      <c r="B83" s="158" t="s">
        <v>1134</v>
      </c>
      <c r="C83" s="158" t="s">
        <v>2929</v>
      </c>
      <c r="D83" s="159" t="s">
        <v>1133</v>
      </c>
      <c r="E83" s="159"/>
      <c r="F83" s="158" t="s">
        <v>1135</v>
      </c>
      <c r="G83" s="167">
        <v>32740</v>
      </c>
      <c r="H83" s="167"/>
      <c r="I83" s="159" t="s">
        <v>2569</v>
      </c>
      <c r="J83" s="159" t="s">
        <v>2619</v>
      </c>
      <c r="K83" s="159" t="s">
        <v>35</v>
      </c>
      <c r="L83" s="159" t="s">
        <v>194</v>
      </c>
      <c r="M83" s="158" t="s">
        <v>2625</v>
      </c>
      <c r="N83" s="158" t="s">
        <v>2621</v>
      </c>
      <c r="O83" s="159" t="s">
        <v>2668</v>
      </c>
      <c r="P83" s="159" t="s">
        <v>2662</v>
      </c>
      <c r="Q83" s="159" t="s">
        <v>2840</v>
      </c>
      <c r="R83" s="159" t="s">
        <v>2863</v>
      </c>
      <c r="S83" s="159"/>
      <c r="T83" s="159"/>
      <c r="U83" s="158"/>
      <c r="V83" s="158"/>
      <c r="W83" s="159"/>
      <c r="X83" s="159"/>
      <c r="Y83" s="159"/>
      <c r="Z83" s="159"/>
      <c r="AA83" s="159"/>
      <c r="AB83" s="167">
        <v>39600</v>
      </c>
      <c r="AC83" s="159" t="s">
        <v>45</v>
      </c>
      <c r="AD83" s="158"/>
      <c r="AE83" s="159"/>
      <c r="AF83" s="159"/>
      <c r="AG83" s="159"/>
      <c r="AH83" s="159"/>
      <c r="AI83" s="159"/>
      <c r="AJ83" s="159"/>
      <c r="AK83" s="159" t="s">
        <v>2600</v>
      </c>
      <c r="AL83" s="159"/>
      <c r="AM83" s="159"/>
      <c r="AN83" s="159" t="s">
        <v>786</v>
      </c>
      <c r="AO83" s="172" t="s">
        <v>115</v>
      </c>
      <c r="AP83" s="172"/>
      <c r="AQ83" s="172"/>
      <c r="AR83" s="178" t="s">
        <v>2618</v>
      </c>
      <c r="AS83" s="178" t="s">
        <v>2618</v>
      </c>
      <c r="BD83" s="185" t="s">
        <v>1002</v>
      </c>
      <c r="BE83" s="156" t="s">
        <v>1127</v>
      </c>
      <c r="BF83" s="185" t="s">
        <v>2333</v>
      </c>
      <c r="BG83" s="159" t="s">
        <v>45</v>
      </c>
      <c r="BH83" s="159" t="s">
        <v>32</v>
      </c>
      <c r="BI83" s="159" t="s">
        <v>41</v>
      </c>
      <c r="BJ83" s="156">
        <v>1</v>
      </c>
      <c r="BK83" s="156"/>
      <c r="BL83" s="156"/>
      <c r="BM83" s="190"/>
      <c r="BN83" s="190"/>
      <c r="BO83" s="190"/>
      <c r="BP83" s="190"/>
      <c r="BQ83" s="190"/>
      <c r="BR83" s="190"/>
    </row>
    <row r="84" spans="1:70">
      <c r="A84" s="184" t="str">
        <f t="shared" si="1"/>
        <v>3080680</v>
      </c>
      <c r="B84" s="158" t="s">
        <v>1210</v>
      </c>
      <c r="C84" s="158" t="s">
        <v>2930</v>
      </c>
      <c r="D84" s="159" t="s">
        <v>1209</v>
      </c>
      <c r="E84" s="159"/>
      <c r="F84" s="158" t="s">
        <v>1212</v>
      </c>
      <c r="G84" s="167">
        <v>32418</v>
      </c>
      <c r="H84" s="167"/>
      <c r="I84" s="159" t="s">
        <v>2569</v>
      </c>
      <c r="J84" s="159" t="s">
        <v>2619</v>
      </c>
      <c r="K84" s="159" t="s">
        <v>35</v>
      </c>
      <c r="L84" s="159" t="s">
        <v>1211</v>
      </c>
      <c r="M84" s="158" t="s">
        <v>2627</v>
      </c>
      <c r="N84" s="158" t="s">
        <v>2623</v>
      </c>
      <c r="O84" s="159" t="s">
        <v>2683</v>
      </c>
      <c r="P84" s="159" t="s">
        <v>2662</v>
      </c>
      <c r="Q84" s="159" t="s">
        <v>2840</v>
      </c>
      <c r="R84" s="159" t="s">
        <v>2863</v>
      </c>
      <c r="S84" s="159"/>
      <c r="T84" s="159"/>
      <c r="U84" s="158"/>
      <c r="V84" s="158"/>
      <c r="W84" s="159"/>
      <c r="X84" s="159"/>
      <c r="Y84" s="159"/>
      <c r="Z84" s="159"/>
      <c r="AA84" s="159"/>
      <c r="AB84" s="167">
        <v>39600</v>
      </c>
      <c r="AC84" s="159" t="s">
        <v>71</v>
      </c>
      <c r="AD84" s="158"/>
      <c r="AE84" s="159"/>
      <c r="AF84" s="159"/>
      <c r="AG84" s="159"/>
      <c r="AH84" s="159"/>
      <c r="AI84" s="159"/>
      <c r="AJ84" s="159"/>
      <c r="AK84" s="159" t="s">
        <v>2600</v>
      </c>
      <c r="AL84" s="159"/>
      <c r="AM84" s="159"/>
      <c r="AN84" s="159" t="s">
        <v>786</v>
      </c>
      <c r="AO84" s="172" t="s">
        <v>937</v>
      </c>
      <c r="AP84" s="172"/>
      <c r="AQ84" s="172"/>
      <c r="AR84" s="178" t="s">
        <v>2618</v>
      </c>
      <c r="AS84" s="178" t="s">
        <v>2618</v>
      </c>
      <c r="BD84" s="185" t="s">
        <v>1002</v>
      </c>
      <c r="BE84" s="156" t="s">
        <v>1092</v>
      </c>
      <c r="BF84" s="185" t="s">
        <v>1042</v>
      </c>
      <c r="BG84" s="159" t="s">
        <v>71</v>
      </c>
      <c r="BH84" s="159" t="s">
        <v>46</v>
      </c>
      <c r="BI84" s="159" t="s">
        <v>41</v>
      </c>
      <c r="BJ84" s="156">
        <v>1</v>
      </c>
      <c r="BK84" s="156"/>
      <c r="BL84" s="156"/>
      <c r="BM84" s="190"/>
      <c r="BN84" s="190"/>
      <c r="BO84" s="190"/>
      <c r="BP84" s="190"/>
      <c r="BQ84" s="190"/>
      <c r="BR84" s="190"/>
    </row>
    <row r="85" spans="1:70">
      <c r="A85" s="184" t="str">
        <f t="shared" si="1"/>
        <v>4080681</v>
      </c>
      <c r="B85" s="158" t="s">
        <v>1343</v>
      </c>
      <c r="C85" s="158" t="s">
        <v>2931</v>
      </c>
      <c r="D85" s="159" t="s">
        <v>1342</v>
      </c>
      <c r="E85" s="159"/>
      <c r="F85" s="158" t="s">
        <v>1344</v>
      </c>
      <c r="G85" s="167">
        <v>28717</v>
      </c>
      <c r="H85" s="167"/>
      <c r="I85" s="159" t="s">
        <v>2569</v>
      </c>
      <c r="J85" s="159" t="s">
        <v>2619</v>
      </c>
      <c r="K85" s="159" t="s">
        <v>35</v>
      </c>
      <c r="L85" s="159" t="s">
        <v>708</v>
      </c>
      <c r="M85" s="158" t="s">
        <v>2629</v>
      </c>
      <c r="N85" s="158" t="s">
        <v>2638</v>
      </c>
      <c r="O85" s="159" t="s">
        <v>2682</v>
      </c>
      <c r="P85" s="159" t="s">
        <v>2790</v>
      </c>
      <c r="Q85" s="159" t="s">
        <v>2844</v>
      </c>
      <c r="R85" s="159" t="s">
        <v>2863</v>
      </c>
      <c r="S85" s="159"/>
      <c r="T85" s="159"/>
      <c r="U85" s="158"/>
      <c r="V85" s="158"/>
      <c r="W85" s="159"/>
      <c r="X85" s="159"/>
      <c r="Y85" s="159"/>
      <c r="Z85" s="159"/>
      <c r="AA85" s="159"/>
      <c r="AB85" s="167">
        <v>39600</v>
      </c>
      <c r="AC85" s="159" t="s">
        <v>129</v>
      </c>
      <c r="AD85" s="158"/>
      <c r="AE85" s="159"/>
      <c r="AF85" s="159"/>
      <c r="AG85" s="159"/>
      <c r="AH85" s="159"/>
      <c r="AI85" s="159"/>
      <c r="AJ85" s="159"/>
      <c r="AK85" s="159" t="s">
        <v>2600</v>
      </c>
      <c r="AL85" s="159"/>
      <c r="AM85" s="159"/>
      <c r="AN85" s="159" t="s">
        <v>786</v>
      </c>
      <c r="AO85" s="172" t="s">
        <v>115</v>
      </c>
      <c r="AP85" s="172"/>
      <c r="AQ85" s="172"/>
      <c r="AR85" s="178" t="s">
        <v>2618</v>
      </c>
      <c r="AS85" s="178" t="s">
        <v>2618</v>
      </c>
      <c r="BD85" s="185" t="s">
        <v>1002</v>
      </c>
      <c r="BE85" s="156" t="s">
        <v>1092</v>
      </c>
      <c r="BF85" s="185" t="s">
        <v>1042</v>
      </c>
      <c r="BG85" s="159" t="s">
        <v>129</v>
      </c>
      <c r="BH85" s="159" t="s">
        <v>158</v>
      </c>
      <c r="BI85" s="159" t="s">
        <v>41</v>
      </c>
      <c r="BJ85" s="156">
        <v>1</v>
      </c>
      <c r="BK85" s="156"/>
      <c r="BL85" s="156"/>
      <c r="BM85" s="190"/>
      <c r="BN85" s="190"/>
      <c r="BO85" s="190"/>
      <c r="BP85" s="190"/>
      <c r="BQ85" s="190"/>
      <c r="BR85" s="190"/>
    </row>
    <row r="86" spans="1:70">
      <c r="A86" s="184" t="str">
        <f t="shared" si="1"/>
        <v>2080682</v>
      </c>
      <c r="B86" s="158" t="s">
        <v>907</v>
      </c>
      <c r="C86" s="158" t="s">
        <v>2932</v>
      </c>
      <c r="D86" s="159" t="s">
        <v>906</v>
      </c>
      <c r="E86" s="159"/>
      <c r="F86" s="158" t="s">
        <v>909</v>
      </c>
      <c r="G86" s="167">
        <v>31116</v>
      </c>
      <c r="H86" s="167"/>
      <c r="I86" s="159" t="s">
        <v>2569</v>
      </c>
      <c r="J86" s="159" t="s">
        <v>2619</v>
      </c>
      <c r="K86" s="159" t="s">
        <v>35</v>
      </c>
      <c r="L86" s="159" t="s">
        <v>908</v>
      </c>
      <c r="M86" s="158" t="s">
        <v>2626</v>
      </c>
      <c r="N86" s="158" t="s">
        <v>2639</v>
      </c>
      <c r="O86" s="159" t="s">
        <v>2684</v>
      </c>
      <c r="P86" s="159" t="s">
        <v>2684</v>
      </c>
      <c r="Q86" s="159" t="s">
        <v>2840</v>
      </c>
      <c r="R86" s="159" t="s">
        <v>2863</v>
      </c>
      <c r="S86" s="159"/>
      <c r="T86" s="159"/>
      <c r="U86" s="158"/>
      <c r="V86" s="158"/>
      <c r="W86" s="159"/>
      <c r="X86" s="159"/>
      <c r="Y86" s="159"/>
      <c r="Z86" s="159"/>
      <c r="AA86" s="159"/>
      <c r="AB86" s="167">
        <v>39611</v>
      </c>
      <c r="AC86" s="159" t="s">
        <v>45</v>
      </c>
      <c r="AD86" s="158"/>
      <c r="AE86" s="159"/>
      <c r="AF86" s="159"/>
      <c r="AG86" s="159"/>
      <c r="AH86" s="159"/>
      <c r="AI86" s="159"/>
      <c r="AJ86" s="159"/>
      <c r="AK86" s="159" t="s">
        <v>2600</v>
      </c>
      <c r="AL86" s="159"/>
      <c r="AM86" s="159"/>
      <c r="AN86" s="159" t="s">
        <v>786</v>
      </c>
      <c r="AO86" s="172" t="s">
        <v>78</v>
      </c>
      <c r="AP86" s="172"/>
      <c r="AQ86" s="172"/>
      <c r="AR86" s="178" t="s">
        <v>2618</v>
      </c>
      <c r="AS86" s="178" t="s">
        <v>2618</v>
      </c>
      <c r="BD86" s="185" t="s">
        <v>787</v>
      </c>
      <c r="BE86" s="156" t="s">
        <v>900</v>
      </c>
      <c r="BF86" s="159" t="s">
        <v>841</v>
      </c>
      <c r="BG86" s="159" t="s">
        <v>45</v>
      </c>
      <c r="BH86" s="159" t="s">
        <v>46</v>
      </c>
      <c r="BI86" s="159" t="s">
        <v>41</v>
      </c>
      <c r="BJ86" s="156">
        <v>1</v>
      </c>
      <c r="BK86" s="156"/>
      <c r="BL86" s="156"/>
    </row>
    <row r="87" spans="1:70">
      <c r="A87" s="184" t="str">
        <f t="shared" si="1"/>
        <v>2080883</v>
      </c>
      <c r="B87" s="158" t="s">
        <v>328</v>
      </c>
      <c r="C87" s="158" t="s">
        <v>2933</v>
      </c>
      <c r="D87" s="159" t="s">
        <v>327</v>
      </c>
      <c r="E87" s="159"/>
      <c r="F87" s="158" t="s">
        <v>330</v>
      </c>
      <c r="G87" s="167">
        <v>26737</v>
      </c>
      <c r="H87" s="167"/>
      <c r="I87" s="159" t="s">
        <v>2569</v>
      </c>
      <c r="J87" s="159" t="s">
        <v>2619</v>
      </c>
      <c r="K87" s="159" t="s">
        <v>35</v>
      </c>
      <c r="L87" s="159" t="s">
        <v>329</v>
      </c>
      <c r="M87" s="158" t="s">
        <v>2622</v>
      </c>
      <c r="N87" s="158" t="s">
        <v>2649</v>
      </c>
      <c r="O87" s="159" t="s">
        <v>2664</v>
      </c>
      <c r="P87" s="159" t="s">
        <v>2664</v>
      </c>
      <c r="Q87" s="159" t="s">
        <v>2844</v>
      </c>
      <c r="R87" s="159" t="s">
        <v>2863</v>
      </c>
      <c r="S87" s="159"/>
      <c r="T87" s="159"/>
      <c r="U87" s="158"/>
      <c r="V87" s="158"/>
      <c r="W87" s="159"/>
      <c r="X87" s="159"/>
      <c r="Y87" s="159"/>
      <c r="Z87" s="159"/>
      <c r="AA87" s="159"/>
      <c r="AB87" s="167">
        <v>39668</v>
      </c>
      <c r="AC87" s="159" t="s">
        <v>45</v>
      </c>
      <c r="AD87" s="158"/>
      <c r="AE87" s="159"/>
      <c r="AF87" s="159"/>
      <c r="AG87" s="159"/>
      <c r="AH87" s="159"/>
      <c r="AI87" s="159"/>
      <c r="AJ87" s="159"/>
      <c r="AK87" s="159" t="s">
        <v>2600</v>
      </c>
      <c r="AL87" s="159"/>
      <c r="AM87" s="159"/>
      <c r="AN87" s="185" t="s">
        <v>298</v>
      </c>
      <c r="AO87" s="172" t="s">
        <v>78</v>
      </c>
      <c r="AP87" s="172"/>
      <c r="AQ87" s="172"/>
      <c r="AR87" s="178" t="s">
        <v>2618</v>
      </c>
      <c r="AS87" s="178" t="s">
        <v>2618</v>
      </c>
      <c r="BD87" s="156"/>
      <c r="BF87" s="159"/>
      <c r="BG87" s="159" t="s">
        <v>45</v>
      </c>
      <c r="BH87" s="159" t="s">
        <v>46</v>
      </c>
      <c r="BI87" s="159" t="s">
        <v>41</v>
      </c>
      <c r="BJ87" s="156">
        <v>1</v>
      </c>
      <c r="BK87" s="156"/>
      <c r="BL87" s="156"/>
      <c r="BM87" s="186"/>
      <c r="BN87" s="186"/>
      <c r="BO87" s="186"/>
      <c r="BP87" s="186"/>
      <c r="BQ87" s="186"/>
      <c r="BR87" s="186"/>
    </row>
    <row r="88" spans="1:70">
      <c r="A88" s="184" t="str">
        <f t="shared" si="1"/>
        <v>4090684</v>
      </c>
      <c r="B88" s="158" t="s">
        <v>1360</v>
      </c>
      <c r="C88" s="158" t="s">
        <v>2934</v>
      </c>
      <c r="D88" s="159" t="s">
        <v>1359</v>
      </c>
      <c r="E88" s="159"/>
      <c r="F88" s="158" t="s">
        <v>1362</v>
      </c>
      <c r="G88" s="167">
        <v>32356</v>
      </c>
      <c r="H88" s="167"/>
      <c r="I88" s="159" t="s">
        <v>2569</v>
      </c>
      <c r="J88" s="159" t="s">
        <v>2619</v>
      </c>
      <c r="K88" s="159" t="s">
        <v>35</v>
      </c>
      <c r="L88" s="159" t="s">
        <v>1361</v>
      </c>
      <c r="M88" s="158" t="s">
        <v>2623</v>
      </c>
      <c r="N88" s="158" t="s">
        <v>2633</v>
      </c>
      <c r="O88" s="159" t="s">
        <v>2671</v>
      </c>
      <c r="P88" s="159" t="s">
        <v>2790</v>
      </c>
      <c r="Q88" s="159" t="s">
        <v>2844</v>
      </c>
      <c r="R88" s="159" t="s">
        <v>2863</v>
      </c>
      <c r="S88" s="159"/>
      <c r="T88" s="159"/>
      <c r="U88" s="158"/>
      <c r="V88" s="158"/>
      <c r="W88" s="159"/>
      <c r="X88" s="159"/>
      <c r="Y88" s="159"/>
      <c r="Z88" s="159"/>
      <c r="AA88" s="159"/>
      <c r="AB88" s="167">
        <v>39965</v>
      </c>
      <c r="AC88" s="159" t="s">
        <v>129</v>
      </c>
      <c r="AD88" s="158"/>
      <c r="AE88" s="159"/>
      <c r="AF88" s="159"/>
      <c r="AG88" s="159"/>
      <c r="AH88" s="159"/>
      <c r="AI88" s="159"/>
      <c r="AJ88" s="159"/>
      <c r="AK88" s="159" t="s">
        <v>2600</v>
      </c>
      <c r="AL88" s="159"/>
      <c r="AM88" s="159"/>
      <c r="AN88" s="159" t="s">
        <v>786</v>
      </c>
      <c r="AO88" s="172" t="s">
        <v>937</v>
      </c>
      <c r="AP88" s="172"/>
      <c r="AQ88" s="172"/>
      <c r="AR88" s="178" t="s">
        <v>2618</v>
      </c>
      <c r="AS88" s="178" t="s">
        <v>2618</v>
      </c>
      <c r="BD88" s="185" t="s">
        <v>1002</v>
      </c>
      <c r="BE88" s="156" t="s">
        <v>1110</v>
      </c>
      <c r="BF88" s="156" t="s">
        <v>1042</v>
      </c>
      <c r="BG88" s="159" t="s">
        <v>129</v>
      </c>
      <c r="BH88" s="159" t="s">
        <v>121</v>
      </c>
      <c r="BI88" s="159" t="s">
        <v>41</v>
      </c>
      <c r="BJ88" s="156">
        <v>1</v>
      </c>
      <c r="BK88" s="156"/>
      <c r="BL88" s="160"/>
    </row>
    <row r="89" spans="1:70">
      <c r="A89" s="184" t="str">
        <f t="shared" si="1"/>
        <v>4100685</v>
      </c>
      <c r="B89" s="158" t="s">
        <v>210</v>
      </c>
      <c r="C89" s="158" t="s">
        <v>2935</v>
      </c>
      <c r="D89" s="159" t="s">
        <v>209</v>
      </c>
      <c r="E89" s="159"/>
      <c r="F89" s="158"/>
      <c r="G89" s="167">
        <v>30573</v>
      </c>
      <c r="H89" s="167"/>
      <c r="I89" s="159" t="s">
        <v>2569</v>
      </c>
      <c r="J89" s="159" t="s">
        <v>2619</v>
      </c>
      <c r="K89" s="159" t="s">
        <v>35</v>
      </c>
      <c r="L89" s="159" t="s">
        <v>211</v>
      </c>
      <c r="M89" s="158" t="s">
        <v>2621</v>
      </c>
      <c r="N89" s="158" t="s">
        <v>2629</v>
      </c>
      <c r="O89" s="159" t="s">
        <v>2666</v>
      </c>
      <c r="P89" s="159" t="s">
        <v>2662</v>
      </c>
      <c r="Q89" s="159" t="s">
        <v>2840</v>
      </c>
      <c r="R89" s="159" t="s">
        <v>2863</v>
      </c>
      <c r="S89" s="159"/>
      <c r="T89" s="159"/>
      <c r="U89" s="158"/>
      <c r="V89" s="158"/>
      <c r="W89" s="159"/>
      <c r="X89" s="159"/>
      <c r="Y89" s="159"/>
      <c r="Z89" s="159"/>
      <c r="AA89" s="159"/>
      <c r="AB89" s="167">
        <v>40330</v>
      </c>
      <c r="AC89" s="159" t="s">
        <v>129</v>
      </c>
      <c r="AD89" s="158"/>
      <c r="AE89" s="159"/>
      <c r="AF89" s="159"/>
      <c r="AG89" s="159"/>
      <c r="AH89" s="159"/>
      <c r="AI89" s="159"/>
      <c r="AJ89" s="159"/>
      <c r="AK89" s="159" t="s">
        <v>2600</v>
      </c>
      <c r="AL89" s="159"/>
      <c r="AM89" s="159"/>
      <c r="AN89" s="159" t="s">
        <v>29</v>
      </c>
      <c r="AO89" s="172" t="s">
        <v>115</v>
      </c>
      <c r="AP89" s="172"/>
      <c r="AQ89" s="172"/>
      <c r="AR89" s="178" t="s">
        <v>2618</v>
      </c>
      <c r="AS89" s="178" t="s">
        <v>2618</v>
      </c>
      <c r="BD89" s="156"/>
      <c r="BE89" s="185" t="s">
        <v>128</v>
      </c>
      <c r="BF89" s="159"/>
      <c r="BG89" s="159" t="s">
        <v>129</v>
      </c>
      <c r="BH89" s="159" t="s">
        <v>121</v>
      </c>
      <c r="BI89" s="159" t="s">
        <v>41</v>
      </c>
      <c r="BJ89" s="156">
        <v>1</v>
      </c>
      <c r="BK89" s="156"/>
      <c r="BL89" s="154"/>
      <c r="BM89" s="156"/>
      <c r="BN89" s="156"/>
      <c r="BO89" s="156"/>
      <c r="BP89" s="156"/>
      <c r="BQ89" s="156"/>
      <c r="BR89" s="156"/>
    </row>
    <row r="90" spans="1:70" s="155" customFormat="1">
      <c r="A90" s="184" t="str">
        <f t="shared" si="1"/>
        <v>2100686</v>
      </c>
      <c r="B90" s="158" t="s">
        <v>747</v>
      </c>
      <c r="C90" s="158" t="s">
        <v>2936</v>
      </c>
      <c r="D90" s="159" t="s">
        <v>746</v>
      </c>
      <c r="E90" s="159"/>
      <c r="F90" s="158" t="s">
        <v>749</v>
      </c>
      <c r="G90" s="167">
        <v>30480</v>
      </c>
      <c r="H90" s="167"/>
      <c r="I90" s="159" t="s">
        <v>2569</v>
      </c>
      <c r="J90" s="159" t="s">
        <v>2619</v>
      </c>
      <c r="K90" s="159" t="s">
        <v>35</v>
      </c>
      <c r="L90" s="159" t="s">
        <v>748</v>
      </c>
      <c r="M90" s="158" t="s">
        <v>2636</v>
      </c>
      <c r="N90" s="158" t="s">
        <v>2622</v>
      </c>
      <c r="O90" s="159" t="s">
        <v>2660</v>
      </c>
      <c r="P90" s="159" t="s">
        <v>2662</v>
      </c>
      <c r="Q90" s="159" t="s">
        <v>2840</v>
      </c>
      <c r="R90" s="159" t="s">
        <v>2863</v>
      </c>
      <c r="S90" s="159"/>
      <c r="T90" s="159"/>
      <c r="U90" s="158"/>
      <c r="V90" s="158"/>
      <c r="W90" s="159"/>
      <c r="X90" s="159"/>
      <c r="Y90" s="159"/>
      <c r="Z90" s="159"/>
      <c r="AA90" s="159"/>
      <c r="AB90" s="167">
        <v>40330</v>
      </c>
      <c r="AC90" s="159" t="s">
        <v>45</v>
      </c>
      <c r="AD90" s="158"/>
      <c r="AE90" s="159"/>
      <c r="AF90" s="159"/>
      <c r="AG90" s="159"/>
      <c r="AH90" s="159"/>
      <c r="AI90" s="159"/>
      <c r="AJ90" s="159"/>
      <c r="AK90" s="159" t="s">
        <v>2600</v>
      </c>
      <c r="AL90" s="159"/>
      <c r="AM90" s="159"/>
      <c r="AN90" s="185" t="s">
        <v>684</v>
      </c>
      <c r="AO90" s="172" t="s">
        <v>78</v>
      </c>
      <c r="AP90" s="172"/>
      <c r="AQ90" s="172"/>
      <c r="AR90" s="178" t="s">
        <v>2618</v>
      </c>
      <c r="AS90" s="178" t="s">
        <v>2618</v>
      </c>
      <c r="AT90" s="178"/>
      <c r="AU90" s="159"/>
      <c r="AV90" s="159"/>
      <c r="AW90" s="159"/>
      <c r="AX90" s="159"/>
      <c r="AY90" s="159"/>
      <c r="AZ90" s="159"/>
      <c r="BA90" s="159"/>
      <c r="BB90" s="159"/>
      <c r="BC90" s="159"/>
      <c r="BD90" s="159" t="s">
        <v>733</v>
      </c>
      <c r="BE90" s="154"/>
      <c r="BF90" s="159"/>
      <c r="BG90" s="159" t="s">
        <v>45</v>
      </c>
      <c r="BH90" s="159" t="s">
        <v>32</v>
      </c>
      <c r="BI90" s="159" t="s">
        <v>41</v>
      </c>
      <c r="BJ90" s="156">
        <v>3</v>
      </c>
      <c r="BK90" s="156"/>
      <c r="BL90" s="154"/>
      <c r="BM90" s="162"/>
      <c r="BN90" s="162"/>
      <c r="BO90" s="162"/>
      <c r="BP90" s="162"/>
      <c r="BQ90" s="162"/>
      <c r="BR90" s="162"/>
    </row>
    <row r="91" spans="1:70" s="155" customFormat="1">
      <c r="A91" s="184" t="str">
        <f t="shared" si="1"/>
        <v>2100687</v>
      </c>
      <c r="B91" s="158" t="s">
        <v>870</v>
      </c>
      <c r="C91" s="158" t="s">
        <v>2937</v>
      </c>
      <c r="D91" s="159" t="s">
        <v>869</v>
      </c>
      <c r="E91" s="159"/>
      <c r="F91" s="158" t="s">
        <v>872</v>
      </c>
      <c r="G91" s="167">
        <v>33885</v>
      </c>
      <c r="H91" s="167"/>
      <c r="I91" s="159" t="s">
        <v>2569</v>
      </c>
      <c r="J91" s="159" t="s">
        <v>2619</v>
      </c>
      <c r="K91" s="159" t="s">
        <v>35</v>
      </c>
      <c r="L91" s="159" t="s">
        <v>871</v>
      </c>
      <c r="M91" s="158" t="s">
        <v>2621</v>
      </c>
      <c r="N91" s="158" t="s">
        <v>2631</v>
      </c>
      <c r="O91" s="159" t="s">
        <v>2671</v>
      </c>
      <c r="P91" s="159" t="s">
        <v>2790</v>
      </c>
      <c r="Q91" s="159" t="s">
        <v>2844</v>
      </c>
      <c r="R91" s="159" t="s">
        <v>2863</v>
      </c>
      <c r="S91" s="159"/>
      <c r="T91" s="159"/>
      <c r="U91" s="158"/>
      <c r="V91" s="158"/>
      <c r="W91" s="159"/>
      <c r="X91" s="159"/>
      <c r="Y91" s="159"/>
      <c r="Z91" s="159"/>
      <c r="AA91" s="159"/>
      <c r="AB91" s="167">
        <v>40330</v>
      </c>
      <c r="AC91" s="159" t="s">
        <v>45</v>
      </c>
      <c r="AD91" s="158"/>
      <c r="AE91" s="159"/>
      <c r="AF91" s="159"/>
      <c r="AG91" s="159"/>
      <c r="AH91" s="159"/>
      <c r="AI91" s="159"/>
      <c r="AJ91" s="159"/>
      <c r="AK91" s="159" t="s">
        <v>2600</v>
      </c>
      <c r="AL91" s="159"/>
      <c r="AM91" s="159"/>
      <c r="AN91" s="159" t="s">
        <v>786</v>
      </c>
      <c r="AO91" s="172" t="s">
        <v>78</v>
      </c>
      <c r="AP91" s="172"/>
      <c r="AQ91" s="172"/>
      <c r="AR91" s="178" t="s">
        <v>2618</v>
      </c>
      <c r="AS91" s="178" t="s">
        <v>2618</v>
      </c>
      <c r="AT91" s="178"/>
      <c r="AU91" s="159"/>
      <c r="AV91" s="159"/>
      <c r="AW91" s="159"/>
      <c r="AX91" s="159"/>
      <c r="AY91" s="159"/>
      <c r="AZ91" s="159"/>
      <c r="BA91" s="159"/>
      <c r="BB91" s="159"/>
      <c r="BC91" s="159"/>
      <c r="BD91" s="185" t="s">
        <v>787</v>
      </c>
      <c r="BE91" s="154" t="s">
        <v>862</v>
      </c>
      <c r="BF91" s="159" t="s">
        <v>841</v>
      </c>
      <c r="BG91" s="159" t="s">
        <v>45</v>
      </c>
      <c r="BH91" s="159" t="s">
        <v>32</v>
      </c>
      <c r="BI91" s="159" t="s">
        <v>41</v>
      </c>
      <c r="BJ91" s="156">
        <v>1</v>
      </c>
      <c r="BK91" s="156"/>
      <c r="BL91" s="154"/>
      <c r="BM91" s="162"/>
      <c r="BN91" s="162"/>
      <c r="BO91" s="162"/>
      <c r="BP91" s="162"/>
      <c r="BQ91" s="162"/>
      <c r="BR91" s="162"/>
    </row>
    <row r="92" spans="1:70" s="155" customFormat="1">
      <c r="A92" s="184" t="str">
        <f t="shared" si="1"/>
        <v>2100688</v>
      </c>
      <c r="B92" s="158" t="s">
        <v>877</v>
      </c>
      <c r="C92" s="158" t="s">
        <v>2938</v>
      </c>
      <c r="D92" s="159" t="s">
        <v>2305</v>
      </c>
      <c r="E92" s="159"/>
      <c r="F92" s="158" t="s">
        <v>879</v>
      </c>
      <c r="G92" s="167">
        <v>29430</v>
      </c>
      <c r="H92" s="167"/>
      <c r="I92" s="159" t="s">
        <v>2569</v>
      </c>
      <c r="J92" s="159" t="s">
        <v>2619</v>
      </c>
      <c r="K92" s="159" t="s">
        <v>35</v>
      </c>
      <c r="L92" s="159" t="s">
        <v>878</v>
      </c>
      <c r="M92" s="158" t="s">
        <v>2622</v>
      </c>
      <c r="N92" s="158" t="s">
        <v>2625</v>
      </c>
      <c r="O92" s="159" t="s">
        <v>2657</v>
      </c>
      <c r="P92" s="159" t="s">
        <v>2662</v>
      </c>
      <c r="Q92" s="159" t="s">
        <v>2840</v>
      </c>
      <c r="R92" s="159" t="s">
        <v>2863</v>
      </c>
      <c r="S92" s="159"/>
      <c r="T92" s="159"/>
      <c r="U92" s="158"/>
      <c r="V92" s="158"/>
      <c r="W92" s="159"/>
      <c r="X92" s="159"/>
      <c r="Y92" s="159"/>
      <c r="Z92" s="159"/>
      <c r="AA92" s="159"/>
      <c r="AB92" s="167">
        <v>40330</v>
      </c>
      <c r="AC92" s="159" t="s">
        <v>45</v>
      </c>
      <c r="AD92" s="158"/>
      <c r="AE92" s="159"/>
      <c r="AF92" s="159"/>
      <c r="AG92" s="159"/>
      <c r="AH92" s="159"/>
      <c r="AI92" s="159"/>
      <c r="AJ92" s="159"/>
      <c r="AK92" s="159" t="s">
        <v>2600</v>
      </c>
      <c r="AL92" s="159"/>
      <c r="AM92" s="159"/>
      <c r="AN92" s="159" t="s">
        <v>786</v>
      </c>
      <c r="AO92" s="172" t="s">
        <v>78</v>
      </c>
      <c r="AP92" s="172"/>
      <c r="AQ92" s="172"/>
      <c r="AR92" s="178" t="s">
        <v>2618</v>
      </c>
      <c r="AS92" s="178" t="s">
        <v>2618</v>
      </c>
      <c r="AT92" s="178"/>
      <c r="AU92" s="159"/>
      <c r="AV92" s="159"/>
      <c r="AW92" s="159"/>
      <c r="AX92" s="159"/>
      <c r="AY92" s="159"/>
      <c r="AZ92" s="159"/>
      <c r="BA92" s="159"/>
      <c r="BB92" s="159"/>
      <c r="BC92" s="159"/>
      <c r="BD92" s="185" t="s">
        <v>787</v>
      </c>
      <c r="BE92" s="154" t="s">
        <v>862</v>
      </c>
      <c r="BF92" s="159" t="s">
        <v>833</v>
      </c>
      <c r="BG92" s="159" t="s">
        <v>45</v>
      </c>
      <c r="BH92" s="159" t="s">
        <v>46</v>
      </c>
      <c r="BI92" s="159" t="s">
        <v>41</v>
      </c>
      <c r="BJ92" s="156">
        <v>1</v>
      </c>
      <c r="BK92" s="156"/>
      <c r="BL92" s="156"/>
      <c r="BM92" s="162"/>
      <c r="BN92" s="162"/>
      <c r="BO92" s="162"/>
      <c r="BP92" s="162"/>
      <c r="BQ92" s="162"/>
      <c r="BR92" s="162"/>
    </row>
    <row r="93" spans="1:70" s="155" customFormat="1">
      <c r="A93" s="184" t="str">
        <f t="shared" si="1"/>
        <v>2100689</v>
      </c>
      <c r="B93" s="158" t="s">
        <v>1076</v>
      </c>
      <c r="C93" s="158" t="s">
        <v>2939</v>
      </c>
      <c r="D93" s="159" t="s">
        <v>1074</v>
      </c>
      <c r="E93" s="159"/>
      <c r="F93" s="158" t="s">
        <v>1078</v>
      </c>
      <c r="G93" s="167">
        <v>33940</v>
      </c>
      <c r="H93" s="167"/>
      <c r="I93" s="159" t="s">
        <v>2569</v>
      </c>
      <c r="J93" s="159" t="s">
        <v>2619</v>
      </c>
      <c r="K93" s="159" t="s">
        <v>35</v>
      </c>
      <c r="L93" s="159" t="s">
        <v>1077</v>
      </c>
      <c r="M93" s="158" t="s">
        <v>2621</v>
      </c>
      <c r="N93" s="158" t="s">
        <v>2625</v>
      </c>
      <c r="O93" s="159" t="s">
        <v>2685</v>
      </c>
      <c r="P93" s="159" t="s">
        <v>2662</v>
      </c>
      <c r="Q93" s="159" t="s">
        <v>2840</v>
      </c>
      <c r="R93" s="159" t="s">
        <v>2863</v>
      </c>
      <c r="S93" s="159"/>
      <c r="T93" s="159"/>
      <c r="U93" s="158"/>
      <c r="V93" s="158"/>
      <c r="W93" s="159"/>
      <c r="X93" s="159"/>
      <c r="Y93" s="159"/>
      <c r="Z93" s="159"/>
      <c r="AA93" s="159"/>
      <c r="AB93" s="167">
        <v>40330</v>
      </c>
      <c r="AC93" s="159" t="s">
        <v>45</v>
      </c>
      <c r="AD93" s="158"/>
      <c r="AE93" s="159"/>
      <c r="AF93" s="159"/>
      <c r="AG93" s="159"/>
      <c r="AH93" s="159"/>
      <c r="AI93" s="159"/>
      <c r="AJ93" s="159"/>
      <c r="AK93" s="159" t="s">
        <v>2600</v>
      </c>
      <c r="AL93" s="159"/>
      <c r="AM93" s="159"/>
      <c r="AN93" s="159" t="s">
        <v>786</v>
      </c>
      <c r="AO93" s="172" t="s">
        <v>78</v>
      </c>
      <c r="AP93" s="172"/>
      <c r="AQ93" s="172"/>
      <c r="AR93" s="178" t="s">
        <v>2618</v>
      </c>
      <c r="AS93" s="178" t="s">
        <v>2618</v>
      </c>
      <c r="AT93" s="178"/>
      <c r="AU93" s="159"/>
      <c r="AV93" s="159"/>
      <c r="AW93" s="159"/>
      <c r="AX93" s="159"/>
      <c r="AY93" s="159"/>
      <c r="AZ93" s="159"/>
      <c r="BA93" s="159"/>
      <c r="BB93" s="159"/>
      <c r="BC93" s="159"/>
      <c r="BD93" s="185" t="s">
        <v>1002</v>
      </c>
      <c r="BE93" s="156" t="s">
        <v>1075</v>
      </c>
      <c r="BF93" s="185" t="s">
        <v>1042</v>
      </c>
      <c r="BG93" s="159" t="s">
        <v>45</v>
      </c>
      <c r="BH93" s="159" t="s">
        <v>46</v>
      </c>
      <c r="BI93" s="159" t="s">
        <v>41</v>
      </c>
      <c r="BJ93" s="156">
        <v>1</v>
      </c>
      <c r="BK93" s="156"/>
      <c r="BL93" s="156"/>
      <c r="BM93" s="162"/>
      <c r="BN93" s="162"/>
      <c r="BO93" s="162"/>
      <c r="BP93" s="162"/>
      <c r="BQ93" s="162"/>
      <c r="BR93" s="162"/>
    </row>
    <row r="94" spans="1:70">
      <c r="A94" s="184" t="str">
        <f t="shared" si="1"/>
        <v>2100690</v>
      </c>
      <c r="B94" s="158" t="s">
        <v>1152</v>
      </c>
      <c r="C94" s="158" t="s">
        <v>2940</v>
      </c>
      <c r="D94" s="159" t="s">
        <v>1151</v>
      </c>
      <c r="E94" s="159"/>
      <c r="F94" s="158" t="s">
        <v>1154</v>
      </c>
      <c r="G94" s="167">
        <v>34142</v>
      </c>
      <c r="H94" s="167"/>
      <c r="I94" s="159" t="s">
        <v>2569</v>
      </c>
      <c r="J94" s="159" t="s">
        <v>2619</v>
      </c>
      <c r="K94" s="159" t="s">
        <v>35</v>
      </c>
      <c r="L94" s="159" t="s">
        <v>1153</v>
      </c>
      <c r="M94" s="158" t="s">
        <v>2622</v>
      </c>
      <c r="N94" s="158" t="s">
        <v>2622</v>
      </c>
      <c r="O94" s="159" t="s">
        <v>2659</v>
      </c>
      <c r="P94" s="159" t="s">
        <v>2659</v>
      </c>
      <c r="Q94" s="159" t="s">
        <v>2840</v>
      </c>
      <c r="R94" s="159" t="s">
        <v>2863</v>
      </c>
      <c r="S94" s="159"/>
      <c r="T94" s="159"/>
      <c r="U94" s="158"/>
      <c r="V94" s="158"/>
      <c r="W94" s="159"/>
      <c r="X94" s="159"/>
      <c r="Y94" s="159"/>
      <c r="Z94" s="159"/>
      <c r="AA94" s="159"/>
      <c r="AB94" s="167">
        <v>40330</v>
      </c>
      <c r="AC94" s="159" t="s">
        <v>45</v>
      </c>
      <c r="AD94" s="158"/>
      <c r="AE94" s="159"/>
      <c r="AF94" s="159"/>
      <c r="AG94" s="159"/>
      <c r="AH94" s="159"/>
      <c r="AI94" s="159"/>
      <c r="AJ94" s="159"/>
      <c r="AK94" s="159" t="s">
        <v>2600</v>
      </c>
      <c r="AL94" s="159"/>
      <c r="AM94" s="159"/>
      <c r="AN94" s="159" t="s">
        <v>786</v>
      </c>
      <c r="AO94" s="172" t="s">
        <v>78</v>
      </c>
      <c r="AP94" s="172"/>
      <c r="AQ94" s="172"/>
      <c r="AR94" s="178" t="s">
        <v>2618</v>
      </c>
      <c r="AS94" s="178" t="s">
        <v>2618</v>
      </c>
      <c r="BD94" s="185" t="s">
        <v>1002</v>
      </c>
      <c r="BE94" s="156" t="s">
        <v>2457</v>
      </c>
      <c r="BF94" s="159" t="s">
        <v>1042</v>
      </c>
      <c r="BG94" s="159" t="s">
        <v>45</v>
      </c>
      <c r="BH94" s="159" t="s">
        <v>121</v>
      </c>
      <c r="BI94" s="159" t="s">
        <v>41</v>
      </c>
      <c r="BJ94" s="156">
        <v>1</v>
      </c>
      <c r="BK94" s="156"/>
      <c r="BL94" s="156"/>
    </row>
    <row r="95" spans="1:70">
      <c r="A95" s="184" t="str">
        <f t="shared" si="1"/>
        <v>3100691</v>
      </c>
      <c r="B95" s="158" t="s">
        <v>1194</v>
      </c>
      <c r="C95" s="158" t="s">
        <v>2941</v>
      </c>
      <c r="D95" s="159" t="s">
        <v>1193</v>
      </c>
      <c r="E95" s="159"/>
      <c r="F95" s="158" t="s">
        <v>1196</v>
      </c>
      <c r="G95" s="167">
        <v>33692</v>
      </c>
      <c r="H95" s="167"/>
      <c r="I95" s="159" t="s">
        <v>2569</v>
      </c>
      <c r="J95" s="159" t="s">
        <v>2619</v>
      </c>
      <c r="K95" s="159" t="s">
        <v>35</v>
      </c>
      <c r="L95" s="159" t="s">
        <v>1195</v>
      </c>
      <c r="M95" s="158" t="s">
        <v>2621</v>
      </c>
      <c r="N95" s="158" t="s">
        <v>2621</v>
      </c>
      <c r="O95" s="159" t="s">
        <v>2668</v>
      </c>
      <c r="P95" s="159" t="s">
        <v>2662</v>
      </c>
      <c r="Q95" s="159" t="s">
        <v>2840</v>
      </c>
      <c r="R95" s="159" t="s">
        <v>2863</v>
      </c>
      <c r="S95" s="159"/>
      <c r="T95" s="159"/>
      <c r="U95" s="158"/>
      <c r="V95" s="158"/>
      <c r="W95" s="159"/>
      <c r="X95" s="159"/>
      <c r="Y95" s="159"/>
      <c r="Z95" s="159"/>
      <c r="AA95" s="159"/>
      <c r="AB95" s="167">
        <v>40330</v>
      </c>
      <c r="AC95" s="159" t="s">
        <v>71</v>
      </c>
      <c r="AD95" s="158"/>
      <c r="AE95" s="159"/>
      <c r="AF95" s="159"/>
      <c r="AG95" s="159"/>
      <c r="AH95" s="159"/>
      <c r="AI95" s="159"/>
      <c r="AJ95" s="159"/>
      <c r="AK95" s="159" t="s">
        <v>2600</v>
      </c>
      <c r="AL95" s="159"/>
      <c r="AM95" s="159"/>
      <c r="AN95" s="159" t="s">
        <v>786</v>
      </c>
      <c r="AO95" s="172" t="s">
        <v>937</v>
      </c>
      <c r="AP95" s="172"/>
      <c r="AQ95" s="172"/>
      <c r="AR95" s="178" t="s">
        <v>2618</v>
      </c>
      <c r="AS95" s="178" t="s">
        <v>2618</v>
      </c>
      <c r="BD95" s="185" t="s">
        <v>1002</v>
      </c>
      <c r="BE95" s="156" t="s">
        <v>1075</v>
      </c>
      <c r="BF95" s="185" t="s">
        <v>1042</v>
      </c>
      <c r="BG95" s="159" t="s">
        <v>71</v>
      </c>
      <c r="BH95" s="159" t="s">
        <v>121</v>
      </c>
      <c r="BI95" s="159" t="s">
        <v>41</v>
      </c>
      <c r="BJ95" s="156">
        <v>1</v>
      </c>
      <c r="BK95" s="156"/>
      <c r="BL95" s="156"/>
    </row>
    <row r="96" spans="1:70">
      <c r="A96" s="184" t="str">
        <f t="shared" si="1"/>
        <v>4100692</v>
      </c>
      <c r="B96" s="158" t="s">
        <v>1284</v>
      </c>
      <c r="C96" s="158" t="s">
        <v>2942</v>
      </c>
      <c r="D96" s="159" t="s">
        <v>1283</v>
      </c>
      <c r="E96" s="159"/>
      <c r="F96" s="158" t="s">
        <v>1285</v>
      </c>
      <c r="G96" s="167">
        <v>32611</v>
      </c>
      <c r="H96" s="167"/>
      <c r="I96" s="159" t="s">
        <v>2569</v>
      </c>
      <c r="J96" s="159" t="s">
        <v>2619</v>
      </c>
      <c r="K96" s="159" t="s">
        <v>35</v>
      </c>
      <c r="L96" s="159" t="s">
        <v>1094</v>
      </c>
      <c r="M96" s="158" t="s">
        <v>2637</v>
      </c>
      <c r="N96" s="158" t="s">
        <v>2625</v>
      </c>
      <c r="O96" s="159" t="s">
        <v>2660</v>
      </c>
      <c r="P96" s="159" t="s">
        <v>2662</v>
      </c>
      <c r="Q96" s="159" t="s">
        <v>2840</v>
      </c>
      <c r="R96" s="159" t="s">
        <v>2863</v>
      </c>
      <c r="S96" s="159"/>
      <c r="T96" s="159"/>
      <c r="U96" s="158"/>
      <c r="V96" s="158"/>
      <c r="W96" s="159"/>
      <c r="X96" s="159"/>
      <c r="Y96" s="159"/>
      <c r="Z96" s="159"/>
      <c r="AA96" s="159"/>
      <c r="AB96" s="167">
        <v>40330</v>
      </c>
      <c r="AC96" s="159" t="s">
        <v>129</v>
      </c>
      <c r="AD96" s="158"/>
      <c r="AE96" s="159"/>
      <c r="AF96" s="159"/>
      <c r="AG96" s="159"/>
      <c r="AH96" s="159"/>
      <c r="AI96" s="159"/>
      <c r="AJ96" s="159"/>
      <c r="AK96" s="159" t="s">
        <v>2600</v>
      </c>
      <c r="AL96" s="159"/>
      <c r="AM96" s="159"/>
      <c r="AN96" s="159" t="s">
        <v>786</v>
      </c>
      <c r="AO96" s="172" t="s">
        <v>115</v>
      </c>
      <c r="AP96" s="172"/>
      <c r="AQ96" s="172"/>
      <c r="AR96" s="178" t="s">
        <v>2618</v>
      </c>
      <c r="AS96" s="178" t="s">
        <v>2618</v>
      </c>
      <c r="BD96" s="185" t="s">
        <v>1002</v>
      </c>
      <c r="BE96" s="156" t="s">
        <v>1033</v>
      </c>
      <c r="BF96" s="185" t="s">
        <v>1049</v>
      </c>
      <c r="BG96" s="159" t="s">
        <v>129</v>
      </c>
      <c r="BH96" s="159" t="s">
        <v>32</v>
      </c>
      <c r="BI96" s="159" t="s">
        <v>41</v>
      </c>
      <c r="BJ96" s="156">
        <v>1</v>
      </c>
      <c r="BK96" s="156"/>
      <c r="BL96" s="156"/>
    </row>
    <row r="97" spans="1:70">
      <c r="A97" s="184" t="str">
        <f t="shared" si="1"/>
        <v>4100693</v>
      </c>
      <c r="B97" s="158" t="s">
        <v>1425</v>
      </c>
      <c r="C97" s="158" t="s">
        <v>2943</v>
      </c>
      <c r="D97" s="159" t="s">
        <v>1424</v>
      </c>
      <c r="E97" s="159"/>
      <c r="F97" s="158" t="s">
        <v>1427</v>
      </c>
      <c r="G97" s="167">
        <v>26450</v>
      </c>
      <c r="H97" s="167"/>
      <c r="I97" s="159" t="s">
        <v>2569</v>
      </c>
      <c r="J97" s="159" t="s">
        <v>2619</v>
      </c>
      <c r="K97" s="159" t="s">
        <v>35</v>
      </c>
      <c r="L97" s="159" t="s">
        <v>1426</v>
      </c>
      <c r="M97" s="158" t="s">
        <v>2638</v>
      </c>
      <c r="N97" s="158" t="s">
        <v>2623</v>
      </c>
      <c r="O97" s="159" t="s">
        <v>2660</v>
      </c>
      <c r="P97" s="159" t="s">
        <v>2662</v>
      </c>
      <c r="Q97" s="159" t="s">
        <v>2840</v>
      </c>
      <c r="R97" s="159" t="s">
        <v>2863</v>
      </c>
      <c r="S97" s="159"/>
      <c r="T97" s="159"/>
      <c r="U97" s="158"/>
      <c r="V97" s="158"/>
      <c r="W97" s="159"/>
      <c r="X97" s="159"/>
      <c r="Y97" s="159"/>
      <c r="Z97" s="159"/>
      <c r="AA97" s="159"/>
      <c r="AB97" s="167">
        <v>40330</v>
      </c>
      <c r="AC97" s="159" t="s">
        <v>129</v>
      </c>
      <c r="AD97" s="158"/>
      <c r="AE97" s="159"/>
      <c r="AF97" s="159"/>
      <c r="AG97" s="159"/>
      <c r="AH97" s="159"/>
      <c r="AI97" s="159"/>
      <c r="AJ97" s="159"/>
      <c r="AK97" s="159" t="s">
        <v>2600</v>
      </c>
      <c r="AL97" s="159"/>
      <c r="AM97" s="159"/>
      <c r="AN97" s="159" t="s">
        <v>786</v>
      </c>
      <c r="AO97" s="172" t="s">
        <v>115</v>
      </c>
      <c r="AP97" s="172"/>
      <c r="AQ97" s="172"/>
      <c r="AR97" s="178" t="s">
        <v>2618</v>
      </c>
      <c r="AS97" s="178" t="s">
        <v>2618</v>
      </c>
      <c r="BD97" s="185" t="s">
        <v>1002</v>
      </c>
      <c r="BE97" s="156" t="s">
        <v>704</v>
      </c>
      <c r="BF97" s="159" t="s">
        <v>1049</v>
      </c>
      <c r="BG97" s="159" t="s">
        <v>129</v>
      </c>
      <c r="BH97" s="159" t="s">
        <v>158</v>
      </c>
      <c r="BI97" s="159" t="s">
        <v>41</v>
      </c>
      <c r="BJ97" s="156">
        <v>1</v>
      </c>
      <c r="BK97" s="156"/>
      <c r="BL97" s="156"/>
    </row>
    <row r="98" spans="1:70">
      <c r="A98" s="184" t="str">
        <f t="shared" si="1"/>
        <v>4100694</v>
      </c>
      <c r="B98" s="158" t="s">
        <v>1792</v>
      </c>
      <c r="C98" s="158" t="s">
        <v>2944</v>
      </c>
      <c r="D98" s="159" t="s">
        <v>1791</v>
      </c>
      <c r="E98" s="159"/>
      <c r="F98" s="158" t="s">
        <v>1793</v>
      </c>
      <c r="G98" s="167">
        <v>31038</v>
      </c>
      <c r="H98" s="167"/>
      <c r="I98" s="159" t="s">
        <v>2570</v>
      </c>
      <c r="J98" s="159" t="s">
        <v>2619</v>
      </c>
      <c r="K98" s="159" t="s">
        <v>35</v>
      </c>
      <c r="L98" s="159" t="s">
        <v>617</v>
      </c>
      <c r="M98" s="158" t="s">
        <v>2623</v>
      </c>
      <c r="N98" s="158" t="s">
        <v>2621</v>
      </c>
      <c r="O98" s="159" t="s">
        <v>2657</v>
      </c>
      <c r="P98" s="159" t="s">
        <v>2662</v>
      </c>
      <c r="Q98" s="159" t="s">
        <v>2840</v>
      </c>
      <c r="R98" s="159" t="s">
        <v>2863</v>
      </c>
      <c r="S98" s="159"/>
      <c r="T98" s="159"/>
      <c r="U98" s="158"/>
      <c r="V98" s="158"/>
      <c r="W98" s="159"/>
      <c r="X98" s="159"/>
      <c r="Y98" s="159"/>
      <c r="Z98" s="159"/>
      <c r="AA98" s="159"/>
      <c r="AB98" s="167">
        <v>40330</v>
      </c>
      <c r="AC98" s="159" t="s">
        <v>129</v>
      </c>
      <c r="AD98" s="158"/>
      <c r="AE98" s="159"/>
      <c r="AF98" s="159"/>
      <c r="AG98" s="159"/>
      <c r="AH98" s="159"/>
      <c r="AI98" s="159"/>
      <c r="AJ98" s="159"/>
      <c r="AK98" s="159" t="s">
        <v>2600</v>
      </c>
      <c r="AL98" s="159"/>
      <c r="AM98" s="159"/>
      <c r="AN98" s="159" t="s">
        <v>786</v>
      </c>
      <c r="AO98" s="172" t="s">
        <v>115</v>
      </c>
      <c r="AP98" s="172"/>
      <c r="AQ98" s="172"/>
      <c r="AR98" s="178" t="s">
        <v>2618</v>
      </c>
      <c r="AS98" s="178" t="s">
        <v>2618</v>
      </c>
      <c r="BD98" s="185" t="s">
        <v>1442</v>
      </c>
      <c r="BE98" s="156" t="s">
        <v>1758</v>
      </c>
      <c r="BF98" s="159" t="s">
        <v>1482</v>
      </c>
      <c r="BG98" s="159" t="s">
        <v>129</v>
      </c>
      <c r="BH98" s="159" t="s">
        <v>158</v>
      </c>
      <c r="BI98" s="159" t="s">
        <v>41</v>
      </c>
      <c r="BJ98" s="156">
        <v>1</v>
      </c>
      <c r="BK98" s="156"/>
      <c r="BL98" s="156"/>
    </row>
    <row r="99" spans="1:70">
      <c r="A99" s="184" t="str">
        <f t="shared" si="1"/>
        <v>4100695</v>
      </c>
      <c r="B99" s="158" t="s">
        <v>1827</v>
      </c>
      <c r="C99" s="158" t="s">
        <v>2945</v>
      </c>
      <c r="D99" s="159" t="s">
        <v>1826</v>
      </c>
      <c r="E99" s="159"/>
      <c r="F99" s="158" t="s">
        <v>1829</v>
      </c>
      <c r="G99" s="167">
        <v>28447</v>
      </c>
      <c r="H99" s="167"/>
      <c r="I99" s="159" t="s">
        <v>2570</v>
      </c>
      <c r="J99" s="159" t="s">
        <v>2619</v>
      </c>
      <c r="K99" s="159" t="s">
        <v>35</v>
      </c>
      <c r="L99" s="159" t="s">
        <v>1828</v>
      </c>
      <c r="M99" s="158" t="s">
        <v>2639</v>
      </c>
      <c r="N99" s="158" t="s">
        <v>2623</v>
      </c>
      <c r="O99" s="159" t="s">
        <v>2681</v>
      </c>
      <c r="P99" s="159" t="s">
        <v>2662</v>
      </c>
      <c r="Q99" s="159" t="s">
        <v>2840</v>
      </c>
      <c r="R99" s="159" t="s">
        <v>2863</v>
      </c>
      <c r="S99" s="159"/>
      <c r="T99" s="159"/>
      <c r="U99" s="158"/>
      <c r="V99" s="158"/>
      <c r="W99" s="159"/>
      <c r="X99" s="159"/>
      <c r="Y99" s="159"/>
      <c r="Z99" s="159"/>
      <c r="AA99" s="159"/>
      <c r="AB99" s="167">
        <v>40330</v>
      </c>
      <c r="AC99" s="159" t="s">
        <v>129</v>
      </c>
      <c r="AD99" s="158"/>
      <c r="AE99" s="159"/>
      <c r="AF99" s="159"/>
      <c r="AG99" s="159"/>
      <c r="AH99" s="159"/>
      <c r="AI99" s="159"/>
      <c r="AJ99" s="159"/>
      <c r="AK99" s="159" t="s">
        <v>2600</v>
      </c>
      <c r="AL99" s="159"/>
      <c r="AM99" s="159"/>
      <c r="AN99" s="159" t="s">
        <v>786</v>
      </c>
      <c r="AO99" s="172" t="s">
        <v>115</v>
      </c>
      <c r="AP99" s="172"/>
      <c r="AQ99" s="172"/>
      <c r="AR99" s="178" t="s">
        <v>2618</v>
      </c>
      <c r="AS99" s="178" t="s">
        <v>2618</v>
      </c>
      <c r="BD99" s="185" t="s">
        <v>1442</v>
      </c>
      <c r="BE99" s="156" t="s">
        <v>1758</v>
      </c>
      <c r="BF99" s="159" t="s">
        <v>1508</v>
      </c>
      <c r="BG99" s="159" t="s">
        <v>129</v>
      </c>
      <c r="BH99" s="159"/>
      <c r="BI99" s="159" t="s">
        <v>41</v>
      </c>
      <c r="BJ99" s="156">
        <v>1</v>
      </c>
      <c r="BK99" s="156"/>
      <c r="BL99" s="156"/>
    </row>
    <row r="100" spans="1:70">
      <c r="A100" s="184" t="str">
        <f t="shared" si="1"/>
        <v>4100696</v>
      </c>
      <c r="B100" s="158" t="s">
        <v>1841</v>
      </c>
      <c r="C100" s="158" t="s">
        <v>2946</v>
      </c>
      <c r="D100" s="159" t="s">
        <v>1840</v>
      </c>
      <c r="E100" s="159"/>
      <c r="F100" s="158"/>
      <c r="G100" s="167">
        <v>25497</v>
      </c>
      <c r="H100" s="167"/>
      <c r="I100" s="159" t="s">
        <v>2569</v>
      </c>
      <c r="J100" s="159" t="s">
        <v>2619</v>
      </c>
      <c r="K100" s="159" t="s">
        <v>35</v>
      </c>
      <c r="L100" s="159" t="s">
        <v>1842</v>
      </c>
      <c r="M100" s="158" t="s">
        <v>2629</v>
      </c>
      <c r="N100" s="158" t="s">
        <v>2623</v>
      </c>
      <c r="O100" s="159" t="s">
        <v>2666</v>
      </c>
      <c r="P100" s="159" t="s">
        <v>2662</v>
      </c>
      <c r="Q100" s="159" t="s">
        <v>2840</v>
      </c>
      <c r="R100" s="159" t="s">
        <v>2863</v>
      </c>
      <c r="S100" s="159"/>
      <c r="T100" s="159"/>
      <c r="U100" s="158"/>
      <c r="V100" s="158"/>
      <c r="W100" s="159"/>
      <c r="X100" s="159"/>
      <c r="Y100" s="159"/>
      <c r="Z100" s="159"/>
      <c r="AA100" s="159"/>
      <c r="AB100" s="167">
        <v>40330</v>
      </c>
      <c r="AC100" s="159" t="s">
        <v>129</v>
      </c>
      <c r="AD100" s="158"/>
      <c r="AE100" s="159"/>
      <c r="AF100" s="159"/>
      <c r="AG100" s="159"/>
      <c r="AH100" s="159"/>
      <c r="AI100" s="159"/>
      <c r="AJ100" s="159"/>
      <c r="AK100" s="159" t="s">
        <v>2600</v>
      </c>
      <c r="AL100" s="159"/>
      <c r="AM100" s="159"/>
      <c r="AN100" s="159" t="s">
        <v>786</v>
      </c>
      <c r="AO100" s="172" t="s">
        <v>115</v>
      </c>
      <c r="AP100" s="172"/>
      <c r="AQ100" s="172"/>
      <c r="AR100" s="178" t="s">
        <v>2618</v>
      </c>
      <c r="AS100" s="178" t="s">
        <v>2618</v>
      </c>
      <c r="BD100" s="185" t="s">
        <v>1442</v>
      </c>
      <c r="BE100" s="156" t="s">
        <v>1758</v>
      </c>
      <c r="BF100" s="159" t="s">
        <v>1508</v>
      </c>
      <c r="BG100" s="159" t="s">
        <v>129</v>
      </c>
      <c r="BH100" s="159" t="s">
        <v>32</v>
      </c>
      <c r="BI100" s="159" t="s">
        <v>41</v>
      </c>
      <c r="BJ100" s="156">
        <v>1</v>
      </c>
      <c r="BK100" s="156"/>
      <c r="BL100" s="156"/>
    </row>
    <row r="101" spans="1:70">
      <c r="A101" s="184" t="str">
        <f t="shared" si="1"/>
        <v>2101297</v>
      </c>
      <c r="B101" s="158" t="s">
        <v>433</v>
      </c>
      <c r="C101" s="158" t="s">
        <v>2947</v>
      </c>
      <c r="D101" s="159" t="s">
        <v>431</v>
      </c>
      <c r="E101" s="159"/>
      <c r="F101" s="158" t="s">
        <v>434</v>
      </c>
      <c r="G101" s="167">
        <v>26294</v>
      </c>
      <c r="H101" s="167"/>
      <c r="I101" s="159" t="s">
        <v>2569</v>
      </c>
      <c r="J101" s="159" t="s">
        <v>2619</v>
      </c>
      <c r="K101" s="159" t="s">
        <v>35</v>
      </c>
      <c r="L101" s="159" t="s">
        <v>415</v>
      </c>
      <c r="M101" s="158" t="s">
        <v>2621</v>
      </c>
      <c r="N101" s="158" t="s">
        <v>2626</v>
      </c>
      <c r="O101" s="159" t="s">
        <v>2686</v>
      </c>
      <c r="P101" s="159" t="s">
        <v>2659</v>
      </c>
      <c r="Q101" s="159" t="s">
        <v>2840</v>
      </c>
      <c r="R101" s="159" t="s">
        <v>2863</v>
      </c>
      <c r="S101" s="159"/>
      <c r="T101" s="159"/>
      <c r="U101" s="158"/>
      <c r="V101" s="158"/>
      <c r="W101" s="159"/>
      <c r="X101" s="159"/>
      <c r="Y101" s="159"/>
      <c r="Z101" s="159"/>
      <c r="AA101" s="159"/>
      <c r="AB101" s="167">
        <v>40513</v>
      </c>
      <c r="AC101" s="159" t="s">
        <v>45</v>
      </c>
      <c r="AD101" s="158"/>
      <c r="AE101" s="159"/>
      <c r="AF101" s="159"/>
      <c r="AG101" s="159"/>
      <c r="AH101" s="159"/>
      <c r="AI101" s="159"/>
      <c r="AJ101" s="159"/>
      <c r="AK101" s="159" t="s">
        <v>2600</v>
      </c>
      <c r="AL101" s="159"/>
      <c r="AM101" s="159"/>
      <c r="AN101" s="159" t="s">
        <v>392</v>
      </c>
      <c r="AO101" s="172" t="s">
        <v>115</v>
      </c>
      <c r="AP101" s="172"/>
      <c r="AQ101" s="172"/>
      <c r="AR101" s="178" t="s">
        <v>2618</v>
      </c>
      <c r="AS101" s="178" t="s">
        <v>2618</v>
      </c>
      <c r="BD101" s="159" t="s">
        <v>401</v>
      </c>
      <c r="BF101" s="159"/>
      <c r="BG101" s="159" t="s">
        <v>45</v>
      </c>
      <c r="BH101" s="159" t="s">
        <v>32</v>
      </c>
      <c r="BI101" s="159" t="s">
        <v>41</v>
      </c>
      <c r="BJ101" s="156">
        <v>3</v>
      </c>
      <c r="BK101" s="156"/>
      <c r="BL101" s="156"/>
    </row>
    <row r="102" spans="1:70">
      <c r="A102" s="184" t="str">
        <f t="shared" si="1"/>
        <v>2110698</v>
      </c>
      <c r="B102" s="158" t="s">
        <v>646</v>
      </c>
      <c r="C102" s="158" t="s">
        <v>2948</v>
      </c>
      <c r="D102" s="159" t="s">
        <v>645</v>
      </c>
      <c r="E102" s="159"/>
      <c r="F102" s="158" t="s">
        <v>648</v>
      </c>
      <c r="G102" s="167">
        <v>29838</v>
      </c>
      <c r="H102" s="167"/>
      <c r="I102" s="159" t="s">
        <v>2569</v>
      </c>
      <c r="J102" s="159" t="s">
        <v>2619</v>
      </c>
      <c r="K102" s="159" t="s">
        <v>35</v>
      </c>
      <c r="L102" s="159" t="s">
        <v>647</v>
      </c>
      <c r="M102" s="158" t="s">
        <v>2626</v>
      </c>
      <c r="N102" s="158" t="s">
        <v>2621</v>
      </c>
      <c r="O102" s="159" t="s">
        <v>2687</v>
      </c>
      <c r="P102" s="159" t="s">
        <v>696</v>
      </c>
      <c r="Q102" s="159" t="s">
        <v>2844</v>
      </c>
      <c r="R102" s="159" t="s">
        <v>2863</v>
      </c>
      <c r="S102" s="159"/>
      <c r="T102" s="159"/>
      <c r="U102" s="158"/>
      <c r="V102" s="158"/>
      <c r="W102" s="159"/>
      <c r="X102" s="159"/>
      <c r="Y102" s="159"/>
      <c r="Z102" s="159"/>
      <c r="AA102" s="159"/>
      <c r="AB102" s="167">
        <v>40695</v>
      </c>
      <c r="AC102" s="159" t="s">
        <v>45</v>
      </c>
      <c r="AD102" s="158"/>
      <c r="AE102" s="159"/>
      <c r="AF102" s="159"/>
      <c r="AG102" s="159"/>
      <c r="AH102" s="159"/>
      <c r="AI102" s="159"/>
      <c r="AJ102" s="159"/>
      <c r="AK102" s="159" t="s">
        <v>2600</v>
      </c>
      <c r="AL102" s="159"/>
      <c r="AM102" s="159"/>
      <c r="AN102" s="159" t="s">
        <v>553</v>
      </c>
      <c r="AO102" s="172" t="s">
        <v>564</v>
      </c>
      <c r="AP102" s="172"/>
      <c r="AQ102" s="172"/>
      <c r="AR102" s="178" t="s">
        <v>2618</v>
      </c>
      <c r="AS102" s="178" t="s">
        <v>2618</v>
      </c>
      <c r="BD102" s="156" t="s">
        <v>584</v>
      </c>
      <c r="BE102" s="156" t="s">
        <v>584</v>
      </c>
      <c r="BF102" s="159"/>
      <c r="BG102" s="159" t="s">
        <v>45</v>
      </c>
      <c r="BH102" s="159" t="s">
        <v>46</v>
      </c>
      <c r="BI102" s="159" t="s">
        <v>41</v>
      </c>
      <c r="BJ102" s="156">
        <v>1</v>
      </c>
      <c r="BK102" s="156"/>
      <c r="BL102" s="156"/>
      <c r="BM102" s="156"/>
      <c r="BN102" s="156"/>
      <c r="BO102" s="156"/>
      <c r="BP102" s="156"/>
      <c r="BQ102" s="156"/>
      <c r="BR102" s="156"/>
    </row>
    <row r="103" spans="1:70">
      <c r="A103" s="184" t="str">
        <f t="shared" si="1"/>
        <v>4110699</v>
      </c>
      <c r="B103" s="158" t="s">
        <v>1346</v>
      </c>
      <c r="C103" s="158" t="s">
        <v>2949</v>
      </c>
      <c r="D103" s="159" t="s">
        <v>1345</v>
      </c>
      <c r="E103" s="159"/>
      <c r="F103" s="158" t="s">
        <v>1347</v>
      </c>
      <c r="G103" s="167">
        <v>31996</v>
      </c>
      <c r="H103" s="167"/>
      <c r="I103" s="159" t="s">
        <v>2569</v>
      </c>
      <c r="J103" s="159" t="s">
        <v>2619</v>
      </c>
      <c r="K103" s="159" t="s">
        <v>165</v>
      </c>
      <c r="L103" s="159" t="s">
        <v>160</v>
      </c>
      <c r="M103" s="158" t="s">
        <v>2625</v>
      </c>
      <c r="N103" s="158" t="s">
        <v>2623</v>
      </c>
      <c r="O103" s="159" t="s">
        <v>2668</v>
      </c>
      <c r="P103" s="159" t="s">
        <v>2662</v>
      </c>
      <c r="Q103" s="159" t="s">
        <v>2840</v>
      </c>
      <c r="R103" s="159" t="s">
        <v>2863</v>
      </c>
      <c r="S103" s="159"/>
      <c r="T103" s="159"/>
      <c r="U103" s="158"/>
      <c r="V103" s="158"/>
      <c r="W103" s="159"/>
      <c r="X103" s="159"/>
      <c r="Y103" s="159"/>
      <c r="Z103" s="159"/>
      <c r="AA103" s="159"/>
      <c r="AB103" s="167">
        <v>40695</v>
      </c>
      <c r="AC103" s="159" t="s">
        <v>129</v>
      </c>
      <c r="AD103" s="158"/>
      <c r="AE103" s="159"/>
      <c r="AF103" s="159"/>
      <c r="AG103" s="159"/>
      <c r="AH103" s="159"/>
      <c r="AI103" s="159"/>
      <c r="AJ103" s="159"/>
      <c r="AK103" s="159" t="s">
        <v>2600</v>
      </c>
      <c r="AL103" s="159"/>
      <c r="AM103" s="159"/>
      <c r="AN103" s="159" t="s">
        <v>786</v>
      </c>
      <c r="AO103" s="172" t="s">
        <v>115</v>
      </c>
      <c r="AP103" s="172"/>
      <c r="AQ103" s="172"/>
      <c r="AR103" s="178" t="s">
        <v>2618</v>
      </c>
      <c r="AS103" s="178" t="s">
        <v>2618</v>
      </c>
      <c r="BD103" s="185" t="s">
        <v>1002</v>
      </c>
      <c r="BE103" s="156" t="s">
        <v>1092</v>
      </c>
      <c r="BF103" s="185" t="s">
        <v>2333</v>
      </c>
      <c r="BG103" s="159" t="s">
        <v>129</v>
      </c>
      <c r="BH103" s="159" t="s">
        <v>32</v>
      </c>
      <c r="BI103" s="159" t="s">
        <v>41</v>
      </c>
      <c r="BJ103" s="156">
        <v>1</v>
      </c>
      <c r="BK103" s="156"/>
      <c r="BL103" s="156"/>
    </row>
    <row r="104" spans="1:70">
      <c r="A104" s="184" t="str">
        <f t="shared" si="1"/>
        <v>41106100</v>
      </c>
      <c r="B104" s="158" t="s">
        <v>1412</v>
      </c>
      <c r="C104" s="158" t="s">
        <v>2950</v>
      </c>
      <c r="D104" s="159" t="s">
        <v>1411</v>
      </c>
      <c r="E104" s="159"/>
      <c r="F104" s="158" t="s">
        <v>1414</v>
      </c>
      <c r="G104" s="167">
        <v>33247</v>
      </c>
      <c r="H104" s="167"/>
      <c r="I104" s="159" t="s">
        <v>2569</v>
      </c>
      <c r="J104" s="159" t="s">
        <v>2619</v>
      </c>
      <c r="K104" s="159" t="s">
        <v>35</v>
      </c>
      <c r="L104" s="159" t="s">
        <v>1413</v>
      </c>
      <c r="M104" s="158" t="s">
        <v>2626</v>
      </c>
      <c r="N104" s="158" t="s">
        <v>2626</v>
      </c>
      <c r="O104" s="159" t="s">
        <v>2688</v>
      </c>
      <c r="P104" s="159" t="s">
        <v>2804</v>
      </c>
      <c r="Q104" s="159" t="s">
        <v>2842</v>
      </c>
      <c r="R104" s="159" t="s">
        <v>2863</v>
      </c>
      <c r="S104" s="159"/>
      <c r="T104" s="159"/>
      <c r="U104" s="158"/>
      <c r="V104" s="158"/>
      <c r="W104" s="159"/>
      <c r="X104" s="159"/>
      <c r="Y104" s="159"/>
      <c r="Z104" s="159"/>
      <c r="AA104" s="159"/>
      <c r="AB104" s="167">
        <v>40695</v>
      </c>
      <c r="AC104" s="159" t="s">
        <v>129</v>
      </c>
      <c r="AD104" s="158"/>
      <c r="AE104" s="159"/>
      <c r="AF104" s="159"/>
      <c r="AG104" s="159"/>
      <c r="AH104" s="159"/>
      <c r="AI104" s="159"/>
      <c r="AJ104" s="159"/>
      <c r="AK104" s="159" t="s">
        <v>2600</v>
      </c>
      <c r="AL104" s="159"/>
      <c r="AM104" s="159"/>
      <c r="AN104" s="159" t="s">
        <v>786</v>
      </c>
      <c r="AO104" s="172" t="s">
        <v>115</v>
      </c>
      <c r="AP104" s="172"/>
      <c r="AQ104" s="172"/>
      <c r="AR104" s="178" t="s">
        <v>2618</v>
      </c>
      <c r="AS104" s="178" t="s">
        <v>2618</v>
      </c>
      <c r="BD104" s="185" t="s">
        <v>1002</v>
      </c>
      <c r="BE104" s="156" t="s">
        <v>704</v>
      </c>
      <c r="BF104" s="159" t="s">
        <v>1042</v>
      </c>
      <c r="BG104" s="159" t="s">
        <v>129</v>
      </c>
      <c r="BH104" s="159" t="s">
        <v>46</v>
      </c>
      <c r="BI104" s="159" t="s">
        <v>41</v>
      </c>
      <c r="BJ104" s="156">
        <v>1</v>
      </c>
      <c r="BK104" s="156"/>
      <c r="BL104" s="156"/>
    </row>
    <row r="105" spans="1:70">
      <c r="A105" s="184" t="str">
        <f t="shared" si="1"/>
        <v>21106101</v>
      </c>
      <c r="B105" s="158" t="s">
        <v>1513</v>
      </c>
      <c r="C105" s="158" t="s">
        <v>2951</v>
      </c>
      <c r="D105" s="159" t="s">
        <v>1512</v>
      </c>
      <c r="E105" s="159"/>
      <c r="F105" s="158" t="s">
        <v>1515</v>
      </c>
      <c r="G105" s="167">
        <v>34033</v>
      </c>
      <c r="H105" s="167"/>
      <c r="I105" s="159" t="s">
        <v>2569</v>
      </c>
      <c r="J105" s="159" t="s">
        <v>2619</v>
      </c>
      <c r="K105" s="159" t="s">
        <v>35</v>
      </c>
      <c r="L105" s="159" t="s">
        <v>1514</v>
      </c>
      <c r="M105" s="158" t="s">
        <v>2626</v>
      </c>
      <c r="N105" s="158" t="s">
        <v>2625</v>
      </c>
      <c r="O105" s="159" t="s">
        <v>2657</v>
      </c>
      <c r="P105" s="159" t="s">
        <v>2662</v>
      </c>
      <c r="Q105" s="159" t="s">
        <v>2840</v>
      </c>
      <c r="R105" s="159" t="s">
        <v>2863</v>
      </c>
      <c r="S105" s="159"/>
      <c r="T105" s="159"/>
      <c r="U105" s="158"/>
      <c r="V105" s="158"/>
      <c r="W105" s="159"/>
      <c r="X105" s="159"/>
      <c r="Y105" s="159"/>
      <c r="Z105" s="159"/>
      <c r="AA105" s="159"/>
      <c r="AB105" s="167">
        <v>40695</v>
      </c>
      <c r="AC105" s="159" t="s">
        <v>45</v>
      </c>
      <c r="AD105" s="158"/>
      <c r="AE105" s="159"/>
      <c r="AF105" s="159"/>
      <c r="AG105" s="159"/>
      <c r="AH105" s="159"/>
      <c r="AI105" s="159"/>
      <c r="AJ105" s="159"/>
      <c r="AK105" s="159" t="s">
        <v>2600</v>
      </c>
      <c r="AL105" s="159"/>
      <c r="AM105" s="159"/>
      <c r="AN105" s="159" t="s">
        <v>786</v>
      </c>
      <c r="AO105" s="172" t="s">
        <v>78</v>
      </c>
      <c r="AP105" s="172"/>
      <c r="AQ105" s="172"/>
      <c r="AR105" s="178" t="s">
        <v>2618</v>
      </c>
      <c r="AS105" s="178" t="s">
        <v>2618</v>
      </c>
      <c r="BD105" s="185" t="s">
        <v>1442</v>
      </c>
      <c r="BE105" s="156" t="s">
        <v>1488</v>
      </c>
      <c r="BF105" s="159" t="s">
        <v>1508</v>
      </c>
      <c r="BG105" s="159" t="s">
        <v>45</v>
      </c>
      <c r="BH105" s="159" t="s">
        <v>46</v>
      </c>
      <c r="BI105" s="159" t="s">
        <v>41</v>
      </c>
      <c r="BJ105" s="156">
        <v>1</v>
      </c>
      <c r="BK105" s="156"/>
      <c r="BL105" s="156"/>
    </row>
    <row r="106" spans="1:70">
      <c r="A106" s="184" t="str">
        <f t="shared" si="1"/>
        <v>21106102</v>
      </c>
      <c r="B106" s="158" t="s">
        <v>1532</v>
      </c>
      <c r="C106" s="158" t="s">
        <v>2952</v>
      </c>
      <c r="D106" s="159" t="s">
        <v>1531</v>
      </c>
      <c r="E106" s="159"/>
      <c r="F106" s="158" t="s">
        <v>1534</v>
      </c>
      <c r="G106" s="167">
        <v>31260</v>
      </c>
      <c r="H106" s="167"/>
      <c r="I106" s="159" t="s">
        <v>2569</v>
      </c>
      <c r="J106" s="159" t="s">
        <v>2619</v>
      </c>
      <c r="K106" s="159" t="s">
        <v>35</v>
      </c>
      <c r="L106" s="159" t="s">
        <v>1533</v>
      </c>
      <c r="M106" s="158" t="s">
        <v>2640</v>
      </c>
      <c r="N106" s="158" t="s">
        <v>2625</v>
      </c>
      <c r="O106" s="159" t="s">
        <v>2660</v>
      </c>
      <c r="P106" s="159" t="s">
        <v>2662</v>
      </c>
      <c r="Q106" s="159" t="s">
        <v>2840</v>
      </c>
      <c r="R106" s="159" t="s">
        <v>2863</v>
      </c>
      <c r="S106" s="159"/>
      <c r="T106" s="159"/>
      <c r="U106" s="158"/>
      <c r="V106" s="158"/>
      <c r="W106" s="159"/>
      <c r="X106" s="159"/>
      <c r="Y106" s="159"/>
      <c r="Z106" s="159"/>
      <c r="AA106" s="159"/>
      <c r="AB106" s="167">
        <v>40695</v>
      </c>
      <c r="AC106" s="159" t="s">
        <v>45</v>
      </c>
      <c r="AD106" s="158"/>
      <c r="AE106" s="159"/>
      <c r="AF106" s="159"/>
      <c r="AG106" s="159"/>
      <c r="AH106" s="159"/>
      <c r="AI106" s="159"/>
      <c r="AJ106" s="159"/>
      <c r="AK106" s="159" t="s">
        <v>2600</v>
      </c>
      <c r="AL106" s="159"/>
      <c r="AM106" s="159"/>
      <c r="AN106" s="159" t="s">
        <v>786</v>
      </c>
      <c r="AO106" s="172" t="s">
        <v>78</v>
      </c>
      <c r="AP106" s="172"/>
      <c r="AQ106" s="172"/>
      <c r="AR106" s="178" t="s">
        <v>2618</v>
      </c>
      <c r="AS106" s="178" t="s">
        <v>2618</v>
      </c>
      <c r="BD106" s="185" t="s">
        <v>1442</v>
      </c>
      <c r="BE106" s="156" t="s">
        <v>1499</v>
      </c>
      <c r="BF106" s="159" t="s">
        <v>1482</v>
      </c>
      <c r="BG106" s="159" t="s">
        <v>45</v>
      </c>
      <c r="BH106" s="159" t="s">
        <v>121</v>
      </c>
      <c r="BI106" s="159" t="s">
        <v>41</v>
      </c>
      <c r="BJ106" s="156">
        <v>1</v>
      </c>
      <c r="BK106" s="156"/>
      <c r="BL106" s="156"/>
    </row>
    <row r="107" spans="1:70">
      <c r="A107" s="184" t="str">
        <f t="shared" si="1"/>
        <v>41106103</v>
      </c>
      <c r="B107" s="158" t="s">
        <v>1777</v>
      </c>
      <c r="C107" s="158" t="s">
        <v>2953</v>
      </c>
      <c r="D107" s="159" t="s">
        <v>1776</v>
      </c>
      <c r="E107" s="159"/>
      <c r="F107" s="158" t="s">
        <v>1779</v>
      </c>
      <c r="G107" s="167">
        <v>25355</v>
      </c>
      <c r="H107" s="167"/>
      <c r="I107" s="159" t="s">
        <v>2570</v>
      </c>
      <c r="J107" s="159" t="s">
        <v>2619</v>
      </c>
      <c r="K107" s="159" t="s">
        <v>165</v>
      </c>
      <c r="L107" s="159" t="s">
        <v>1778</v>
      </c>
      <c r="M107" s="158" t="s">
        <v>2623</v>
      </c>
      <c r="N107" s="158" t="s">
        <v>2623</v>
      </c>
      <c r="O107" s="159" t="s">
        <v>2686</v>
      </c>
      <c r="P107" s="159" t="s">
        <v>2659</v>
      </c>
      <c r="Q107" s="159" t="s">
        <v>2840</v>
      </c>
      <c r="R107" s="159" t="s">
        <v>2863</v>
      </c>
      <c r="S107" s="159"/>
      <c r="T107" s="159"/>
      <c r="U107" s="158"/>
      <c r="V107" s="158"/>
      <c r="W107" s="159"/>
      <c r="X107" s="159"/>
      <c r="Y107" s="159"/>
      <c r="Z107" s="159"/>
      <c r="AA107" s="159"/>
      <c r="AB107" s="167">
        <v>40695</v>
      </c>
      <c r="AC107" s="159" t="s">
        <v>129</v>
      </c>
      <c r="AD107" s="158"/>
      <c r="AE107" s="159"/>
      <c r="AF107" s="159"/>
      <c r="AG107" s="159"/>
      <c r="AH107" s="159"/>
      <c r="AI107" s="159"/>
      <c r="AJ107" s="159"/>
      <c r="AK107" s="159" t="s">
        <v>2600</v>
      </c>
      <c r="AL107" s="159"/>
      <c r="AM107" s="159"/>
      <c r="AN107" s="159" t="s">
        <v>786</v>
      </c>
      <c r="AO107" s="172" t="s">
        <v>115</v>
      </c>
      <c r="AP107" s="172"/>
      <c r="AQ107" s="172"/>
      <c r="AR107" s="178" t="s">
        <v>2618</v>
      </c>
      <c r="AS107" s="178" t="s">
        <v>2618</v>
      </c>
      <c r="BD107" s="185" t="s">
        <v>1442</v>
      </c>
      <c r="BE107" s="156" t="s">
        <v>1758</v>
      </c>
      <c r="BF107" s="159" t="s">
        <v>1482</v>
      </c>
      <c r="BG107" s="159" t="s">
        <v>129</v>
      </c>
      <c r="BH107" s="159" t="s">
        <v>121</v>
      </c>
      <c r="BI107" s="159" t="s">
        <v>41</v>
      </c>
      <c r="BJ107" s="156">
        <v>1</v>
      </c>
      <c r="BK107" s="156"/>
      <c r="BL107" s="156"/>
    </row>
    <row r="108" spans="1:70">
      <c r="A108" s="184" t="str">
        <f t="shared" si="1"/>
        <v>41111104</v>
      </c>
      <c r="B108" s="158" t="s">
        <v>1378</v>
      </c>
      <c r="C108" s="158" t="s">
        <v>2954</v>
      </c>
      <c r="D108" s="159" t="s">
        <v>1377</v>
      </c>
      <c r="E108" s="159"/>
      <c r="F108" s="158" t="s">
        <v>1379</v>
      </c>
      <c r="G108" s="167">
        <v>27902</v>
      </c>
      <c r="H108" s="167"/>
      <c r="I108" s="159" t="s">
        <v>2569</v>
      </c>
      <c r="J108" s="159" t="s">
        <v>2619</v>
      </c>
      <c r="K108" s="159" t="s">
        <v>35</v>
      </c>
      <c r="L108" s="159" t="s">
        <v>661</v>
      </c>
      <c r="M108" s="158" t="s">
        <v>2626</v>
      </c>
      <c r="N108" s="158" t="s">
        <v>2627</v>
      </c>
      <c r="O108" s="159" t="s">
        <v>2657</v>
      </c>
      <c r="P108" s="159" t="s">
        <v>2662</v>
      </c>
      <c r="Q108" s="159" t="s">
        <v>2840</v>
      </c>
      <c r="R108" s="159" t="s">
        <v>2863</v>
      </c>
      <c r="S108" s="159"/>
      <c r="T108" s="159"/>
      <c r="U108" s="158"/>
      <c r="V108" s="158"/>
      <c r="W108" s="159"/>
      <c r="X108" s="159"/>
      <c r="Y108" s="159"/>
      <c r="Z108" s="159"/>
      <c r="AA108" s="159"/>
      <c r="AB108" s="167">
        <v>40852</v>
      </c>
      <c r="AC108" s="159" t="s">
        <v>129</v>
      </c>
      <c r="AD108" s="158"/>
      <c r="AE108" s="159"/>
      <c r="AF108" s="159"/>
      <c r="AG108" s="159"/>
      <c r="AH108" s="159"/>
      <c r="AI108" s="159"/>
      <c r="AJ108" s="159"/>
      <c r="AK108" s="159" t="s">
        <v>2600</v>
      </c>
      <c r="AL108" s="159"/>
      <c r="AM108" s="159"/>
      <c r="AN108" s="159" t="s">
        <v>786</v>
      </c>
      <c r="AO108" s="172" t="s">
        <v>115</v>
      </c>
      <c r="AP108" s="172"/>
      <c r="AQ108" s="172"/>
      <c r="AR108" s="178" t="s">
        <v>2618</v>
      </c>
      <c r="AS108" s="178" t="s">
        <v>2618</v>
      </c>
      <c r="BD108" s="185" t="s">
        <v>1002</v>
      </c>
      <c r="BE108" s="156" t="s">
        <v>1127</v>
      </c>
      <c r="BF108" s="185" t="s">
        <v>1049</v>
      </c>
      <c r="BG108" s="159" t="s">
        <v>129</v>
      </c>
      <c r="BH108" s="159" t="s">
        <v>32</v>
      </c>
      <c r="BI108" s="159" t="s">
        <v>41</v>
      </c>
      <c r="BJ108" s="156">
        <v>1</v>
      </c>
      <c r="BK108" s="156"/>
      <c r="BL108" s="156"/>
    </row>
    <row r="109" spans="1:70">
      <c r="A109" s="184" t="str">
        <f t="shared" si="1"/>
        <v>41206105</v>
      </c>
      <c r="B109" s="158" t="s">
        <v>144</v>
      </c>
      <c r="C109" s="158" t="s">
        <v>2955</v>
      </c>
      <c r="D109" s="159" t="s">
        <v>143</v>
      </c>
      <c r="E109" s="159"/>
      <c r="F109" s="158" t="s">
        <v>146</v>
      </c>
      <c r="G109" s="167">
        <v>29643</v>
      </c>
      <c r="H109" s="167"/>
      <c r="I109" s="159" t="s">
        <v>2569</v>
      </c>
      <c r="J109" s="159" t="s">
        <v>2619</v>
      </c>
      <c r="K109" s="159" t="s">
        <v>35</v>
      </c>
      <c r="L109" s="159" t="s">
        <v>145</v>
      </c>
      <c r="M109" s="158" t="s">
        <v>2641</v>
      </c>
      <c r="N109" s="158" t="s">
        <v>2626</v>
      </c>
      <c r="O109" s="159" t="s">
        <v>2660</v>
      </c>
      <c r="P109" s="159" t="s">
        <v>2662</v>
      </c>
      <c r="Q109" s="159" t="s">
        <v>2840</v>
      </c>
      <c r="R109" s="159" t="s">
        <v>2863</v>
      </c>
      <c r="S109" s="159"/>
      <c r="T109" s="159"/>
      <c r="U109" s="158"/>
      <c r="V109" s="158"/>
      <c r="W109" s="159"/>
      <c r="X109" s="159"/>
      <c r="Y109" s="159"/>
      <c r="Z109" s="159"/>
      <c r="AA109" s="159"/>
      <c r="AB109" s="167">
        <v>41061</v>
      </c>
      <c r="AC109" s="159" t="s">
        <v>129</v>
      </c>
      <c r="AD109" s="158"/>
      <c r="AE109" s="159"/>
      <c r="AF109" s="159"/>
      <c r="AG109" s="159"/>
      <c r="AH109" s="159"/>
      <c r="AI109" s="159"/>
      <c r="AJ109" s="159"/>
      <c r="AK109" s="159" t="s">
        <v>2600</v>
      </c>
      <c r="AL109" s="159"/>
      <c r="AM109" s="159"/>
      <c r="AN109" s="159" t="s">
        <v>29</v>
      </c>
      <c r="AO109" s="172" t="s">
        <v>115</v>
      </c>
      <c r="AP109" s="172"/>
      <c r="AQ109" s="172"/>
      <c r="AR109" s="178" t="s">
        <v>2618</v>
      </c>
      <c r="AS109" s="178" t="s">
        <v>2618</v>
      </c>
      <c r="BD109" s="156"/>
      <c r="BE109" s="185" t="s">
        <v>128</v>
      </c>
      <c r="BF109" s="159"/>
      <c r="BG109" s="159" t="s">
        <v>129</v>
      </c>
      <c r="BH109" s="159" t="s">
        <v>46</v>
      </c>
      <c r="BI109" s="159" t="s">
        <v>41</v>
      </c>
      <c r="BJ109" s="156">
        <v>1</v>
      </c>
      <c r="BK109" s="156"/>
      <c r="BL109" s="156"/>
      <c r="BM109" s="190"/>
      <c r="BN109" s="190"/>
      <c r="BO109" s="190"/>
      <c r="BP109" s="190"/>
      <c r="BQ109" s="190"/>
      <c r="BR109" s="190"/>
    </row>
    <row r="110" spans="1:70">
      <c r="A110" s="184" t="str">
        <f t="shared" si="1"/>
        <v>41206106</v>
      </c>
      <c r="B110" s="158" t="s">
        <v>176</v>
      </c>
      <c r="C110" s="158" t="s">
        <v>2956</v>
      </c>
      <c r="D110" s="159" t="s">
        <v>175</v>
      </c>
      <c r="E110" s="159"/>
      <c r="F110" s="158"/>
      <c r="G110" s="167">
        <v>30915</v>
      </c>
      <c r="H110" s="167"/>
      <c r="I110" s="159" t="s">
        <v>2569</v>
      </c>
      <c r="J110" s="159" t="s">
        <v>2619</v>
      </c>
      <c r="K110" s="159" t="s">
        <v>35</v>
      </c>
      <c r="L110" s="159" t="s">
        <v>177</v>
      </c>
      <c r="M110" s="158" t="s">
        <v>2625</v>
      </c>
      <c r="N110" s="158" t="s">
        <v>2625</v>
      </c>
      <c r="O110" s="159" t="s">
        <v>2659</v>
      </c>
      <c r="P110" s="159" t="s">
        <v>2659</v>
      </c>
      <c r="Q110" s="159" t="s">
        <v>2840</v>
      </c>
      <c r="R110" s="159" t="s">
        <v>2863</v>
      </c>
      <c r="S110" s="159"/>
      <c r="T110" s="159"/>
      <c r="U110" s="158"/>
      <c r="V110" s="158"/>
      <c r="W110" s="159"/>
      <c r="X110" s="159"/>
      <c r="Y110" s="159"/>
      <c r="Z110" s="159"/>
      <c r="AA110" s="159"/>
      <c r="AB110" s="167">
        <v>41061</v>
      </c>
      <c r="AC110" s="159" t="s">
        <v>129</v>
      </c>
      <c r="AD110" s="158"/>
      <c r="AE110" s="159"/>
      <c r="AF110" s="159"/>
      <c r="AG110" s="159"/>
      <c r="AH110" s="159"/>
      <c r="AI110" s="159"/>
      <c r="AJ110" s="159"/>
      <c r="AK110" s="159" t="s">
        <v>2600</v>
      </c>
      <c r="AL110" s="159"/>
      <c r="AM110" s="159"/>
      <c r="AN110" s="159" t="s">
        <v>29</v>
      </c>
      <c r="AO110" s="172" t="s">
        <v>115</v>
      </c>
      <c r="AP110" s="172"/>
      <c r="AQ110" s="172"/>
      <c r="AR110" s="178" t="s">
        <v>2618</v>
      </c>
      <c r="AS110" s="178" t="s">
        <v>2618</v>
      </c>
      <c r="BD110" s="156"/>
      <c r="BE110" s="185" t="s">
        <v>128</v>
      </c>
      <c r="BF110" s="159"/>
      <c r="BG110" s="159" t="s">
        <v>129</v>
      </c>
      <c r="BH110" s="159" t="s">
        <v>32</v>
      </c>
      <c r="BI110" s="159" t="s">
        <v>41</v>
      </c>
      <c r="BJ110" s="156">
        <v>1</v>
      </c>
      <c r="BK110" s="156"/>
      <c r="BL110" s="156"/>
    </row>
    <row r="111" spans="1:70">
      <c r="A111" s="184" t="str">
        <f t="shared" si="1"/>
        <v>31206107</v>
      </c>
      <c r="B111" s="158" t="s">
        <v>444</v>
      </c>
      <c r="C111" s="158" t="s">
        <v>2957</v>
      </c>
      <c r="D111" s="159" t="s">
        <v>443</v>
      </c>
      <c r="E111" s="159"/>
      <c r="F111" s="158"/>
      <c r="G111" s="167">
        <v>27922</v>
      </c>
      <c r="H111" s="167"/>
      <c r="I111" s="159" t="s">
        <v>2569</v>
      </c>
      <c r="J111" s="159" t="s">
        <v>2619</v>
      </c>
      <c r="K111" s="159" t="s">
        <v>35</v>
      </c>
      <c r="L111" s="159" t="s">
        <v>445</v>
      </c>
      <c r="M111" s="158" t="s">
        <v>2622</v>
      </c>
      <c r="N111" s="158" t="s">
        <v>2625</v>
      </c>
      <c r="O111" s="159" t="s">
        <v>2659</v>
      </c>
      <c r="P111" s="159" t="s">
        <v>2659</v>
      </c>
      <c r="Q111" s="159" t="s">
        <v>2840</v>
      </c>
      <c r="R111" s="159" t="s">
        <v>2863</v>
      </c>
      <c r="S111" s="159"/>
      <c r="T111" s="159"/>
      <c r="U111" s="158"/>
      <c r="V111" s="158"/>
      <c r="W111" s="159"/>
      <c r="X111" s="159"/>
      <c r="Y111" s="159"/>
      <c r="Z111" s="159"/>
      <c r="AA111" s="159"/>
      <c r="AB111" s="167">
        <v>41061</v>
      </c>
      <c r="AC111" s="159" t="s">
        <v>71</v>
      </c>
      <c r="AD111" s="158"/>
      <c r="AE111" s="159"/>
      <c r="AF111" s="159"/>
      <c r="AG111" s="159"/>
      <c r="AH111" s="159"/>
      <c r="AI111" s="159"/>
      <c r="AJ111" s="159"/>
      <c r="AK111" s="159" t="s">
        <v>2600</v>
      </c>
      <c r="AL111" s="159"/>
      <c r="AM111" s="159"/>
      <c r="AN111" s="159" t="s">
        <v>392</v>
      </c>
      <c r="AO111" s="172" t="s">
        <v>115</v>
      </c>
      <c r="AP111" s="172"/>
      <c r="AQ111" s="172"/>
      <c r="AR111" s="178" t="s">
        <v>2618</v>
      </c>
      <c r="AS111" s="178" t="s">
        <v>2618</v>
      </c>
      <c r="BD111" s="159" t="s">
        <v>401</v>
      </c>
      <c r="BF111" s="159"/>
      <c r="BG111" s="159" t="s">
        <v>71</v>
      </c>
      <c r="BH111" s="159" t="s">
        <v>158</v>
      </c>
      <c r="BI111" s="159" t="s">
        <v>41</v>
      </c>
      <c r="BJ111" s="156">
        <v>3</v>
      </c>
      <c r="BK111" s="156"/>
      <c r="BL111" s="156"/>
    </row>
    <row r="112" spans="1:70">
      <c r="A112" s="184" t="str">
        <f t="shared" si="1"/>
        <v>41206108</v>
      </c>
      <c r="B112" s="158" t="s">
        <v>960</v>
      </c>
      <c r="C112" s="158" t="s">
        <v>2958</v>
      </c>
      <c r="D112" s="159" t="s">
        <v>958</v>
      </c>
      <c r="E112" s="159"/>
      <c r="F112" s="158" t="s">
        <v>961</v>
      </c>
      <c r="G112" s="167">
        <v>34140</v>
      </c>
      <c r="H112" s="167"/>
      <c r="I112" s="159" t="s">
        <v>2569</v>
      </c>
      <c r="J112" s="159" t="s">
        <v>2619</v>
      </c>
      <c r="K112" s="159" t="s">
        <v>35</v>
      </c>
      <c r="L112" s="159" t="s">
        <v>263</v>
      </c>
      <c r="M112" s="158" t="s">
        <v>2621</v>
      </c>
      <c r="N112" s="158" t="s">
        <v>2626</v>
      </c>
      <c r="O112" s="159" t="s">
        <v>2659</v>
      </c>
      <c r="P112" s="159" t="s">
        <v>2659</v>
      </c>
      <c r="Q112" s="159" t="s">
        <v>2840</v>
      </c>
      <c r="R112" s="159" t="s">
        <v>2863</v>
      </c>
      <c r="S112" s="159"/>
      <c r="T112" s="159"/>
      <c r="U112" s="158"/>
      <c r="V112" s="158"/>
      <c r="W112" s="159"/>
      <c r="X112" s="159"/>
      <c r="Y112" s="159"/>
      <c r="Z112" s="159"/>
      <c r="AA112" s="159"/>
      <c r="AB112" s="167">
        <v>41061</v>
      </c>
      <c r="AC112" s="159" t="s">
        <v>129</v>
      </c>
      <c r="AD112" s="158"/>
      <c r="AE112" s="159"/>
      <c r="AF112" s="159"/>
      <c r="AG112" s="159"/>
      <c r="AH112" s="159"/>
      <c r="AI112" s="159"/>
      <c r="AJ112" s="159"/>
      <c r="AK112" s="159" t="s">
        <v>2600</v>
      </c>
      <c r="AL112" s="159"/>
      <c r="AM112" s="159"/>
      <c r="AN112" s="159" t="s">
        <v>786</v>
      </c>
      <c r="AO112" s="162" t="s">
        <v>115</v>
      </c>
      <c r="AR112" s="178" t="s">
        <v>2618</v>
      </c>
      <c r="AS112" s="178" t="s">
        <v>2618</v>
      </c>
      <c r="BD112" s="185" t="s">
        <v>787</v>
      </c>
      <c r="BE112" s="156" t="s">
        <v>918</v>
      </c>
      <c r="BF112" s="159" t="s">
        <v>841</v>
      </c>
      <c r="BG112" s="159" t="s">
        <v>129</v>
      </c>
      <c r="BH112" s="159" t="s">
        <v>46</v>
      </c>
      <c r="BI112" s="159" t="s">
        <v>41</v>
      </c>
      <c r="BJ112" s="156">
        <v>1</v>
      </c>
      <c r="BK112" s="156"/>
      <c r="BL112" s="156"/>
    </row>
    <row r="113" spans="1:70">
      <c r="A113" s="184" t="str">
        <f t="shared" si="1"/>
        <v>21206109</v>
      </c>
      <c r="B113" s="158" t="s">
        <v>1111</v>
      </c>
      <c r="C113" s="158" t="s">
        <v>2959</v>
      </c>
      <c r="D113" s="159" t="s">
        <v>1109</v>
      </c>
      <c r="E113" s="159"/>
      <c r="F113" s="158" t="s">
        <v>1113</v>
      </c>
      <c r="G113" s="167">
        <v>34040</v>
      </c>
      <c r="H113" s="167"/>
      <c r="I113" s="159" t="s">
        <v>2569</v>
      </c>
      <c r="J113" s="159" t="s">
        <v>2619</v>
      </c>
      <c r="K113" s="159" t="s">
        <v>165</v>
      </c>
      <c r="L113" s="159" t="s">
        <v>1112</v>
      </c>
      <c r="M113" s="158" t="s">
        <v>2623</v>
      </c>
      <c r="N113" s="158" t="s">
        <v>2622</v>
      </c>
      <c r="O113" s="159" t="s">
        <v>2657</v>
      </c>
      <c r="P113" s="159" t="s">
        <v>2662</v>
      </c>
      <c r="Q113" s="159" t="s">
        <v>2840</v>
      </c>
      <c r="R113" s="159" t="s">
        <v>2863</v>
      </c>
      <c r="S113" s="159"/>
      <c r="T113" s="159"/>
      <c r="U113" s="158"/>
      <c r="V113" s="158"/>
      <c r="W113" s="159"/>
      <c r="X113" s="159"/>
      <c r="Y113" s="159"/>
      <c r="Z113" s="159"/>
      <c r="AA113" s="159"/>
      <c r="AB113" s="167">
        <v>41061</v>
      </c>
      <c r="AC113" s="159" t="s">
        <v>45</v>
      </c>
      <c r="AD113" s="158"/>
      <c r="AE113" s="159"/>
      <c r="AF113" s="159"/>
      <c r="AG113" s="159"/>
      <c r="AH113" s="159"/>
      <c r="AI113" s="159"/>
      <c r="AJ113" s="159"/>
      <c r="AK113" s="159" t="s">
        <v>2600</v>
      </c>
      <c r="AL113" s="159"/>
      <c r="AM113" s="159"/>
      <c r="AN113" s="185" t="s">
        <v>786</v>
      </c>
      <c r="AO113" s="172" t="s">
        <v>78</v>
      </c>
      <c r="AP113" s="172"/>
      <c r="AQ113" s="172"/>
      <c r="AR113" s="178" t="s">
        <v>2618</v>
      </c>
      <c r="AS113" s="178" t="s">
        <v>2618</v>
      </c>
      <c r="BD113" s="185" t="s">
        <v>1002</v>
      </c>
      <c r="BE113" s="156" t="s">
        <v>2457</v>
      </c>
      <c r="BF113" s="185" t="s">
        <v>1049</v>
      </c>
      <c r="BG113" s="159" t="s">
        <v>45</v>
      </c>
      <c r="BH113" s="159" t="s">
        <v>46</v>
      </c>
      <c r="BI113" s="159" t="s">
        <v>41</v>
      </c>
      <c r="BJ113" s="156">
        <v>1</v>
      </c>
      <c r="BK113" s="156"/>
      <c r="BL113" s="156"/>
    </row>
    <row r="114" spans="1:70">
      <c r="A114" s="184" t="str">
        <f t="shared" si="1"/>
        <v>21206110</v>
      </c>
      <c r="B114" s="158" t="s">
        <v>1117</v>
      </c>
      <c r="C114" s="158" t="s">
        <v>2960</v>
      </c>
      <c r="D114" s="159" t="s">
        <v>1116</v>
      </c>
      <c r="E114" s="159"/>
      <c r="F114" s="158" t="s">
        <v>1118</v>
      </c>
      <c r="G114" s="167">
        <v>29733</v>
      </c>
      <c r="H114" s="167"/>
      <c r="I114" s="159" t="s">
        <v>2569</v>
      </c>
      <c r="J114" s="159" t="s">
        <v>2619</v>
      </c>
      <c r="K114" s="159" t="s">
        <v>35</v>
      </c>
      <c r="L114" s="159" t="s">
        <v>355</v>
      </c>
      <c r="M114" s="158" t="s">
        <v>2642</v>
      </c>
      <c r="N114" s="158" t="s">
        <v>2623</v>
      </c>
      <c r="O114" s="159" t="s">
        <v>2660</v>
      </c>
      <c r="P114" s="159" t="s">
        <v>2662</v>
      </c>
      <c r="Q114" s="159" t="s">
        <v>2840</v>
      </c>
      <c r="R114" s="159" t="s">
        <v>2863</v>
      </c>
      <c r="S114" s="159"/>
      <c r="T114" s="159"/>
      <c r="U114" s="158"/>
      <c r="V114" s="158"/>
      <c r="W114" s="159"/>
      <c r="X114" s="159"/>
      <c r="Y114" s="159"/>
      <c r="Z114" s="159"/>
      <c r="AA114" s="159"/>
      <c r="AB114" s="167">
        <v>41061</v>
      </c>
      <c r="AC114" s="159" t="s">
        <v>45</v>
      </c>
      <c r="AD114" s="158"/>
      <c r="AE114" s="159"/>
      <c r="AF114" s="159"/>
      <c r="AG114" s="159"/>
      <c r="AH114" s="159"/>
      <c r="AI114" s="159"/>
      <c r="AJ114" s="159"/>
      <c r="AK114" s="159" t="s">
        <v>2600</v>
      </c>
      <c r="AL114" s="159"/>
      <c r="AM114" s="159"/>
      <c r="AN114" s="159" t="s">
        <v>786</v>
      </c>
      <c r="AO114" s="172" t="s">
        <v>78</v>
      </c>
      <c r="AP114" s="172"/>
      <c r="AQ114" s="172"/>
      <c r="AR114" s="178" t="s">
        <v>2618</v>
      </c>
      <c r="AS114" s="178" t="s">
        <v>2618</v>
      </c>
      <c r="BD114" s="185" t="s">
        <v>1002</v>
      </c>
      <c r="BE114" s="156" t="s">
        <v>1110</v>
      </c>
      <c r="BF114" s="185" t="s">
        <v>1049</v>
      </c>
      <c r="BG114" s="159" t="s">
        <v>45</v>
      </c>
      <c r="BH114" s="159" t="s">
        <v>32</v>
      </c>
      <c r="BI114" s="159" t="s">
        <v>41</v>
      </c>
      <c r="BJ114" s="156">
        <v>1</v>
      </c>
      <c r="BK114" s="156"/>
      <c r="BL114" s="156"/>
    </row>
    <row r="115" spans="1:70">
      <c r="A115" s="184" t="str">
        <f t="shared" si="1"/>
        <v>21206111</v>
      </c>
      <c r="B115" s="191"/>
      <c r="C115" s="158" t="s">
        <v>2961</v>
      </c>
      <c r="D115" s="159" t="s">
        <v>1121</v>
      </c>
      <c r="E115" s="159"/>
      <c r="F115" s="158" t="s">
        <v>1123</v>
      </c>
      <c r="G115" s="167">
        <v>32349</v>
      </c>
      <c r="H115" s="167"/>
      <c r="I115" s="159" t="s">
        <v>2569</v>
      </c>
      <c r="J115" s="159" t="s">
        <v>2619</v>
      </c>
      <c r="K115" s="159" t="s">
        <v>35</v>
      </c>
      <c r="L115" s="158" t="s">
        <v>1051</v>
      </c>
      <c r="M115" s="158" t="s">
        <v>2622</v>
      </c>
      <c r="N115" s="158" t="s">
        <v>2621</v>
      </c>
      <c r="O115" s="159" t="s">
        <v>2660</v>
      </c>
      <c r="P115" s="159" t="s">
        <v>2662</v>
      </c>
      <c r="Q115" s="159" t="s">
        <v>2840</v>
      </c>
      <c r="R115" s="159" t="s">
        <v>2863</v>
      </c>
      <c r="S115" s="159"/>
      <c r="T115" s="159"/>
      <c r="U115" s="158"/>
      <c r="V115" s="158"/>
      <c r="W115" s="159"/>
      <c r="X115" s="159"/>
      <c r="Y115" s="159"/>
      <c r="Z115" s="159"/>
      <c r="AA115" s="159"/>
      <c r="AB115" s="167">
        <v>41061</v>
      </c>
      <c r="AC115" s="159" t="s">
        <v>45</v>
      </c>
      <c r="AD115" s="158"/>
      <c r="AE115" s="159"/>
      <c r="AF115" s="159"/>
      <c r="AG115" s="159"/>
      <c r="AH115" s="159"/>
      <c r="AI115" s="159"/>
      <c r="AJ115" s="159"/>
      <c r="AK115" s="159" t="s">
        <v>2600</v>
      </c>
      <c r="AL115" s="159"/>
      <c r="AM115" s="159"/>
      <c r="AN115" s="159" t="s">
        <v>786</v>
      </c>
      <c r="AO115" s="172" t="s">
        <v>78</v>
      </c>
      <c r="AP115" s="172"/>
      <c r="AQ115" s="172"/>
      <c r="AR115" s="178" t="s">
        <v>2618</v>
      </c>
      <c r="AS115" s="178" t="s">
        <v>2618</v>
      </c>
      <c r="BD115" s="185" t="s">
        <v>1002</v>
      </c>
      <c r="BE115" s="156" t="s">
        <v>1110</v>
      </c>
      <c r="BF115" s="185" t="s">
        <v>2333</v>
      </c>
      <c r="BG115" s="159" t="s">
        <v>45</v>
      </c>
      <c r="BH115" s="159" t="s">
        <v>121</v>
      </c>
      <c r="BI115" s="159" t="s">
        <v>41</v>
      </c>
      <c r="BJ115" s="156">
        <v>1</v>
      </c>
      <c r="BK115" s="156"/>
      <c r="BL115" s="156"/>
    </row>
    <row r="116" spans="1:70">
      <c r="A116" s="184" t="str">
        <f t="shared" si="1"/>
        <v>31206112</v>
      </c>
      <c r="B116" s="158" t="s">
        <v>1222</v>
      </c>
      <c r="C116" s="158" t="s">
        <v>2962</v>
      </c>
      <c r="D116" s="159" t="s">
        <v>1221</v>
      </c>
      <c r="E116" s="159"/>
      <c r="F116" s="158" t="s">
        <v>1224</v>
      </c>
      <c r="G116" s="167">
        <v>33157</v>
      </c>
      <c r="H116" s="167"/>
      <c r="I116" s="159" t="s">
        <v>2569</v>
      </c>
      <c r="J116" s="159" t="s">
        <v>2619</v>
      </c>
      <c r="K116" s="159" t="s">
        <v>35</v>
      </c>
      <c r="L116" s="159" t="s">
        <v>1223</v>
      </c>
      <c r="M116" s="158" t="s">
        <v>2626</v>
      </c>
      <c r="N116" s="158" t="s">
        <v>2621</v>
      </c>
      <c r="O116" s="159" t="s">
        <v>2660</v>
      </c>
      <c r="P116" s="159" t="s">
        <v>2662</v>
      </c>
      <c r="Q116" s="159" t="s">
        <v>2840</v>
      </c>
      <c r="R116" s="159" t="s">
        <v>2863</v>
      </c>
      <c r="S116" s="159"/>
      <c r="T116" s="159"/>
      <c r="U116" s="158"/>
      <c r="V116" s="158"/>
      <c r="W116" s="159"/>
      <c r="X116" s="159"/>
      <c r="Y116" s="159"/>
      <c r="Z116" s="159"/>
      <c r="AA116" s="159"/>
      <c r="AB116" s="167">
        <v>41061</v>
      </c>
      <c r="AC116" s="159" t="s">
        <v>71</v>
      </c>
      <c r="AD116" s="158"/>
      <c r="AE116" s="159"/>
      <c r="AF116" s="159"/>
      <c r="AG116" s="159"/>
      <c r="AH116" s="159"/>
      <c r="AI116" s="159"/>
      <c r="AJ116" s="159"/>
      <c r="AK116" s="159" t="s">
        <v>2600</v>
      </c>
      <c r="AL116" s="159"/>
      <c r="AM116" s="159"/>
      <c r="AN116" s="159" t="s">
        <v>786</v>
      </c>
      <c r="AO116" s="172" t="s">
        <v>78</v>
      </c>
      <c r="AP116" s="172"/>
      <c r="AQ116" s="172"/>
      <c r="AR116" s="178" t="s">
        <v>2618</v>
      </c>
      <c r="AS116" s="178" t="s">
        <v>2618</v>
      </c>
      <c r="BD116" s="185" t="s">
        <v>1002</v>
      </c>
      <c r="BE116" s="156" t="s">
        <v>1092</v>
      </c>
      <c r="BF116" s="185" t="s">
        <v>1049</v>
      </c>
      <c r="BG116" s="159" t="s">
        <v>71</v>
      </c>
      <c r="BH116" s="159" t="s">
        <v>46</v>
      </c>
      <c r="BI116" s="159" t="s">
        <v>41</v>
      </c>
      <c r="BJ116" s="156">
        <v>1</v>
      </c>
      <c r="BK116" s="156"/>
      <c r="BL116" s="156"/>
    </row>
    <row r="117" spans="1:70">
      <c r="A117" s="184" t="str">
        <f t="shared" si="1"/>
        <v>41206113</v>
      </c>
      <c r="B117" s="158" t="s">
        <v>1289</v>
      </c>
      <c r="C117" s="158" t="s">
        <v>2963</v>
      </c>
      <c r="D117" s="159" t="s">
        <v>1288</v>
      </c>
      <c r="E117" s="159"/>
      <c r="F117" s="158" t="s">
        <v>1291</v>
      </c>
      <c r="G117" s="167">
        <v>33768</v>
      </c>
      <c r="H117" s="167"/>
      <c r="I117" s="159" t="s">
        <v>2569</v>
      </c>
      <c r="J117" s="159" t="s">
        <v>2619</v>
      </c>
      <c r="K117" s="159" t="s">
        <v>35</v>
      </c>
      <c r="L117" s="159" t="s">
        <v>1290</v>
      </c>
      <c r="M117" s="158" t="s">
        <v>2633</v>
      </c>
      <c r="N117" s="158" t="s">
        <v>2623</v>
      </c>
      <c r="O117" s="159" t="s">
        <v>2689</v>
      </c>
      <c r="P117" s="159" t="s">
        <v>2662</v>
      </c>
      <c r="Q117" s="159" t="s">
        <v>2840</v>
      </c>
      <c r="R117" s="159" t="s">
        <v>2863</v>
      </c>
      <c r="S117" s="159"/>
      <c r="T117" s="159"/>
      <c r="U117" s="158"/>
      <c r="V117" s="158"/>
      <c r="W117" s="159"/>
      <c r="X117" s="159"/>
      <c r="Y117" s="159"/>
      <c r="Z117" s="159"/>
      <c r="AA117" s="159"/>
      <c r="AB117" s="167">
        <v>41061</v>
      </c>
      <c r="AC117" s="159" t="s">
        <v>129</v>
      </c>
      <c r="AD117" s="158"/>
      <c r="AE117" s="159"/>
      <c r="AF117" s="159"/>
      <c r="AG117" s="159"/>
      <c r="AH117" s="159"/>
      <c r="AI117" s="159"/>
      <c r="AJ117" s="159"/>
      <c r="AK117" s="159" t="s">
        <v>2600</v>
      </c>
      <c r="AL117" s="159"/>
      <c r="AM117" s="159"/>
      <c r="AN117" s="159" t="s">
        <v>786</v>
      </c>
      <c r="AO117" s="172" t="s">
        <v>115</v>
      </c>
      <c r="AP117" s="172"/>
      <c r="AQ117" s="172"/>
      <c r="AR117" s="178" t="s">
        <v>2618</v>
      </c>
      <c r="AS117" s="178" t="s">
        <v>2618</v>
      </c>
      <c r="BD117" s="185" t="s">
        <v>1002</v>
      </c>
      <c r="BE117" s="156" t="s">
        <v>1061</v>
      </c>
      <c r="BF117" s="185" t="s">
        <v>1042</v>
      </c>
      <c r="BG117" s="159" t="s">
        <v>129</v>
      </c>
      <c r="BH117" s="159" t="s">
        <v>46</v>
      </c>
      <c r="BI117" s="159" t="s">
        <v>41</v>
      </c>
      <c r="BJ117" s="156">
        <v>1</v>
      </c>
      <c r="BK117" s="156"/>
      <c r="BL117" s="156"/>
    </row>
    <row r="118" spans="1:70">
      <c r="A118" s="184" t="str">
        <f t="shared" si="1"/>
        <v>21206114</v>
      </c>
      <c r="B118" s="158" t="s">
        <v>2260</v>
      </c>
      <c r="C118" s="158" t="s">
        <v>2964</v>
      </c>
      <c r="D118" s="159" t="s">
        <v>2258</v>
      </c>
      <c r="E118" s="159"/>
      <c r="F118" s="158" t="s">
        <v>2261</v>
      </c>
      <c r="G118" s="167">
        <v>33651</v>
      </c>
      <c r="H118" s="167"/>
      <c r="I118" s="159" t="s">
        <v>2569</v>
      </c>
      <c r="J118" s="159" t="s">
        <v>2619</v>
      </c>
      <c r="K118" s="159" t="s">
        <v>35</v>
      </c>
      <c r="L118" s="159" t="s">
        <v>2259</v>
      </c>
      <c r="M118" s="158" t="s">
        <v>2623</v>
      </c>
      <c r="N118" s="158" t="s">
        <v>2621</v>
      </c>
      <c r="O118" s="159" t="s">
        <v>2690</v>
      </c>
      <c r="P118" s="159" t="s">
        <v>2805</v>
      </c>
      <c r="Q118" s="159" t="s">
        <v>2846</v>
      </c>
      <c r="R118" s="159" t="s">
        <v>2863</v>
      </c>
      <c r="S118" s="159"/>
      <c r="T118" s="159"/>
      <c r="U118" s="158"/>
      <c r="V118" s="158"/>
      <c r="W118" s="159"/>
      <c r="X118" s="159"/>
      <c r="Y118" s="159"/>
      <c r="Z118" s="159"/>
      <c r="AA118" s="159"/>
      <c r="AB118" s="167">
        <v>41061</v>
      </c>
      <c r="AC118" s="159" t="s">
        <v>45</v>
      </c>
      <c r="AD118" s="158"/>
      <c r="AE118" s="159"/>
      <c r="AF118" s="159"/>
      <c r="AG118" s="159"/>
      <c r="AH118" s="159"/>
      <c r="AI118" s="159"/>
      <c r="AJ118" s="159"/>
      <c r="AK118" s="159" t="s">
        <v>2600</v>
      </c>
      <c r="AL118" s="159"/>
      <c r="AM118" s="159"/>
      <c r="AN118" s="185" t="s">
        <v>2065</v>
      </c>
      <c r="AO118" s="162" t="s">
        <v>2104</v>
      </c>
      <c r="AR118" s="178" t="s">
        <v>2618</v>
      </c>
      <c r="AS118" s="178" t="s">
        <v>2618</v>
      </c>
      <c r="BD118" s="159"/>
      <c r="BE118" s="159" t="s">
        <v>2468</v>
      </c>
      <c r="BF118" s="156"/>
      <c r="BG118" s="159" t="s">
        <v>45</v>
      </c>
      <c r="BH118" s="159" t="s">
        <v>46</v>
      </c>
      <c r="BI118" s="159" t="s">
        <v>41</v>
      </c>
      <c r="BJ118" s="156">
        <v>1</v>
      </c>
      <c r="BK118" s="192"/>
      <c r="BL118" s="156"/>
    </row>
    <row r="119" spans="1:70">
      <c r="A119" s="184" t="str">
        <f t="shared" si="1"/>
        <v>21206115</v>
      </c>
      <c r="B119" s="164"/>
      <c r="C119" s="158" t="s">
        <v>2965</v>
      </c>
      <c r="D119" s="159" t="s">
        <v>767</v>
      </c>
      <c r="E119" s="159"/>
      <c r="F119" s="164"/>
      <c r="G119" s="167"/>
      <c r="H119" s="167"/>
      <c r="I119" s="159" t="s">
        <v>2569</v>
      </c>
      <c r="J119" s="159" t="s">
        <v>2619</v>
      </c>
      <c r="K119" s="159"/>
      <c r="L119" s="159"/>
      <c r="M119" s="158"/>
      <c r="N119" s="158"/>
      <c r="O119" s="159"/>
      <c r="P119" s="159"/>
      <c r="Q119" s="159" t="s">
        <v>2840</v>
      </c>
      <c r="R119" s="159" t="s">
        <v>2863</v>
      </c>
      <c r="S119" s="159"/>
      <c r="T119" s="159"/>
      <c r="U119" s="158"/>
      <c r="V119" s="158"/>
      <c r="W119" s="159"/>
      <c r="X119" s="159"/>
      <c r="Y119" s="159"/>
      <c r="Z119" s="159"/>
      <c r="AA119" s="159"/>
      <c r="AB119" s="167">
        <v>41088</v>
      </c>
      <c r="AC119" s="159" t="s">
        <v>45</v>
      </c>
      <c r="AD119" s="158"/>
      <c r="AE119" s="159"/>
      <c r="AF119" s="159"/>
      <c r="AG119" s="159"/>
      <c r="AH119" s="159"/>
      <c r="AI119" s="159"/>
      <c r="AJ119" s="159"/>
      <c r="AK119" s="159" t="s">
        <v>2600</v>
      </c>
      <c r="AL119" s="159"/>
      <c r="AM119" s="159"/>
      <c r="AN119" s="185" t="s">
        <v>684</v>
      </c>
      <c r="AO119" s="172" t="s">
        <v>54</v>
      </c>
      <c r="AP119" s="172"/>
      <c r="AQ119" s="172"/>
      <c r="AR119" s="178" t="s">
        <v>2618</v>
      </c>
      <c r="AS119" s="178" t="s">
        <v>2618</v>
      </c>
      <c r="BD119" s="185" t="s">
        <v>684</v>
      </c>
      <c r="BF119" s="156"/>
      <c r="BG119" s="159" t="s">
        <v>45</v>
      </c>
      <c r="BH119" s="159" t="s">
        <v>46</v>
      </c>
      <c r="BI119" s="159" t="s">
        <v>41</v>
      </c>
      <c r="BJ119" s="156">
        <v>3</v>
      </c>
      <c r="BK119" s="156"/>
      <c r="BL119" s="156"/>
    </row>
    <row r="120" spans="1:70">
      <c r="A120" s="184" t="str">
        <f t="shared" si="1"/>
        <v>21211116</v>
      </c>
      <c r="B120" s="158" t="s">
        <v>288</v>
      </c>
      <c r="C120" s="158" t="s">
        <v>2966</v>
      </c>
      <c r="D120" s="159" t="s">
        <v>287</v>
      </c>
      <c r="E120" s="159"/>
      <c r="F120" s="158" t="s">
        <v>290</v>
      </c>
      <c r="G120" s="167">
        <v>33970</v>
      </c>
      <c r="H120" s="167"/>
      <c r="I120" s="159" t="s">
        <v>2569</v>
      </c>
      <c r="J120" s="159" t="s">
        <v>2619</v>
      </c>
      <c r="K120" s="159" t="s">
        <v>35</v>
      </c>
      <c r="L120" s="159" t="s">
        <v>289</v>
      </c>
      <c r="M120" s="158" t="s">
        <v>2622</v>
      </c>
      <c r="N120" s="158" t="s">
        <v>2630</v>
      </c>
      <c r="O120" s="159" t="s">
        <v>2657</v>
      </c>
      <c r="P120" s="159" t="s">
        <v>2662</v>
      </c>
      <c r="Q120" s="159" t="s">
        <v>2840</v>
      </c>
      <c r="R120" s="159" t="s">
        <v>2863</v>
      </c>
      <c r="S120" s="159"/>
      <c r="T120" s="159"/>
      <c r="U120" s="158"/>
      <c r="V120" s="158"/>
      <c r="W120" s="159"/>
      <c r="X120" s="159"/>
      <c r="Y120" s="159"/>
      <c r="Z120" s="159"/>
      <c r="AA120" s="159"/>
      <c r="AB120" s="167">
        <v>41214</v>
      </c>
      <c r="AC120" s="159" t="s">
        <v>45</v>
      </c>
      <c r="AD120" s="158"/>
      <c r="AE120" s="159"/>
      <c r="AF120" s="159"/>
      <c r="AG120" s="159"/>
      <c r="AH120" s="159"/>
      <c r="AI120" s="159"/>
      <c r="AJ120" s="159"/>
      <c r="AK120" s="159" t="s">
        <v>2600</v>
      </c>
      <c r="AL120" s="159"/>
      <c r="AM120" s="159"/>
      <c r="AN120" s="185" t="s">
        <v>275</v>
      </c>
      <c r="AO120" s="172" t="s">
        <v>78</v>
      </c>
      <c r="AP120" s="172"/>
      <c r="AQ120" s="172"/>
      <c r="AR120" s="178" t="s">
        <v>2618</v>
      </c>
      <c r="AS120" s="178" t="s">
        <v>2618</v>
      </c>
      <c r="BD120" s="156"/>
      <c r="BF120" s="159"/>
      <c r="BG120" s="159" t="s">
        <v>45</v>
      </c>
      <c r="BH120" s="159" t="s">
        <v>72</v>
      </c>
      <c r="BI120" s="159" t="s">
        <v>41</v>
      </c>
      <c r="BJ120" s="156">
        <v>3</v>
      </c>
      <c r="BK120" s="156"/>
      <c r="BL120" s="156"/>
    </row>
    <row r="121" spans="1:70">
      <c r="A121" s="184" t="str">
        <f t="shared" si="1"/>
        <v>21305117</v>
      </c>
      <c r="B121" s="158" t="s">
        <v>268</v>
      </c>
      <c r="C121" s="158" t="s">
        <v>2967</v>
      </c>
      <c r="D121" s="159" t="s">
        <v>267</v>
      </c>
      <c r="E121" s="159"/>
      <c r="F121" s="158" t="s">
        <v>270</v>
      </c>
      <c r="G121" s="167">
        <v>32132</v>
      </c>
      <c r="H121" s="167"/>
      <c r="I121" s="159" t="s">
        <v>2569</v>
      </c>
      <c r="J121" s="159" t="s">
        <v>2619</v>
      </c>
      <c r="K121" s="159" t="s">
        <v>35</v>
      </c>
      <c r="L121" s="159" t="s">
        <v>269</v>
      </c>
      <c r="M121" s="158" t="s">
        <v>2621</v>
      </c>
      <c r="N121" s="158" t="s">
        <v>2627</v>
      </c>
      <c r="O121" s="159" t="s">
        <v>2691</v>
      </c>
      <c r="P121" s="159" t="s">
        <v>2732</v>
      </c>
      <c r="Q121" s="159" t="s">
        <v>2840</v>
      </c>
      <c r="R121" s="159" t="s">
        <v>2863</v>
      </c>
      <c r="S121" s="159"/>
      <c r="T121" s="159"/>
      <c r="U121" s="158"/>
      <c r="V121" s="158"/>
      <c r="W121" s="159"/>
      <c r="X121" s="159"/>
      <c r="Y121" s="159"/>
      <c r="Z121" s="159"/>
      <c r="AA121" s="159"/>
      <c r="AB121" s="167">
        <v>41395</v>
      </c>
      <c r="AC121" s="159" t="s">
        <v>45</v>
      </c>
      <c r="AD121" s="158"/>
      <c r="AE121" s="159"/>
      <c r="AF121" s="159"/>
      <c r="AG121" s="159"/>
      <c r="AH121" s="159"/>
      <c r="AI121" s="159"/>
      <c r="AJ121" s="159"/>
      <c r="AK121" s="159" t="s">
        <v>2600</v>
      </c>
      <c r="AL121" s="159"/>
      <c r="AM121" s="159"/>
      <c r="AN121" s="185" t="s">
        <v>216</v>
      </c>
      <c r="AO121" s="172" t="s">
        <v>78</v>
      </c>
      <c r="AP121" s="172"/>
      <c r="AQ121" s="172"/>
      <c r="AR121" s="178" t="s">
        <v>2618</v>
      </c>
      <c r="AS121" s="178" t="s">
        <v>2618</v>
      </c>
      <c r="BD121" s="156"/>
      <c r="BF121" s="159"/>
      <c r="BG121" s="159" t="s">
        <v>45</v>
      </c>
      <c r="BH121" s="159" t="s">
        <v>46</v>
      </c>
      <c r="BI121" s="159" t="s">
        <v>41</v>
      </c>
      <c r="BJ121" s="156">
        <v>3</v>
      </c>
      <c r="BK121" s="156"/>
      <c r="BL121" s="156"/>
    </row>
    <row r="122" spans="1:70">
      <c r="A122" s="184" t="str">
        <f t="shared" si="1"/>
        <v>41306118</v>
      </c>
      <c r="B122" s="158" t="s">
        <v>149</v>
      </c>
      <c r="C122" s="158" t="s">
        <v>2968</v>
      </c>
      <c r="D122" s="159" t="s">
        <v>148</v>
      </c>
      <c r="E122" s="159"/>
      <c r="F122" s="158" t="s">
        <v>151</v>
      </c>
      <c r="G122" s="167">
        <v>28440</v>
      </c>
      <c r="H122" s="167"/>
      <c r="I122" s="159" t="s">
        <v>2569</v>
      </c>
      <c r="J122" s="159" t="s">
        <v>2619</v>
      </c>
      <c r="K122" s="159" t="s">
        <v>35</v>
      </c>
      <c r="L122" s="159" t="s">
        <v>150</v>
      </c>
      <c r="M122" s="158" t="s">
        <v>2623</v>
      </c>
      <c r="N122" s="158" t="s">
        <v>2625</v>
      </c>
      <c r="O122" s="159" t="s">
        <v>2692</v>
      </c>
      <c r="P122" s="159" t="s">
        <v>2806</v>
      </c>
      <c r="Q122" s="159" t="s">
        <v>2840</v>
      </c>
      <c r="R122" s="159" t="s">
        <v>2863</v>
      </c>
      <c r="S122" s="159"/>
      <c r="T122" s="159"/>
      <c r="U122" s="158"/>
      <c r="V122" s="158"/>
      <c r="W122" s="159"/>
      <c r="X122" s="159"/>
      <c r="Y122" s="159"/>
      <c r="Z122" s="159"/>
      <c r="AA122" s="159"/>
      <c r="AB122" s="167">
        <v>41426</v>
      </c>
      <c r="AC122" s="159" t="s">
        <v>129</v>
      </c>
      <c r="AD122" s="158"/>
      <c r="AE122" s="159"/>
      <c r="AF122" s="159"/>
      <c r="AG122" s="159"/>
      <c r="AH122" s="159"/>
      <c r="AI122" s="159"/>
      <c r="AJ122" s="159"/>
      <c r="AK122" s="159" t="s">
        <v>2600</v>
      </c>
      <c r="AL122" s="159"/>
      <c r="AM122" s="159"/>
      <c r="AN122" s="159" t="s">
        <v>29</v>
      </c>
      <c r="AO122" s="172" t="s">
        <v>115</v>
      </c>
      <c r="AP122" s="172"/>
      <c r="AQ122" s="172"/>
      <c r="AR122" s="178" t="s">
        <v>2618</v>
      </c>
      <c r="AS122" s="178" t="s">
        <v>2618</v>
      </c>
      <c r="BD122" s="156"/>
      <c r="BE122" s="185" t="s">
        <v>128</v>
      </c>
      <c r="BF122" s="159"/>
      <c r="BG122" s="159" t="s">
        <v>129</v>
      </c>
      <c r="BH122" s="159" t="s">
        <v>32</v>
      </c>
      <c r="BI122" s="159" t="s">
        <v>41</v>
      </c>
      <c r="BJ122" s="156">
        <v>1</v>
      </c>
      <c r="BK122" s="156"/>
      <c r="BL122" s="156"/>
    </row>
    <row r="123" spans="1:70">
      <c r="A123" s="184" t="str">
        <f t="shared" si="1"/>
        <v>41306119</v>
      </c>
      <c r="B123" s="158" t="s">
        <v>193</v>
      </c>
      <c r="C123" s="158" t="s">
        <v>2969</v>
      </c>
      <c r="D123" s="159" t="s">
        <v>192</v>
      </c>
      <c r="E123" s="159"/>
      <c r="F123" s="158" t="s">
        <v>195</v>
      </c>
      <c r="G123" s="167">
        <v>29511</v>
      </c>
      <c r="H123" s="167"/>
      <c r="I123" s="159" t="s">
        <v>2569</v>
      </c>
      <c r="J123" s="159" t="s">
        <v>2619</v>
      </c>
      <c r="K123" s="159" t="s">
        <v>35</v>
      </c>
      <c r="L123" s="159" t="s">
        <v>194</v>
      </c>
      <c r="M123" s="158" t="s">
        <v>2625</v>
      </c>
      <c r="N123" s="158" t="s">
        <v>2621</v>
      </c>
      <c r="O123" s="159" t="s">
        <v>2668</v>
      </c>
      <c r="P123" s="159" t="s">
        <v>2662</v>
      </c>
      <c r="Q123" s="159" t="s">
        <v>2840</v>
      </c>
      <c r="R123" s="159" t="s">
        <v>2863</v>
      </c>
      <c r="S123" s="159"/>
      <c r="T123" s="159"/>
      <c r="U123" s="158"/>
      <c r="V123" s="158"/>
      <c r="W123" s="159"/>
      <c r="X123" s="159"/>
      <c r="Y123" s="159"/>
      <c r="Z123" s="159"/>
      <c r="AA123" s="159"/>
      <c r="AB123" s="167">
        <v>41426</v>
      </c>
      <c r="AC123" s="159" t="s">
        <v>129</v>
      </c>
      <c r="AD123" s="158"/>
      <c r="AE123" s="159"/>
      <c r="AF123" s="159"/>
      <c r="AG123" s="159"/>
      <c r="AH123" s="159"/>
      <c r="AI123" s="159"/>
      <c r="AJ123" s="159"/>
      <c r="AK123" s="159" t="s">
        <v>2600</v>
      </c>
      <c r="AL123" s="159"/>
      <c r="AM123" s="159"/>
      <c r="AN123" s="159" t="s">
        <v>29</v>
      </c>
      <c r="AO123" s="172" t="s">
        <v>115</v>
      </c>
      <c r="AP123" s="172"/>
      <c r="AQ123" s="172"/>
      <c r="AR123" s="178" t="s">
        <v>2618</v>
      </c>
      <c r="AS123" s="178" t="s">
        <v>2618</v>
      </c>
      <c r="BD123" s="156"/>
      <c r="BE123" s="185" t="s">
        <v>128</v>
      </c>
      <c r="BF123" s="159"/>
      <c r="BG123" s="159" t="s">
        <v>129</v>
      </c>
      <c r="BH123" s="159" t="s">
        <v>121</v>
      </c>
      <c r="BI123" s="159" t="s">
        <v>41</v>
      </c>
      <c r="BJ123" s="156">
        <v>1</v>
      </c>
      <c r="BK123" s="156"/>
      <c r="BL123" s="156"/>
    </row>
    <row r="124" spans="1:70">
      <c r="A124" s="184" t="str">
        <f t="shared" si="1"/>
        <v>41306120</v>
      </c>
      <c r="B124" s="158" t="s">
        <v>198</v>
      </c>
      <c r="C124" s="158" t="s">
        <v>2970</v>
      </c>
      <c r="D124" s="159" t="s">
        <v>197</v>
      </c>
      <c r="E124" s="159"/>
      <c r="F124" s="158"/>
      <c r="G124" s="167">
        <v>30313</v>
      </c>
      <c r="H124" s="167"/>
      <c r="I124" s="159" t="s">
        <v>2569</v>
      </c>
      <c r="J124" s="159" t="s">
        <v>2619</v>
      </c>
      <c r="K124" s="159" t="s">
        <v>35</v>
      </c>
      <c r="L124" s="159" t="s">
        <v>199</v>
      </c>
      <c r="M124" s="158" t="s">
        <v>2628</v>
      </c>
      <c r="N124" s="158" t="s">
        <v>2627</v>
      </c>
      <c r="O124" s="159" t="s">
        <v>2673</v>
      </c>
      <c r="P124" s="159" t="s">
        <v>2803</v>
      </c>
      <c r="Q124" s="159" t="s">
        <v>2840</v>
      </c>
      <c r="R124" s="159" t="s">
        <v>2863</v>
      </c>
      <c r="S124" s="159"/>
      <c r="T124" s="159"/>
      <c r="U124" s="158"/>
      <c r="V124" s="158"/>
      <c r="W124" s="159"/>
      <c r="X124" s="159"/>
      <c r="Y124" s="159"/>
      <c r="Z124" s="159"/>
      <c r="AA124" s="159"/>
      <c r="AB124" s="167">
        <v>41426</v>
      </c>
      <c r="AC124" s="159" t="s">
        <v>129</v>
      </c>
      <c r="AD124" s="158"/>
      <c r="AE124" s="159"/>
      <c r="AF124" s="159"/>
      <c r="AG124" s="159"/>
      <c r="AH124" s="159"/>
      <c r="AI124" s="159"/>
      <c r="AJ124" s="159"/>
      <c r="AK124" s="159" t="s">
        <v>2600</v>
      </c>
      <c r="AL124" s="159"/>
      <c r="AM124" s="159"/>
      <c r="AN124" s="159" t="s">
        <v>29</v>
      </c>
      <c r="AO124" s="172" t="s">
        <v>115</v>
      </c>
      <c r="AP124" s="172"/>
      <c r="AQ124" s="172"/>
      <c r="AR124" s="178" t="s">
        <v>2618</v>
      </c>
      <c r="AS124" s="178" t="s">
        <v>2618</v>
      </c>
      <c r="BD124" s="156"/>
      <c r="BE124" s="185" t="s">
        <v>128</v>
      </c>
      <c r="BF124" s="159"/>
      <c r="BG124" s="159" t="s">
        <v>129</v>
      </c>
      <c r="BH124" s="159"/>
      <c r="BI124" s="159" t="s">
        <v>41</v>
      </c>
      <c r="BJ124" s="156">
        <v>1</v>
      </c>
      <c r="BK124" s="156"/>
      <c r="BL124" s="156"/>
    </row>
    <row r="125" spans="1:70" s="186" customFormat="1">
      <c r="A125" s="184" t="str">
        <f t="shared" si="1"/>
        <v>21306121</v>
      </c>
      <c r="B125" s="158" t="s">
        <v>256</v>
      </c>
      <c r="C125" s="158" t="s">
        <v>2971</v>
      </c>
      <c r="D125" s="159" t="s">
        <v>255</v>
      </c>
      <c r="E125" s="159"/>
      <c r="F125" s="158" t="s">
        <v>258</v>
      </c>
      <c r="G125" s="167">
        <v>33598</v>
      </c>
      <c r="H125" s="167"/>
      <c r="I125" s="159" t="s">
        <v>2569</v>
      </c>
      <c r="J125" s="159" t="s">
        <v>2619</v>
      </c>
      <c r="K125" s="159" t="s">
        <v>35</v>
      </c>
      <c r="L125" s="159" t="s">
        <v>257</v>
      </c>
      <c r="M125" s="158" t="s">
        <v>2621</v>
      </c>
      <c r="N125" s="158" t="s">
        <v>2623</v>
      </c>
      <c r="O125" s="159" t="s">
        <v>2668</v>
      </c>
      <c r="P125" s="159" t="s">
        <v>2662</v>
      </c>
      <c r="Q125" s="159" t="s">
        <v>2840</v>
      </c>
      <c r="R125" s="159" t="s">
        <v>2863</v>
      </c>
      <c r="S125" s="159"/>
      <c r="T125" s="159"/>
      <c r="U125" s="158"/>
      <c r="V125" s="158"/>
      <c r="W125" s="159"/>
      <c r="X125" s="159"/>
      <c r="Y125" s="159"/>
      <c r="Z125" s="159"/>
      <c r="AA125" s="159"/>
      <c r="AB125" s="167">
        <v>41426</v>
      </c>
      <c r="AC125" s="159" t="s">
        <v>45</v>
      </c>
      <c r="AD125" s="158"/>
      <c r="AE125" s="159"/>
      <c r="AF125" s="159"/>
      <c r="AG125" s="159"/>
      <c r="AH125" s="159"/>
      <c r="AI125" s="159"/>
      <c r="AJ125" s="159"/>
      <c r="AK125" s="159" t="s">
        <v>2600</v>
      </c>
      <c r="AL125" s="159"/>
      <c r="AM125" s="159"/>
      <c r="AN125" s="185" t="s">
        <v>216</v>
      </c>
      <c r="AO125" s="172" t="s">
        <v>78</v>
      </c>
      <c r="AP125" s="172"/>
      <c r="AQ125" s="172"/>
      <c r="AR125" s="178" t="s">
        <v>2618</v>
      </c>
      <c r="AS125" s="178" t="s">
        <v>2618</v>
      </c>
      <c r="AT125" s="178"/>
      <c r="AU125" s="159"/>
      <c r="AV125" s="159"/>
      <c r="AW125" s="159"/>
      <c r="AX125" s="159"/>
      <c r="AY125" s="159"/>
      <c r="AZ125" s="159"/>
      <c r="BA125" s="159"/>
      <c r="BB125" s="159"/>
      <c r="BC125" s="159"/>
      <c r="BD125" s="156"/>
      <c r="BE125" s="156"/>
      <c r="BF125" s="159"/>
      <c r="BG125" s="159" t="s">
        <v>45</v>
      </c>
      <c r="BH125" s="159" t="s">
        <v>32</v>
      </c>
      <c r="BI125" s="159" t="s">
        <v>41</v>
      </c>
      <c r="BJ125" s="156">
        <v>3</v>
      </c>
      <c r="BK125" s="156"/>
      <c r="BL125" s="156"/>
      <c r="BM125" s="162"/>
      <c r="BN125" s="162"/>
      <c r="BO125" s="162"/>
      <c r="BP125" s="162"/>
      <c r="BQ125" s="162"/>
      <c r="BR125" s="162"/>
    </row>
    <row r="126" spans="1:70">
      <c r="A126" s="184" t="str">
        <f t="shared" si="1"/>
        <v>21306122</v>
      </c>
      <c r="B126" s="158" t="s">
        <v>314</v>
      </c>
      <c r="C126" s="158" t="s">
        <v>2972</v>
      </c>
      <c r="D126" s="159" t="s">
        <v>312</v>
      </c>
      <c r="E126" s="159"/>
      <c r="F126" s="158" t="s">
        <v>316</v>
      </c>
      <c r="G126" s="167">
        <v>29915</v>
      </c>
      <c r="H126" s="167"/>
      <c r="I126" s="159" t="s">
        <v>2569</v>
      </c>
      <c r="J126" s="159" t="s">
        <v>2619</v>
      </c>
      <c r="K126" s="159" t="s">
        <v>35</v>
      </c>
      <c r="L126" s="159" t="s">
        <v>315</v>
      </c>
      <c r="M126" s="158" t="s">
        <v>2623</v>
      </c>
      <c r="N126" s="158" t="s">
        <v>2629</v>
      </c>
      <c r="O126" s="159" t="s">
        <v>2693</v>
      </c>
      <c r="P126" s="159" t="s">
        <v>2807</v>
      </c>
      <c r="Q126" s="159" t="s">
        <v>2846</v>
      </c>
      <c r="R126" s="159" t="s">
        <v>2863</v>
      </c>
      <c r="S126" s="159"/>
      <c r="T126" s="159"/>
      <c r="U126" s="158"/>
      <c r="V126" s="158"/>
      <c r="W126" s="159"/>
      <c r="X126" s="159"/>
      <c r="Y126" s="159"/>
      <c r="Z126" s="159"/>
      <c r="AA126" s="159"/>
      <c r="AB126" s="167">
        <v>41426</v>
      </c>
      <c r="AC126" s="159" t="s">
        <v>45</v>
      </c>
      <c r="AD126" s="158"/>
      <c r="AE126" s="159"/>
      <c r="AF126" s="159"/>
      <c r="AG126" s="159"/>
      <c r="AH126" s="159"/>
      <c r="AI126" s="159"/>
      <c r="AJ126" s="159"/>
      <c r="AK126" s="159" t="s">
        <v>2600</v>
      </c>
      <c r="AL126" s="159"/>
      <c r="AM126" s="159"/>
      <c r="AN126" s="185" t="s">
        <v>298</v>
      </c>
      <c r="AO126" s="172" t="s">
        <v>78</v>
      </c>
      <c r="AP126" s="172"/>
      <c r="AQ126" s="172"/>
      <c r="AR126" s="178" t="s">
        <v>2618</v>
      </c>
      <c r="AS126" s="178" t="s">
        <v>2618</v>
      </c>
      <c r="BD126" s="156"/>
      <c r="BF126" s="159"/>
      <c r="BG126" s="159" t="s">
        <v>45</v>
      </c>
      <c r="BH126" s="159" t="s">
        <v>32</v>
      </c>
      <c r="BI126" s="159" t="s">
        <v>41</v>
      </c>
      <c r="BJ126" s="156">
        <v>1</v>
      </c>
      <c r="BK126" s="156"/>
      <c r="BL126" s="156"/>
    </row>
    <row r="127" spans="1:70">
      <c r="A127" s="184" t="str">
        <f t="shared" si="1"/>
        <v>21306123</v>
      </c>
      <c r="B127" s="158" t="s">
        <v>558</v>
      </c>
      <c r="C127" s="158" t="s">
        <v>2973</v>
      </c>
      <c r="D127" s="159" t="s">
        <v>556</v>
      </c>
      <c r="E127" s="159"/>
      <c r="F127" s="158" t="s">
        <v>560</v>
      </c>
      <c r="G127" s="167">
        <v>34053</v>
      </c>
      <c r="H127" s="167"/>
      <c r="I127" s="159" t="s">
        <v>2569</v>
      </c>
      <c r="J127" s="159" t="s">
        <v>2619</v>
      </c>
      <c r="K127" s="159" t="s">
        <v>35</v>
      </c>
      <c r="L127" s="159" t="s">
        <v>559</v>
      </c>
      <c r="M127" s="158" t="s">
        <v>2623</v>
      </c>
      <c r="N127" s="158" t="s">
        <v>2623</v>
      </c>
      <c r="O127" s="159" t="s">
        <v>2694</v>
      </c>
      <c r="P127" s="159" t="s">
        <v>2732</v>
      </c>
      <c r="Q127" s="159" t="s">
        <v>2840</v>
      </c>
      <c r="R127" s="159" t="s">
        <v>2863</v>
      </c>
      <c r="S127" s="159"/>
      <c r="T127" s="159"/>
      <c r="U127" s="158"/>
      <c r="V127" s="158"/>
      <c r="W127" s="159"/>
      <c r="X127" s="159"/>
      <c r="Y127" s="159"/>
      <c r="Z127" s="159"/>
      <c r="AA127" s="159"/>
      <c r="AB127" s="167">
        <v>41426</v>
      </c>
      <c r="AC127" s="159" t="s">
        <v>45</v>
      </c>
      <c r="AD127" s="158"/>
      <c r="AE127" s="159"/>
      <c r="AF127" s="159"/>
      <c r="AG127" s="159"/>
      <c r="AH127" s="159"/>
      <c r="AI127" s="159"/>
      <c r="AJ127" s="159"/>
      <c r="AK127" s="159" t="s">
        <v>2600</v>
      </c>
      <c r="AL127" s="159"/>
      <c r="AM127" s="159"/>
      <c r="AN127" s="159" t="s">
        <v>553</v>
      </c>
      <c r="AO127" s="172" t="s">
        <v>44</v>
      </c>
      <c r="AP127" s="172"/>
      <c r="AQ127" s="172"/>
      <c r="AR127" s="178" t="s">
        <v>2618</v>
      </c>
      <c r="AS127" s="178" t="s">
        <v>2618</v>
      </c>
      <c r="BD127" s="156" t="s">
        <v>557</v>
      </c>
      <c r="BE127" s="156" t="s">
        <v>557</v>
      </c>
      <c r="BF127" s="159"/>
      <c r="BG127" s="159" t="s">
        <v>45</v>
      </c>
      <c r="BH127" s="159" t="s">
        <v>46</v>
      </c>
      <c r="BI127" s="159" t="s">
        <v>41</v>
      </c>
      <c r="BJ127" s="156">
        <v>3</v>
      </c>
      <c r="BK127" s="156"/>
      <c r="BL127" s="156"/>
    </row>
    <row r="128" spans="1:70">
      <c r="A128" s="184" t="str">
        <f t="shared" si="1"/>
        <v>21306124</v>
      </c>
      <c r="B128" s="158" t="s">
        <v>849</v>
      </c>
      <c r="C128" s="158" t="s">
        <v>2974</v>
      </c>
      <c r="D128" s="159" t="s">
        <v>848</v>
      </c>
      <c r="E128" s="159"/>
      <c r="F128" s="158" t="s">
        <v>851</v>
      </c>
      <c r="G128" s="167">
        <v>33110</v>
      </c>
      <c r="H128" s="167"/>
      <c r="I128" s="159" t="s">
        <v>2569</v>
      </c>
      <c r="J128" s="159" t="s">
        <v>2619</v>
      </c>
      <c r="K128" s="159" t="s">
        <v>35</v>
      </c>
      <c r="L128" s="159" t="s">
        <v>850</v>
      </c>
      <c r="M128" s="158" t="s">
        <v>2631</v>
      </c>
      <c r="N128" s="158" t="s">
        <v>2626</v>
      </c>
      <c r="O128" s="159" t="s">
        <v>2660</v>
      </c>
      <c r="P128" s="159" t="s">
        <v>2662</v>
      </c>
      <c r="Q128" s="159" t="s">
        <v>2840</v>
      </c>
      <c r="R128" s="159" t="s">
        <v>2863</v>
      </c>
      <c r="S128" s="159"/>
      <c r="T128" s="159"/>
      <c r="U128" s="158"/>
      <c r="V128" s="158"/>
      <c r="W128" s="159"/>
      <c r="X128" s="159"/>
      <c r="Y128" s="159"/>
      <c r="Z128" s="159"/>
      <c r="AA128" s="159"/>
      <c r="AB128" s="167">
        <v>41426</v>
      </c>
      <c r="AC128" s="159" t="s">
        <v>45</v>
      </c>
      <c r="AD128" s="158"/>
      <c r="AE128" s="159"/>
      <c r="AF128" s="159"/>
      <c r="AG128" s="159"/>
      <c r="AH128" s="159"/>
      <c r="AI128" s="159"/>
      <c r="AJ128" s="159"/>
      <c r="AK128" s="159" t="s">
        <v>2600</v>
      </c>
      <c r="AL128" s="159"/>
      <c r="AM128" s="159"/>
      <c r="AN128" s="159" t="s">
        <v>786</v>
      </c>
      <c r="AO128" s="172" t="s">
        <v>78</v>
      </c>
      <c r="AP128" s="172"/>
      <c r="AQ128" s="172"/>
      <c r="AR128" s="178" t="s">
        <v>2618</v>
      </c>
      <c r="AS128" s="178" t="s">
        <v>2618</v>
      </c>
      <c r="BD128" s="185" t="s">
        <v>787</v>
      </c>
      <c r="BE128" s="156" t="s">
        <v>832</v>
      </c>
      <c r="BF128" s="159" t="s">
        <v>833</v>
      </c>
      <c r="BG128" s="159" t="s">
        <v>45</v>
      </c>
      <c r="BH128" s="159" t="s">
        <v>32</v>
      </c>
      <c r="BI128" s="159" t="s">
        <v>41</v>
      </c>
      <c r="BJ128" s="156">
        <v>1</v>
      </c>
      <c r="BK128" s="156"/>
      <c r="BL128" s="156"/>
    </row>
    <row r="129" spans="1:70">
      <c r="A129" s="184" t="str">
        <f t="shared" si="1"/>
        <v>41306125</v>
      </c>
      <c r="B129" s="158" t="s">
        <v>1295</v>
      </c>
      <c r="C129" s="158" t="s">
        <v>2975</v>
      </c>
      <c r="D129" s="159" t="s">
        <v>1294</v>
      </c>
      <c r="E129" s="159"/>
      <c r="F129" s="158" t="s">
        <v>1296</v>
      </c>
      <c r="G129" s="167">
        <v>34427</v>
      </c>
      <c r="H129" s="167"/>
      <c r="I129" s="159" t="s">
        <v>2569</v>
      </c>
      <c r="J129" s="159" t="s">
        <v>2619</v>
      </c>
      <c r="K129" s="159" t="s">
        <v>165</v>
      </c>
      <c r="L129" s="159" t="s">
        <v>439</v>
      </c>
      <c r="M129" s="158" t="s">
        <v>2621</v>
      </c>
      <c r="N129" s="158" t="s">
        <v>2626</v>
      </c>
      <c r="O129" s="159" t="s">
        <v>2678</v>
      </c>
      <c r="P129" s="159" t="s">
        <v>2662</v>
      </c>
      <c r="Q129" s="159" t="s">
        <v>2840</v>
      </c>
      <c r="R129" s="159" t="s">
        <v>2863</v>
      </c>
      <c r="S129" s="159"/>
      <c r="T129" s="159"/>
      <c r="U129" s="158"/>
      <c r="V129" s="158"/>
      <c r="W129" s="159"/>
      <c r="X129" s="159"/>
      <c r="Y129" s="159"/>
      <c r="Z129" s="159"/>
      <c r="AA129" s="159"/>
      <c r="AB129" s="167">
        <v>41426</v>
      </c>
      <c r="AC129" s="159" t="s">
        <v>129</v>
      </c>
      <c r="AD129" s="158"/>
      <c r="AE129" s="159"/>
      <c r="AF129" s="159"/>
      <c r="AG129" s="159"/>
      <c r="AH129" s="159"/>
      <c r="AI129" s="159"/>
      <c r="AJ129" s="159"/>
      <c r="AK129" s="159" t="s">
        <v>2600</v>
      </c>
      <c r="AL129" s="159"/>
      <c r="AM129" s="159"/>
      <c r="AN129" s="159" t="s">
        <v>786</v>
      </c>
      <c r="AO129" s="172" t="s">
        <v>115</v>
      </c>
      <c r="AP129" s="172"/>
      <c r="AQ129" s="172"/>
      <c r="AR129" s="178" t="s">
        <v>2618</v>
      </c>
      <c r="AS129" s="178" t="s">
        <v>2618</v>
      </c>
      <c r="BD129" s="185" t="s">
        <v>1002</v>
      </c>
      <c r="BE129" s="156" t="s">
        <v>1061</v>
      </c>
      <c r="BF129" s="185" t="s">
        <v>1042</v>
      </c>
      <c r="BG129" s="159" t="s">
        <v>129</v>
      </c>
      <c r="BH129" s="159" t="s">
        <v>32</v>
      </c>
      <c r="BI129" s="159" t="s">
        <v>41</v>
      </c>
      <c r="BJ129" s="156">
        <v>1</v>
      </c>
      <c r="BK129" s="156"/>
      <c r="BL129" s="156"/>
    </row>
    <row r="130" spans="1:70">
      <c r="A130" s="184" t="str">
        <f t="shared" si="1"/>
        <v>21310126</v>
      </c>
      <c r="B130" s="164"/>
      <c r="C130" s="158" t="s">
        <v>2976</v>
      </c>
      <c r="D130" s="187" t="s">
        <v>538</v>
      </c>
      <c r="E130" s="187"/>
      <c r="F130" s="164"/>
      <c r="G130" s="188">
        <v>34903</v>
      </c>
      <c r="H130" s="188"/>
      <c r="I130" s="159" t="s">
        <v>2570</v>
      </c>
      <c r="J130" s="159" t="s">
        <v>2619</v>
      </c>
      <c r="K130" s="159"/>
      <c r="L130" s="187" t="s">
        <v>539</v>
      </c>
      <c r="M130" s="158" t="s">
        <v>2624</v>
      </c>
      <c r="N130" s="158" t="s">
        <v>2629</v>
      </c>
      <c r="O130" s="159" t="s">
        <v>2695</v>
      </c>
      <c r="P130" s="159" t="s">
        <v>2662</v>
      </c>
      <c r="Q130" s="159" t="s">
        <v>2840</v>
      </c>
      <c r="R130" s="159" t="s">
        <v>2863</v>
      </c>
      <c r="S130" s="159"/>
      <c r="T130" s="159"/>
      <c r="U130" s="158"/>
      <c r="V130" s="158"/>
      <c r="W130" s="159"/>
      <c r="X130" s="159"/>
      <c r="Y130" s="159"/>
      <c r="Z130" s="159"/>
      <c r="AA130" s="159"/>
      <c r="AB130" s="188">
        <v>41548</v>
      </c>
      <c r="AC130" s="159" t="s">
        <v>45</v>
      </c>
      <c r="AD130" s="158"/>
      <c r="AE130" s="159"/>
      <c r="AF130" s="159"/>
      <c r="AG130" s="159"/>
      <c r="AH130" s="159"/>
      <c r="AI130" s="159"/>
      <c r="AJ130" s="159"/>
      <c r="AK130" s="159" t="s">
        <v>2600</v>
      </c>
      <c r="AL130" s="159"/>
      <c r="AM130" s="159"/>
      <c r="AN130" s="185" t="s">
        <v>536</v>
      </c>
      <c r="AO130" s="172" t="s">
        <v>54</v>
      </c>
      <c r="AP130" s="172"/>
      <c r="AQ130" s="172"/>
      <c r="AR130" s="178" t="s">
        <v>2618</v>
      </c>
      <c r="AS130" s="178" t="s">
        <v>2618</v>
      </c>
      <c r="BD130" s="159"/>
      <c r="BF130" s="156"/>
      <c r="BG130" s="159" t="s">
        <v>45</v>
      </c>
      <c r="BH130" s="159" t="s">
        <v>72</v>
      </c>
      <c r="BI130" s="159" t="s">
        <v>41</v>
      </c>
      <c r="BJ130" s="156">
        <v>2</v>
      </c>
      <c r="BK130" s="156"/>
      <c r="BL130" s="156"/>
    </row>
    <row r="131" spans="1:70">
      <c r="A131" s="184" t="str">
        <f t="shared" si="1"/>
        <v>21403127</v>
      </c>
      <c r="B131" s="158" t="s">
        <v>856</v>
      </c>
      <c r="C131" s="158" t="s">
        <v>2977</v>
      </c>
      <c r="D131" s="159" t="s">
        <v>854</v>
      </c>
      <c r="E131" s="159"/>
      <c r="F131" s="158" t="s">
        <v>858</v>
      </c>
      <c r="G131" s="167">
        <v>30256</v>
      </c>
      <c r="H131" s="167"/>
      <c r="I131" s="159" t="s">
        <v>2569</v>
      </c>
      <c r="J131" s="159" t="s">
        <v>2619</v>
      </c>
      <c r="K131" s="159" t="s">
        <v>35</v>
      </c>
      <c r="L131" s="159" t="s">
        <v>857</v>
      </c>
      <c r="M131" s="158" t="s">
        <v>2623</v>
      </c>
      <c r="N131" s="158" t="s">
        <v>2623</v>
      </c>
      <c r="O131" s="159" t="s">
        <v>2696</v>
      </c>
      <c r="P131" s="159" t="s">
        <v>2662</v>
      </c>
      <c r="Q131" s="159" t="s">
        <v>2840</v>
      </c>
      <c r="R131" s="159" t="s">
        <v>2863</v>
      </c>
      <c r="S131" s="159"/>
      <c r="T131" s="159"/>
      <c r="U131" s="158"/>
      <c r="V131" s="158"/>
      <c r="W131" s="159"/>
      <c r="X131" s="159"/>
      <c r="Y131" s="159"/>
      <c r="Z131" s="159"/>
      <c r="AA131" s="159"/>
      <c r="AB131" s="167">
        <v>41699</v>
      </c>
      <c r="AC131" s="159" t="s">
        <v>45</v>
      </c>
      <c r="AD131" s="158"/>
      <c r="AE131" s="159"/>
      <c r="AF131" s="159"/>
      <c r="AG131" s="159"/>
      <c r="AH131" s="159"/>
      <c r="AI131" s="159"/>
      <c r="AJ131" s="159"/>
      <c r="AK131" s="159" t="s">
        <v>2600</v>
      </c>
      <c r="AL131" s="159"/>
      <c r="AM131" s="159"/>
      <c r="AN131" s="159" t="s">
        <v>786</v>
      </c>
      <c r="AO131" s="172" t="s">
        <v>78</v>
      </c>
      <c r="AP131" s="172"/>
      <c r="AQ131" s="172"/>
      <c r="AR131" s="178" t="s">
        <v>2618</v>
      </c>
      <c r="AS131" s="178" t="s">
        <v>2618</v>
      </c>
      <c r="BD131" s="185" t="s">
        <v>787</v>
      </c>
      <c r="BE131" s="156" t="s">
        <v>832</v>
      </c>
      <c r="BF131" s="159" t="s">
        <v>855</v>
      </c>
      <c r="BG131" s="159" t="s">
        <v>45</v>
      </c>
      <c r="BH131" s="159" t="s">
        <v>32</v>
      </c>
      <c r="BI131" s="159" t="s">
        <v>41</v>
      </c>
      <c r="BJ131" s="156">
        <v>1</v>
      </c>
      <c r="BK131" s="156"/>
      <c r="BL131" s="156"/>
      <c r="BM131" s="165"/>
      <c r="BN131" s="165"/>
      <c r="BO131" s="165"/>
      <c r="BP131" s="165"/>
      <c r="BQ131" s="165"/>
      <c r="BR131" s="165"/>
    </row>
    <row r="132" spans="1:70">
      <c r="A132" s="184" t="str">
        <f t="shared" si="1"/>
        <v>31404128</v>
      </c>
      <c r="B132" s="158" t="s">
        <v>2168</v>
      </c>
      <c r="C132" s="158" t="s">
        <v>2978</v>
      </c>
      <c r="D132" s="159" t="s">
        <v>2166</v>
      </c>
      <c r="E132" s="159"/>
      <c r="F132" s="158" t="s">
        <v>2170</v>
      </c>
      <c r="G132" s="167">
        <v>34076</v>
      </c>
      <c r="H132" s="167"/>
      <c r="I132" s="159" t="s">
        <v>2569</v>
      </c>
      <c r="J132" s="159" t="s">
        <v>2619</v>
      </c>
      <c r="K132" s="159" t="s">
        <v>35</v>
      </c>
      <c r="L132" s="159" t="s">
        <v>2169</v>
      </c>
      <c r="M132" s="158" t="s">
        <v>2629</v>
      </c>
      <c r="N132" s="158" t="s">
        <v>2621</v>
      </c>
      <c r="O132" s="159" t="s">
        <v>2697</v>
      </c>
      <c r="P132" s="159" t="s">
        <v>2732</v>
      </c>
      <c r="Q132" s="159" t="s">
        <v>2840</v>
      </c>
      <c r="R132" s="159" t="s">
        <v>2863</v>
      </c>
      <c r="S132" s="159"/>
      <c r="T132" s="159"/>
      <c r="U132" s="158"/>
      <c r="V132" s="158"/>
      <c r="W132" s="159"/>
      <c r="X132" s="159"/>
      <c r="Y132" s="159"/>
      <c r="Z132" s="159"/>
      <c r="AA132" s="159"/>
      <c r="AB132" s="167">
        <v>41746</v>
      </c>
      <c r="AC132" s="159" t="s">
        <v>71</v>
      </c>
      <c r="AD132" s="158"/>
      <c r="AE132" s="159"/>
      <c r="AF132" s="159"/>
      <c r="AG132" s="159"/>
      <c r="AH132" s="159"/>
      <c r="AI132" s="159"/>
      <c r="AJ132" s="159"/>
      <c r="AK132" s="159" t="s">
        <v>2600</v>
      </c>
      <c r="AL132" s="159"/>
      <c r="AM132" s="159"/>
      <c r="AN132" s="185" t="s">
        <v>2065</v>
      </c>
      <c r="AO132" s="162" t="s">
        <v>78</v>
      </c>
      <c r="AR132" s="178" t="s">
        <v>2618</v>
      </c>
      <c r="AS132" s="178" t="s">
        <v>2618</v>
      </c>
      <c r="BD132" s="159"/>
      <c r="BE132" s="159" t="s">
        <v>2195</v>
      </c>
      <c r="BF132" s="159"/>
      <c r="BG132" s="159" t="s">
        <v>71</v>
      </c>
      <c r="BH132" s="159" t="s">
        <v>32</v>
      </c>
      <c r="BI132" s="159" t="s">
        <v>41</v>
      </c>
      <c r="BJ132" s="156">
        <v>3</v>
      </c>
      <c r="BK132" s="156"/>
      <c r="BL132" s="156"/>
    </row>
    <row r="133" spans="1:70">
      <c r="A133" s="184" t="str">
        <f t="shared" si="1"/>
        <v>21406129</v>
      </c>
      <c r="B133" s="158" t="s">
        <v>110</v>
      </c>
      <c r="C133" s="158" t="s">
        <v>2979</v>
      </c>
      <c r="D133" s="159" t="s">
        <v>109</v>
      </c>
      <c r="E133" s="159"/>
      <c r="F133" s="158" t="s">
        <v>112</v>
      </c>
      <c r="G133" s="167">
        <v>34020</v>
      </c>
      <c r="H133" s="167"/>
      <c r="I133" s="159" t="s">
        <v>2569</v>
      </c>
      <c r="J133" s="159" t="s">
        <v>2619</v>
      </c>
      <c r="K133" s="159" t="s">
        <v>35</v>
      </c>
      <c r="L133" s="159" t="s">
        <v>111</v>
      </c>
      <c r="M133" s="158" t="s">
        <v>2623</v>
      </c>
      <c r="N133" s="158" t="s">
        <v>2621</v>
      </c>
      <c r="O133" s="159" t="s">
        <v>2698</v>
      </c>
      <c r="P133" s="159" t="s">
        <v>2659</v>
      </c>
      <c r="Q133" s="159" t="s">
        <v>2840</v>
      </c>
      <c r="R133" s="159" t="s">
        <v>2863</v>
      </c>
      <c r="S133" s="159"/>
      <c r="T133" s="159"/>
      <c r="U133" s="158"/>
      <c r="V133" s="158"/>
      <c r="W133" s="159"/>
      <c r="X133" s="159"/>
      <c r="Y133" s="159"/>
      <c r="Z133" s="159"/>
      <c r="AA133" s="159"/>
      <c r="AB133" s="167">
        <v>41791</v>
      </c>
      <c r="AC133" s="159" t="s">
        <v>45</v>
      </c>
      <c r="AD133" s="158"/>
      <c r="AE133" s="159"/>
      <c r="AF133" s="159"/>
      <c r="AG133" s="159"/>
      <c r="AH133" s="159"/>
      <c r="AI133" s="159"/>
      <c r="AJ133" s="159"/>
      <c r="AK133" s="159" t="s">
        <v>2600</v>
      </c>
      <c r="AL133" s="159"/>
      <c r="AM133" s="159"/>
      <c r="AN133" s="159" t="s">
        <v>29</v>
      </c>
      <c r="AO133" s="172" t="s">
        <v>78</v>
      </c>
      <c r="AP133" s="172"/>
      <c r="AQ133" s="172"/>
      <c r="AR133" s="178" t="s">
        <v>2618</v>
      </c>
      <c r="AS133" s="178" t="s">
        <v>2618</v>
      </c>
      <c r="BD133" s="156"/>
      <c r="BF133" s="159"/>
      <c r="BG133" s="159" t="s">
        <v>45</v>
      </c>
      <c r="BH133" s="159" t="s">
        <v>46</v>
      </c>
      <c r="BI133" s="159" t="s">
        <v>41</v>
      </c>
      <c r="BJ133" s="156">
        <v>1</v>
      </c>
      <c r="BK133" s="156"/>
    </row>
    <row r="134" spans="1:70">
      <c r="A134" s="184" t="str">
        <f t="shared" ref="A134:A197" si="2">IF(AC134="Tetap","1",IF(AC134="Kontrak","2",IF(AC134="Harian Lepas","3",IF(AC134="Borongan","4"))))&amp;TEXT(AB134,"YY")&amp;TEXT(AB134,"MM")&amp;TEXT(C134,"00")</f>
        <v>41406130</v>
      </c>
      <c r="B134" s="158" t="s">
        <v>188</v>
      </c>
      <c r="C134" s="158" t="s">
        <v>2980</v>
      </c>
      <c r="D134" s="159" t="s">
        <v>187</v>
      </c>
      <c r="E134" s="159"/>
      <c r="F134" s="158" t="s">
        <v>190</v>
      </c>
      <c r="G134" s="167">
        <v>31752</v>
      </c>
      <c r="H134" s="167"/>
      <c r="I134" s="159" t="s">
        <v>2569</v>
      </c>
      <c r="J134" s="159" t="s">
        <v>2619</v>
      </c>
      <c r="K134" s="159" t="s">
        <v>35</v>
      </c>
      <c r="L134" s="159" t="s">
        <v>189</v>
      </c>
      <c r="M134" s="158" t="s">
        <v>2622</v>
      </c>
      <c r="N134" s="158" t="s">
        <v>2622</v>
      </c>
      <c r="O134" s="159" t="s">
        <v>2657</v>
      </c>
      <c r="P134" s="159" t="s">
        <v>2662</v>
      </c>
      <c r="Q134" s="159" t="s">
        <v>2840</v>
      </c>
      <c r="R134" s="159" t="s">
        <v>2863</v>
      </c>
      <c r="S134" s="159"/>
      <c r="T134" s="159"/>
      <c r="U134" s="158"/>
      <c r="V134" s="158"/>
      <c r="W134" s="159"/>
      <c r="X134" s="159"/>
      <c r="Y134" s="159"/>
      <c r="Z134" s="159"/>
      <c r="AA134" s="159"/>
      <c r="AB134" s="167">
        <v>41791</v>
      </c>
      <c r="AC134" s="159" t="s">
        <v>129</v>
      </c>
      <c r="AD134" s="158"/>
      <c r="AE134" s="159"/>
      <c r="AF134" s="159"/>
      <c r="AG134" s="159"/>
      <c r="AH134" s="159"/>
      <c r="AI134" s="159"/>
      <c r="AJ134" s="159"/>
      <c r="AK134" s="159" t="s">
        <v>2600</v>
      </c>
      <c r="AL134" s="159"/>
      <c r="AM134" s="159"/>
      <c r="AN134" s="159" t="s">
        <v>29</v>
      </c>
      <c r="AO134" s="172" t="s">
        <v>115</v>
      </c>
      <c r="AP134" s="172"/>
      <c r="AQ134" s="172"/>
      <c r="AR134" s="178" t="s">
        <v>2618</v>
      </c>
      <c r="AS134" s="178" t="s">
        <v>2618</v>
      </c>
      <c r="BD134" s="156"/>
      <c r="BE134" s="185" t="s">
        <v>128</v>
      </c>
      <c r="BF134" s="159"/>
      <c r="BG134" s="159" t="s">
        <v>129</v>
      </c>
      <c r="BH134" s="159"/>
      <c r="BI134" s="159" t="s">
        <v>41</v>
      </c>
      <c r="BJ134" s="156">
        <v>1</v>
      </c>
      <c r="BK134" s="156"/>
      <c r="BL134" s="156"/>
      <c r="BM134" s="186"/>
      <c r="BN134" s="186"/>
      <c r="BO134" s="186"/>
      <c r="BP134" s="186"/>
      <c r="BQ134" s="186"/>
      <c r="BR134" s="186"/>
    </row>
    <row r="135" spans="1:70">
      <c r="A135" s="184" t="str">
        <f t="shared" si="2"/>
        <v>31406131</v>
      </c>
      <c r="B135" s="158" t="s">
        <v>438</v>
      </c>
      <c r="C135" s="158" t="s">
        <v>2981</v>
      </c>
      <c r="D135" s="159" t="s">
        <v>437</v>
      </c>
      <c r="E135" s="159"/>
      <c r="F135" s="158" t="s">
        <v>440</v>
      </c>
      <c r="G135" s="167">
        <v>33732</v>
      </c>
      <c r="H135" s="167"/>
      <c r="I135" s="159" t="s">
        <v>2569</v>
      </c>
      <c r="J135" s="159" t="s">
        <v>2619</v>
      </c>
      <c r="K135" s="159" t="s">
        <v>35</v>
      </c>
      <c r="L135" s="159" t="s">
        <v>439</v>
      </c>
      <c r="M135" s="158" t="s">
        <v>2621</v>
      </c>
      <c r="N135" s="158" t="s">
        <v>2626</v>
      </c>
      <c r="O135" s="159" t="s">
        <v>2678</v>
      </c>
      <c r="P135" s="159" t="s">
        <v>2662</v>
      </c>
      <c r="Q135" s="159" t="s">
        <v>2840</v>
      </c>
      <c r="R135" s="159" t="s">
        <v>2863</v>
      </c>
      <c r="S135" s="159"/>
      <c r="T135" s="159"/>
      <c r="U135" s="158"/>
      <c r="V135" s="158"/>
      <c r="W135" s="159"/>
      <c r="X135" s="159"/>
      <c r="Y135" s="159"/>
      <c r="Z135" s="159"/>
      <c r="AA135" s="159"/>
      <c r="AB135" s="167">
        <v>41791</v>
      </c>
      <c r="AC135" s="159" t="s">
        <v>71</v>
      </c>
      <c r="AD135" s="158"/>
      <c r="AE135" s="159"/>
      <c r="AF135" s="159"/>
      <c r="AG135" s="159"/>
      <c r="AH135" s="159"/>
      <c r="AI135" s="159"/>
      <c r="AJ135" s="159"/>
      <c r="AK135" s="159" t="s">
        <v>2600</v>
      </c>
      <c r="AL135" s="159"/>
      <c r="AM135" s="159"/>
      <c r="AN135" s="159" t="s">
        <v>392</v>
      </c>
      <c r="AO135" s="172" t="s">
        <v>115</v>
      </c>
      <c r="AP135" s="172"/>
      <c r="AQ135" s="172"/>
      <c r="AR135" s="178" t="s">
        <v>2618</v>
      </c>
      <c r="AS135" s="178" t="s">
        <v>2618</v>
      </c>
      <c r="BD135" s="159" t="s">
        <v>401</v>
      </c>
      <c r="BF135" s="159"/>
      <c r="BG135" s="159" t="s">
        <v>71</v>
      </c>
      <c r="BH135" s="159" t="s">
        <v>121</v>
      </c>
      <c r="BI135" s="159" t="s">
        <v>41</v>
      </c>
      <c r="BJ135" s="156">
        <v>3</v>
      </c>
      <c r="BK135" s="156"/>
      <c r="BL135" s="156"/>
    </row>
    <row r="136" spans="1:70">
      <c r="A136" s="184" t="str">
        <f t="shared" si="2"/>
        <v>21406132</v>
      </c>
      <c r="B136" s="158" t="s">
        <v>622</v>
      </c>
      <c r="C136" s="158" t="s">
        <v>2982</v>
      </c>
      <c r="D136" s="159" t="s">
        <v>621</v>
      </c>
      <c r="E136" s="159"/>
      <c r="F136" s="158" t="s">
        <v>624</v>
      </c>
      <c r="G136" s="167">
        <v>27471</v>
      </c>
      <c r="H136" s="167"/>
      <c r="I136" s="159" t="s">
        <v>2569</v>
      </c>
      <c r="J136" s="159" t="s">
        <v>2619</v>
      </c>
      <c r="K136" s="159" t="s">
        <v>35</v>
      </c>
      <c r="L136" s="159" t="s">
        <v>623</v>
      </c>
      <c r="M136" s="158" t="s">
        <v>2621</v>
      </c>
      <c r="N136" s="158" t="s">
        <v>2639</v>
      </c>
      <c r="O136" s="159" t="s">
        <v>2686</v>
      </c>
      <c r="P136" s="159" t="s">
        <v>2659</v>
      </c>
      <c r="Q136" s="159" t="s">
        <v>2840</v>
      </c>
      <c r="R136" s="159" t="s">
        <v>2863</v>
      </c>
      <c r="S136" s="159"/>
      <c r="T136" s="159"/>
      <c r="U136" s="158"/>
      <c r="V136" s="158"/>
      <c r="W136" s="159"/>
      <c r="X136" s="159"/>
      <c r="Y136" s="159"/>
      <c r="Z136" s="159"/>
      <c r="AA136" s="159"/>
      <c r="AB136" s="167">
        <v>41791</v>
      </c>
      <c r="AC136" s="159" t="s">
        <v>45</v>
      </c>
      <c r="AD136" s="158"/>
      <c r="AE136" s="159"/>
      <c r="AF136" s="159"/>
      <c r="AG136" s="159"/>
      <c r="AH136" s="159"/>
      <c r="AI136" s="159"/>
      <c r="AJ136" s="159"/>
      <c r="AK136" s="159" t="s">
        <v>2600</v>
      </c>
      <c r="AL136" s="159"/>
      <c r="AM136" s="159"/>
      <c r="AN136" s="159" t="s">
        <v>553</v>
      </c>
      <c r="AO136" s="172" t="s">
        <v>564</v>
      </c>
      <c r="AP136" s="172"/>
      <c r="AQ136" s="172"/>
      <c r="AR136" s="178" t="s">
        <v>2618</v>
      </c>
      <c r="AS136" s="178" t="s">
        <v>2618</v>
      </c>
      <c r="BD136" s="156" t="s">
        <v>584</v>
      </c>
      <c r="BE136" s="156" t="s">
        <v>584</v>
      </c>
      <c r="BF136" s="159"/>
      <c r="BG136" s="159" t="s">
        <v>45</v>
      </c>
      <c r="BH136" s="159" t="s">
        <v>32</v>
      </c>
      <c r="BI136" s="159" t="s">
        <v>41</v>
      </c>
      <c r="BJ136" s="156">
        <v>1</v>
      </c>
      <c r="BK136" s="156"/>
      <c r="BL136" s="156"/>
    </row>
    <row r="137" spans="1:70">
      <c r="A137" s="184" t="str">
        <f t="shared" si="2"/>
        <v>21406133</v>
      </c>
      <c r="B137" s="158" t="s">
        <v>1005</v>
      </c>
      <c r="C137" s="158" t="s">
        <v>2983</v>
      </c>
      <c r="D137" s="159" t="s">
        <v>1004</v>
      </c>
      <c r="E137" s="159"/>
      <c r="F137" s="158" t="s">
        <v>357</v>
      </c>
      <c r="G137" s="167">
        <v>33034</v>
      </c>
      <c r="H137" s="167"/>
      <c r="I137" s="159" t="s">
        <v>2569</v>
      </c>
      <c r="J137" s="159" t="s">
        <v>2619</v>
      </c>
      <c r="K137" s="159" t="s">
        <v>35</v>
      </c>
      <c r="L137" s="159" t="s">
        <v>1006</v>
      </c>
      <c r="M137" s="158" t="s">
        <v>2628</v>
      </c>
      <c r="N137" s="158" t="s">
        <v>2626</v>
      </c>
      <c r="O137" s="159" t="s">
        <v>2660</v>
      </c>
      <c r="P137" s="159" t="s">
        <v>2662</v>
      </c>
      <c r="Q137" s="159" t="s">
        <v>2840</v>
      </c>
      <c r="R137" s="159" t="s">
        <v>2863</v>
      </c>
      <c r="S137" s="159"/>
      <c r="T137" s="159"/>
      <c r="U137" s="158"/>
      <c r="V137" s="158"/>
      <c r="W137" s="159"/>
      <c r="X137" s="159"/>
      <c r="Y137" s="159"/>
      <c r="Z137" s="159"/>
      <c r="AA137" s="159"/>
      <c r="AB137" s="167">
        <v>41791</v>
      </c>
      <c r="AC137" s="159" t="s">
        <v>45</v>
      </c>
      <c r="AD137" s="158"/>
      <c r="AE137" s="159"/>
      <c r="AF137" s="159"/>
      <c r="AG137" s="159"/>
      <c r="AH137" s="159"/>
      <c r="AI137" s="159"/>
      <c r="AJ137" s="159"/>
      <c r="AK137" s="159" t="s">
        <v>2600</v>
      </c>
      <c r="AL137" s="159"/>
      <c r="AM137" s="159"/>
      <c r="AN137" s="159" t="s">
        <v>786</v>
      </c>
      <c r="AO137" s="172" t="s">
        <v>814</v>
      </c>
      <c r="AP137" s="172"/>
      <c r="AQ137" s="172"/>
      <c r="AR137" s="178" t="s">
        <v>2618</v>
      </c>
      <c r="AS137" s="178" t="s">
        <v>2618</v>
      </c>
      <c r="BD137" s="185" t="s">
        <v>1002</v>
      </c>
      <c r="BF137" s="159"/>
      <c r="BG137" s="159" t="s">
        <v>45</v>
      </c>
      <c r="BH137" s="159" t="s">
        <v>32</v>
      </c>
      <c r="BI137" s="159" t="s">
        <v>41</v>
      </c>
      <c r="BJ137" s="156">
        <v>1</v>
      </c>
      <c r="BK137" s="156"/>
      <c r="BL137" s="156"/>
    </row>
    <row r="138" spans="1:70">
      <c r="A138" s="184" t="str">
        <f t="shared" si="2"/>
        <v>21406134</v>
      </c>
      <c r="B138" s="158" t="s">
        <v>1093</v>
      </c>
      <c r="C138" s="158" t="s">
        <v>2984</v>
      </c>
      <c r="D138" s="159" t="s">
        <v>1091</v>
      </c>
      <c r="E138" s="159"/>
      <c r="F138" s="158" t="s">
        <v>1095</v>
      </c>
      <c r="G138" s="167">
        <v>31053</v>
      </c>
      <c r="H138" s="167"/>
      <c r="I138" s="159" t="s">
        <v>2569</v>
      </c>
      <c r="J138" s="159" t="s">
        <v>2619</v>
      </c>
      <c r="K138" s="159" t="s">
        <v>35</v>
      </c>
      <c r="L138" s="159" t="s">
        <v>1094</v>
      </c>
      <c r="M138" s="158" t="s">
        <v>2637</v>
      </c>
      <c r="N138" s="158" t="s">
        <v>2625</v>
      </c>
      <c r="O138" s="159" t="s">
        <v>2660</v>
      </c>
      <c r="P138" s="159" t="s">
        <v>2662</v>
      </c>
      <c r="Q138" s="159" t="s">
        <v>2840</v>
      </c>
      <c r="R138" s="159" t="s">
        <v>2863</v>
      </c>
      <c r="S138" s="159"/>
      <c r="T138" s="159"/>
      <c r="U138" s="158"/>
      <c r="V138" s="158"/>
      <c r="W138" s="159"/>
      <c r="X138" s="159"/>
      <c r="Y138" s="159"/>
      <c r="Z138" s="159"/>
      <c r="AA138" s="159"/>
      <c r="AB138" s="167">
        <v>41791</v>
      </c>
      <c r="AC138" s="159" t="s">
        <v>45</v>
      </c>
      <c r="AD138" s="158"/>
      <c r="AE138" s="159"/>
      <c r="AF138" s="159"/>
      <c r="AG138" s="159"/>
      <c r="AH138" s="159"/>
      <c r="AI138" s="159"/>
      <c r="AJ138" s="159"/>
      <c r="AK138" s="159" t="s">
        <v>2600</v>
      </c>
      <c r="AL138" s="159"/>
      <c r="AM138" s="159"/>
      <c r="AN138" s="159" t="s">
        <v>786</v>
      </c>
      <c r="AO138" s="172" t="s">
        <v>78</v>
      </c>
      <c r="AP138" s="172"/>
      <c r="AQ138" s="172"/>
      <c r="AR138" s="178" t="s">
        <v>2618</v>
      </c>
      <c r="AS138" s="178" t="s">
        <v>2618</v>
      </c>
      <c r="BD138" s="185" t="s">
        <v>1002</v>
      </c>
      <c r="BE138" s="156" t="s">
        <v>1092</v>
      </c>
      <c r="BF138" s="185" t="s">
        <v>1042</v>
      </c>
      <c r="BG138" s="159" t="s">
        <v>45</v>
      </c>
      <c r="BH138" s="159" t="s">
        <v>32</v>
      </c>
      <c r="BI138" s="159" t="s">
        <v>41</v>
      </c>
      <c r="BJ138" s="156">
        <v>1</v>
      </c>
      <c r="BK138" s="156"/>
      <c r="BL138" s="156"/>
      <c r="BM138" s="186"/>
      <c r="BN138" s="186"/>
      <c r="BO138" s="186"/>
      <c r="BP138" s="186"/>
      <c r="BQ138" s="186"/>
      <c r="BR138" s="186"/>
    </row>
    <row r="139" spans="1:70">
      <c r="A139" s="184" t="str">
        <f t="shared" si="2"/>
        <v>31406135</v>
      </c>
      <c r="B139" s="158" t="s">
        <v>1233</v>
      </c>
      <c r="C139" s="158" t="s">
        <v>2985</v>
      </c>
      <c r="D139" s="159" t="s">
        <v>1232</v>
      </c>
      <c r="E139" s="159"/>
      <c r="F139" s="158" t="s">
        <v>1235</v>
      </c>
      <c r="G139" s="167">
        <v>32452</v>
      </c>
      <c r="H139" s="167"/>
      <c r="I139" s="159" t="s">
        <v>2569</v>
      </c>
      <c r="J139" s="159" t="s">
        <v>2619</v>
      </c>
      <c r="K139" s="159" t="s">
        <v>35</v>
      </c>
      <c r="L139" s="159" t="s">
        <v>1234</v>
      </c>
      <c r="M139" s="158" t="s">
        <v>2626</v>
      </c>
      <c r="N139" s="158" t="s">
        <v>2623</v>
      </c>
      <c r="O139" s="159" t="s">
        <v>2686</v>
      </c>
      <c r="P139" s="159" t="s">
        <v>2659</v>
      </c>
      <c r="Q139" s="159" t="s">
        <v>2840</v>
      </c>
      <c r="R139" s="159" t="s">
        <v>2863</v>
      </c>
      <c r="S139" s="159"/>
      <c r="T139" s="159"/>
      <c r="U139" s="158"/>
      <c r="V139" s="158"/>
      <c r="W139" s="159"/>
      <c r="X139" s="159"/>
      <c r="Y139" s="159"/>
      <c r="Z139" s="159"/>
      <c r="AA139" s="159"/>
      <c r="AB139" s="167">
        <v>41791</v>
      </c>
      <c r="AC139" s="159" t="s">
        <v>71</v>
      </c>
      <c r="AD139" s="158"/>
      <c r="AE139" s="159"/>
      <c r="AF139" s="159"/>
      <c r="AG139" s="159"/>
      <c r="AH139" s="159"/>
      <c r="AI139" s="159"/>
      <c r="AJ139" s="159"/>
      <c r="AK139" s="159" t="s">
        <v>2600</v>
      </c>
      <c r="AL139" s="159"/>
      <c r="AM139" s="159"/>
      <c r="AN139" s="159" t="s">
        <v>786</v>
      </c>
      <c r="AO139" s="172" t="s">
        <v>937</v>
      </c>
      <c r="AP139" s="172"/>
      <c r="AQ139" s="172"/>
      <c r="AR139" s="178" t="s">
        <v>2618</v>
      </c>
      <c r="AS139" s="178" t="s">
        <v>2618</v>
      </c>
      <c r="BD139" s="185" t="s">
        <v>1002</v>
      </c>
      <c r="BE139" s="156" t="s">
        <v>1110</v>
      </c>
      <c r="BF139" s="185" t="s">
        <v>1049</v>
      </c>
      <c r="BG139" s="159" t="s">
        <v>71</v>
      </c>
      <c r="BH139" s="159" t="s">
        <v>46</v>
      </c>
      <c r="BI139" s="159" t="s">
        <v>41</v>
      </c>
      <c r="BJ139" s="156">
        <v>1</v>
      </c>
      <c r="BK139" s="156"/>
      <c r="BL139" s="156"/>
    </row>
    <row r="140" spans="1:70">
      <c r="A140" s="184" t="str">
        <f t="shared" si="2"/>
        <v>41406136</v>
      </c>
      <c r="B140" s="158" t="s">
        <v>1270</v>
      </c>
      <c r="C140" s="158" t="s">
        <v>2986</v>
      </c>
      <c r="D140" s="159" t="s">
        <v>1269</v>
      </c>
      <c r="E140" s="159"/>
      <c r="F140" s="158" t="s">
        <v>1272</v>
      </c>
      <c r="G140" s="167">
        <v>35148</v>
      </c>
      <c r="H140" s="167"/>
      <c r="I140" s="159" t="s">
        <v>2569</v>
      </c>
      <c r="J140" s="159" t="s">
        <v>2619</v>
      </c>
      <c r="K140" s="159" t="s">
        <v>165</v>
      </c>
      <c r="L140" s="159" t="s">
        <v>1271</v>
      </c>
      <c r="M140" s="158" t="s">
        <v>2623</v>
      </c>
      <c r="N140" s="158" t="s">
        <v>2642</v>
      </c>
      <c r="O140" s="159" t="s">
        <v>2661</v>
      </c>
      <c r="P140" s="159" t="s">
        <v>2662</v>
      </c>
      <c r="Q140" s="159" t="s">
        <v>2840</v>
      </c>
      <c r="R140" s="159" t="s">
        <v>2863</v>
      </c>
      <c r="S140" s="159"/>
      <c r="T140" s="159"/>
      <c r="U140" s="158"/>
      <c r="V140" s="158"/>
      <c r="W140" s="159"/>
      <c r="X140" s="159"/>
      <c r="Y140" s="159"/>
      <c r="Z140" s="159"/>
      <c r="AA140" s="159"/>
      <c r="AB140" s="167">
        <v>41791</v>
      </c>
      <c r="AC140" s="159" t="s">
        <v>129</v>
      </c>
      <c r="AD140" s="158"/>
      <c r="AE140" s="159"/>
      <c r="AF140" s="159"/>
      <c r="AG140" s="159"/>
      <c r="AH140" s="159"/>
      <c r="AI140" s="159"/>
      <c r="AJ140" s="159"/>
      <c r="AK140" s="159" t="s">
        <v>2600</v>
      </c>
      <c r="AL140" s="159"/>
      <c r="AM140" s="159"/>
      <c r="AN140" s="159" t="s">
        <v>786</v>
      </c>
      <c r="AO140" s="172" t="s">
        <v>115</v>
      </c>
      <c r="AP140" s="172"/>
      <c r="AQ140" s="172"/>
      <c r="AR140" s="178" t="s">
        <v>2618</v>
      </c>
      <c r="AS140" s="178" t="s">
        <v>2618</v>
      </c>
      <c r="BD140" s="185" t="s">
        <v>1002</v>
      </c>
      <c r="BE140" s="156" t="s">
        <v>1033</v>
      </c>
      <c r="BF140" s="185" t="s">
        <v>1042</v>
      </c>
      <c r="BG140" s="159" t="s">
        <v>129</v>
      </c>
      <c r="BH140" s="159" t="s">
        <v>46</v>
      </c>
      <c r="BI140" s="159" t="s">
        <v>41</v>
      </c>
      <c r="BJ140" s="156">
        <v>1</v>
      </c>
      <c r="BK140" s="156"/>
      <c r="BL140" s="156"/>
      <c r="BM140" s="155"/>
      <c r="BN140" s="155"/>
      <c r="BO140" s="155"/>
      <c r="BP140" s="155"/>
      <c r="BQ140" s="155"/>
      <c r="BR140" s="155"/>
    </row>
    <row r="141" spans="1:70">
      <c r="A141" s="184" t="str">
        <f t="shared" si="2"/>
        <v>31408137</v>
      </c>
      <c r="B141" s="158" t="s">
        <v>1252</v>
      </c>
      <c r="C141" s="158" t="s">
        <v>2987</v>
      </c>
      <c r="D141" s="159" t="s">
        <v>1251</v>
      </c>
      <c r="E141" s="159"/>
      <c r="F141" s="158" t="s">
        <v>1254</v>
      </c>
      <c r="G141" s="167">
        <v>35666</v>
      </c>
      <c r="H141" s="167"/>
      <c r="I141" s="159" t="s">
        <v>2569</v>
      </c>
      <c r="J141" s="159" t="s">
        <v>2619</v>
      </c>
      <c r="K141" s="159" t="s">
        <v>165</v>
      </c>
      <c r="L141" s="159" t="s">
        <v>1253</v>
      </c>
      <c r="M141" s="158" t="s">
        <v>2621</v>
      </c>
      <c r="N141" s="158" t="s">
        <v>2630</v>
      </c>
      <c r="O141" s="159" t="s">
        <v>2699</v>
      </c>
      <c r="P141" s="159" t="s">
        <v>2659</v>
      </c>
      <c r="Q141" s="159" t="s">
        <v>2840</v>
      </c>
      <c r="R141" s="159" t="s">
        <v>2863</v>
      </c>
      <c r="S141" s="159"/>
      <c r="T141" s="159"/>
      <c r="U141" s="158"/>
      <c r="V141" s="158"/>
      <c r="W141" s="159"/>
      <c r="X141" s="159"/>
      <c r="Y141" s="159"/>
      <c r="Z141" s="159"/>
      <c r="AA141" s="159"/>
      <c r="AB141" s="167">
        <v>41852</v>
      </c>
      <c r="AC141" s="159" t="s">
        <v>71</v>
      </c>
      <c r="AD141" s="158"/>
      <c r="AE141" s="159"/>
      <c r="AF141" s="159"/>
      <c r="AG141" s="159"/>
      <c r="AH141" s="159"/>
      <c r="AI141" s="159"/>
      <c r="AJ141" s="159"/>
      <c r="AK141" s="159" t="s">
        <v>2600</v>
      </c>
      <c r="AL141" s="159"/>
      <c r="AM141" s="159"/>
      <c r="AN141" s="159" t="s">
        <v>786</v>
      </c>
      <c r="AO141" s="172" t="s">
        <v>937</v>
      </c>
      <c r="AP141" s="172"/>
      <c r="AQ141" s="172"/>
      <c r="AR141" s="178" t="s">
        <v>2618</v>
      </c>
      <c r="AS141" s="178" t="s">
        <v>2618</v>
      </c>
      <c r="BD141" s="185" t="s">
        <v>1002</v>
      </c>
      <c r="BE141" s="156" t="s">
        <v>2457</v>
      </c>
      <c r="BF141" s="185" t="s">
        <v>1042</v>
      </c>
      <c r="BG141" s="159" t="s">
        <v>71</v>
      </c>
      <c r="BH141" s="159" t="s">
        <v>46</v>
      </c>
      <c r="BI141" s="159" t="s">
        <v>41</v>
      </c>
      <c r="BJ141" s="156">
        <v>1</v>
      </c>
      <c r="BK141" s="156"/>
      <c r="BL141" s="156"/>
    </row>
    <row r="142" spans="1:70">
      <c r="A142" s="184" t="str">
        <f t="shared" si="2"/>
        <v>21408138</v>
      </c>
      <c r="B142" s="158" t="s">
        <v>570</v>
      </c>
      <c r="C142" s="158" t="s">
        <v>2988</v>
      </c>
      <c r="D142" s="159" t="s">
        <v>569</v>
      </c>
      <c r="E142" s="159"/>
      <c r="F142" s="158" t="s">
        <v>572</v>
      </c>
      <c r="G142" s="167">
        <v>35042</v>
      </c>
      <c r="H142" s="167"/>
      <c r="I142" s="159" t="s">
        <v>2569</v>
      </c>
      <c r="J142" s="159" t="s">
        <v>2619</v>
      </c>
      <c r="K142" s="159" t="s">
        <v>35</v>
      </c>
      <c r="L142" s="159" t="s">
        <v>571</v>
      </c>
      <c r="M142" s="158" t="s">
        <v>2621</v>
      </c>
      <c r="N142" s="158" t="s">
        <v>2625</v>
      </c>
      <c r="O142" s="159" t="s">
        <v>2700</v>
      </c>
      <c r="P142" s="159" t="s">
        <v>2659</v>
      </c>
      <c r="Q142" s="159" t="s">
        <v>2840</v>
      </c>
      <c r="R142" s="159" t="s">
        <v>2863</v>
      </c>
      <c r="S142" s="159"/>
      <c r="T142" s="159"/>
      <c r="U142" s="158"/>
      <c r="V142" s="158"/>
      <c r="W142" s="159"/>
      <c r="X142" s="159"/>
      <c r="Y142" s="159"/>
      <c r="Z142" s="159"/>
      <c r="AA142" s="159"/>
      <c r="AB142" s="167">
        <v>41856</v>
      </c>
      <c r="AC142" s="159" t="s">
        <v>45</v>
      </c>
      <c r="AD142" s="158"/>
      <c r="AE142" s="159"/>
      <c r="AF142" s="159"/>
      <c r="AG142" s="159"/>
      <c r="AH142" s="159"/>
      <c r="AI142" s="159"/>
      <c r="AJ142" s="159"/>
      <c r="AK142" s="159" t="s">
        <v>2600</v>
      </c>
      <c r="AL142" s="159"/>
      <c r="AM142" s="159"/>
      <c r="AN142" s="159" t="s">
        <v>553</v>
      </c>
      <c r="AO142" s="172" t="s">
        <v>564</v>
      </c>
      <c r="AP142" s="172"/>
      <c r="AQ142" s="172"/>
      <c r="AR142" s="178" t="s">
        <v>2618</v>
      </c>
      <c r="AS142" s="178" t="s">
        <v>2618</v>
      </c>
      <c r="BD142" s="156" t="s">
        <v>557</v>
      </c>
      <c r="BE142" s="156" t="s">
        <v>557</v>
      </c>
      <c r="BF142" s="159"/>
      <c r="BG142" s="159" t="s">
        <v>45</v>
      </c>
      <c r="BH142" s="159" t="s">
        <v>46</v>
      </c>
      <c r="BI142" s="159" t="s">
        <v>41</v>
      </c>
      <c r="BJ142" s="156">
        <v>1</v>
      </c>
      <c r="BK142" s="156"/>
      <c r="BL142" s="156"/>
    </row>
    <row r="143" spans="1:70">
      <c r="A143" s="184" t="str">
        <f t="shared" si="2"/>
        <v>21506139</v>
      </c>
      <c r="B143" s="158" t="s">
        <v>262</v>
      </c>
      <c r="C143" s="158" t="s">
        <v>2989</v>
      </c>
      <c r="D143" s="159" t="s">
        <v>261</v>
      </c>
      <c r="E143" s="159"/>
      <c r="F143" s="158" t="s">
        <v>264</v>
      </c>
      <c r="G143" s="167">
        <v>30222</v>
      </c>
      <c r="H143" s="167"/>
      <c r="I143" s="159" t="s">
        <v>2569</v>
      </c>
      <c r="J143" s="159" t="s">
        <v>2619</v>
      </c>
      <c r="K143" s="159" t="s">
        <v>35</v>
      </c>
      <c r="L143" s="159" t="s">
        <v>263</v>
      </c>
      <c r="M143" s="158" t="s">
        <v>2621</v>
      </c>
      <c r="N143" s="158" t="s">
        <v>2626</v>
      </c>
      <c r="O143" s="159" t="s">
        <v>2659</v>
      </c>
      <c r="P143" s="159" t="s">
        <v>2659</v>
      </c>
      <c r="Q143" s="159" t="s">
        <v>2840</v>
      </c>
      <c r="R143" s="159" t="s">
        <v>2863</v>
      </c>
      <c r="S143" s="159"/>
      <c r="T143" s="159"/>
      <c r="U143" s="158"/>
      <c r="V143" s="158"/>
      <c r="W143" s="159"/>
      <c r="X143" s="159"/>
      <c r="Y143" s="159"/>
      <c r="Z143" s="159"/>
      <c r="AA143" s="159"/>
      <c r="AB143" s="167">
        <v>42156</v>
      </c>
      <c r="AC143" s="159" t="s">
        <v>45</v>
      </c>
      <c r="AD143" s="158"/>
      <c r="AE143" s="159"/>
      <c r="AF143" s="159"/>
      <c r="AG143" s="159"/>
      <c r="AH143" s="159"/>
      <c r="AI143" s="159"/>
      <c r="AJ143" s="159"/>
      <c r="AK143" s="159" t="s">
        <v>2600</v>
      </c>
      <c r="AL143" s="159"/>
      <c r="AM143" s="159"/>
      <c r="AN143" s="185" t="s">
        <v>216</v>
      </c>
      <c r="AO143" s="172" t="s">
        <v>78</v>
      </c>
      <c r="AP143" s="172"/>
      <c r="AQ143" s="172"/>
      <c r="AR143" s="178" t="s">
        <v>2618</v>
      </c>
      <c r="AS143" s="178" t="s">
        <v>2618</v>
      </c>
      <c r="BD143" s="156"/>
      <c r="BF143" s="159"/>
      <c r="BG143" s="159" t="s">
        <v>45</v>
      </c>
      <c r="BH143" s="159" t="s">
        <v>32</v>
      </c>
      <c r="BI143" s="159" t="s">
        <v>41</v>
      </c>
      <c r="BJ143" s="156">
        <v>3</v>
      </c>
      <c r="BK143" s="156"/>
      <c r="BL143" s="156"/>
      <c r="BM143" s="190"/>
      <c r="BN143" s="190"/>
      <c r="BO143" s="190"/>
      <c r="BP143" s="190"/>
      <c r="BQ143" s="190"/>
      <c r="BR143" s="190"/>
    </row>
    <row r="144" spans="1:70">
      <c r="A144" s="184" t="str">
        <f t="shared" si="2"/>
        <v>31506140</v>
      </c>
      <c r="B144" s="158" t="s">
        <v>1162</v>
      </c>
      <c r="C144" s="158" t="s">
        <v>2990</v>
      </c>
      <c r="D144" s="159" t="s">
        <v>1161</v>
      </c>
      <c r="E144" s="159"/>
      <c r="F144" s="158" t="s">
        <v>1164</v>
      </c>
      <c r="G144" s="167">
        <v>31672</v>
      </c>
      <c r="H144" s="167"/>
      <c r="I144" s="159" t="s">
        <v>2569</v>
      </c>
      <c r="J144" s="159" t="s">
        <v>2619</v>
      </c>
      <c r="K144" s="159" t="s">
        <v>35</v>
      </c>
      <c r="L144" s="159" t="s">
        <v>1163</v>
      </c>
      <c r="M144" s="158" t="s">
        <v>2629</v>
      </c>
      <c r="N144" s="158" t="s">
        <v>2625</v>
      </c>
      <c r="O144" s="159" t="s">
        <v>2659</v>
      </c>
      <c r="P144" s="159" t="s">
        <v>2659</v>
      </c>
      <c r="Q144" s="159" t="s">
        <v>2840</v>
      </c>
      <c r="R144" s="159" t="s">
        <v>2863</v>
      </c>
      <c r="S144" s="159"/>
      <c r="T144" s="159"/>
      <c r="U144" s="158"/>
      <c r="V144" s="158"/>
      <c r="W144" s="159"/>
      <c r="X144" s="159"/>
      <c r="Y144" s="159"/>
      <c r="Z144" s="159"/>
      <c r="AA144" s="159"/>
      <c r="AB144" s="167">
        <v>42156</v>
      </c>
      <c r="AC144" s="159" t="s">
        <v>71</v>
      </c>
      <c r="AD144" s="158"/>
      <c r="AE144" s="159"/>
      <c r="AF144" s="159"/>
      <c r="AG144" s="159"/>
      <c r="AH144" s="159"/>
      <c r="AI144" s="159"/>
      <c r="AJ144" s="159"/>
      <c r="AK144" s="159" t="s">
        <v>2600</v>
      </c>
      <c r="AL144" s="159"/>
      <c r="AM144" s="159"/>
      <c r="AN144" s="159" t="s">
        <v>786</v>
      </c>
      <c r="AO144" s="172" t="s">
        <v>937</v>
      </c>
      <c r="AP144" s="172"/>
      <c r="AQ144" s="172"/>
      <c r="AR144" s="178" t="s">
        <v>2618</v>
      </c>
      <c r="AS144" s="178" t="s">
        <v>2618</v>
      </c>
      <c r="BD144" s="185" t="s">
        <v>1002</v>
      </c>
      <c r="BE144" s="156" t="s">
        <v>1026</v>
      </c>
      <c r="BF144" s="159" t="s">
        <v>1042</v>
      </c>
      <c r="BG144" s="159" t="s">
        <v>71</v>
      </c>
      <c r="BH144" s="159" t="s">
        <v>32</v>
      </c>
      <c r="BI144" s="159" t="s">
        <v>41</v>
      </c>
      <c r="BJ144" s="156">
        <v>1</v>
      </c>
      <c r="BK144" s="156"/>
      <c r="BL144" s="156"/>
    </row>
    <row r="145" spans="1:70">
      <c r="A145" s="184" t="str">
        <f t="shared" si="2"/>
        <v>31506141</v>
      </c>
      <c r="B145" s="158" t="s">
        <v>1185</v>
      </c>
      <c r="C145" s="158" t="s">
        <v>2991</v>
      </c>
      <c r="D145" s="159" t="s">
        <v>1184</v>
      </c>
      <c r="E145" s="159"/>
      <c r="F145" s="158" t="s">
        <v>1186</v>
      </c>
      <c r="G145" s="167">
        <v>30182</v>
      </c>
      <c r="H145" s="167"/>
      <c r="I145" s="159" t="s">
        <v>2569</v>
      </c>
      <c r="J145" s="159" t="s">
        <v>2619</v>
      </c>
      <c r="K145" s="159" t="s">
        <v>35</v>
      </c>
      <c r="L145" s="159" t="s">
        <v>1163</v>
      </c>
      <c r="M145" s="158" t="s">
        <v>2629</v>
      </c>
      <c r="N145" s="158" t="s">
        <v>2625</v>
      </c>
      <c r="O145" s="159" t="s">
        <v>2659</v>
      </c>
      <c r="P145" s="159" t="s">
        <v>2659</v>
      </c>
      <c r="Q145" s="159" t="s">
        <v>2840</v>
      </c>
      <c r="R145" s="159" t="s">
        <v>2863</v>
      </c>
      <c r="S145" s="159"/>
      <c r="T145" s="159"/>
      <c r="U145" s="158"/>
      <c r="V145" s="158"/>
      <c r="W145" s="159"/>
      <c r="X145" s="159"/>
      <c r="Y145" s="159"/>
      <c r="Z145" s="159"/>
      <c r="AA145" s="159"/>
      <c r="AB145" s="167">
        <v>42156</v>
      </c>
      <c r="AC145" s="159" t="s">
        <v>71</v>
      </c>
      <c r="AD145" s="158"/>
      <c r="AE145" s="159"/>
      <c r="AF145" s="159"/>
      <c r="AG145" s="159"/>
      <c r="AH145" s="159"/>
      <c r="AI145" s="159"/>
      <c r="AJ145" s="159"/>
      <c r="AK145" s="159" t="s">
        <v>2600</v>
      </c>
      <c r="AL145" s="159"/>
      <c r="AM145" s="159"/>
      <c r="AN145" s="159" t="s">
        <v>786</v>
      </c>
      <c r="AO145" s="172" t="s">
        <v>937</v>
      </c>
      <c r="AP145" s="172"/>
      <c r="AQ145" s="172"/>
      <c r="AR145" s="178" t="s">
        <v>2618</v>
      </c>
      <c r="AS145" s="178" t="s">
        <v>2618</v>
      </c>
      <c r="BD145" s="185" t="s">
        <v>1002</v>
      </c>
      <c r="BE145" s="156" t="s">
        <v>1061</v>
      </c>
      <c r="BF145" s="185" t="s">
        <v>2333</v>
      </c>
      <c r="BG145" s="159" t="s">
        <v>71</v>
      </c>
      <c r="BH145" s="159" t="s">
        <v>121</v>
      </c>
      <c r="BI145" s="159" t="s">
        <v>41</v>
      </c>
      <c r="BJ145" s="156">
        <v>1</v>
      </c>
      <c r="BK145" s="156"/>
      <c r="BL145" s="156"/>
    </row>
    <row r="146" spans="1:70">
      <c r="A146" s="184" t="str">
        <f t="shared" si="2"/>
        <v>21602142</v>
      </c>
      <c r="B146" s="158"/>
      <c r="C146" s="158" t="s">
        <v>2992</v>
      </c>
      <c r="D146" s="159" t="s">
        <v>694</v>
      </c>
      <c r="E146" s="159"/>
      <c r="F146" s="158"/>
      <c r="G146" s="167">
        <v>32698</v>
      </c>
      <c r="H146" s="167"/>
      <c r="I146" s="159" t="s">
        <v>2570</v>
      </c>
      <c r="J146" s="159" t="s">
        <v>2619</v>
      </c>
      <c r="K146" s="159"/>
      <c r="L146" s="159" t="s">
        <v>696</v>
      </c>
      <c r="M146" s="158"/>
      <c r="N146" s="158"/>
      <c r="O146" s="159"/>
      <c r="P146" s="159" t="s">
        <v>696</v>
      </c>
      <c r="Q146" s="159" t="s">
        <v>2840</v>
      </c>
      <c r="R146" s="159" t="s">
        <v>2863</v>
      </c>
      <c r="S146" s="159"/>
      <c r="T146" s="159"/>
      <c r="U146" s="158"/>
      <c r="V146" s="158"/>
      <c r="W146" s="159"/>
      <c r="X146" s="159"/>
      <c r="Y146" s="159"/>
      <c r="Z146" s="159"/>
      <c r="AA146" s="159"/>
      <c r="AB146" s="167">
        <v>42409</v>
      </c>
      <c r="AC146" s="159" t="s">
        <v>45</v>
      </c>
      <c r="AD146" s="158"/>
      <c r="AE146" s="159"/>
      <c r="AF146" s="159"/>
      <c r="AG146" s="159"/>
      <c r="AH146" s="159"/>
      <c r="AI146" s="159"/>
      <c r="AJ146" s="159"/>
      <c r="AK146" s="159" t="s">
        <v>2600</v>
      </c>
      <c r="AL146" s="159"/>
      <c r="AM146" s="159"/>
      <c r="AN146" s="159" t="s">
        <v>684</v>
      </c>
      <c r="AO146" s="172" t="s">
        <v>54</v>
      </c>
      <c r="AP146" s="172"/>
      <c r="AQ146" s="172"/>
      <c r="AR146" s="178" t="s">
        <v>2618</v>
      </c>
      <c r="AS146" s="178" t="s">
        <v>2618</v>
      </c>
      <c r="BD146" s="159" t="s">
        <v>689</v>
      </c>
      <c r="BF146" s="159"/>
      <c r="BG146" s="159" t="s">
        <v>45</v>
      </c>
      <c r="BH146" s="159" t="s">
        <v>695</v>
      </c>
      <c r="BI146" s="159" t="s">
        <v>41</v>
      </c>
      <c r="BJ146" s="156">
        <v>3</v>
      </c>
      <c r="BK146" s="156"/>
      <c r="BL146" s="156"/>
    </row>
    <row r="147" spans="1:70">
      <c r="A147" s="184" t="str">
        <f t="shared" si="2"/>
        <v>41605143</v>
      </c>
      <c r="B147" s="158" t="s">
        <v>1696</v>
      </c>
      <c r="C147" s="158" t="s">
        <v>2993</v>
      </c>
      <c r="D147" s="159" t="s">
        <v>1695</v>
      </c>
      <c r="E147" s="159"/>
      <c r="F147" s="158" t="s">
        <v>1698</v>
      </c>
      <c r="G147" s="167">
        <v>32961</v>
      </c>
      <c r="H147" s="167"/>
      <c r="I147" s="159" t="s">
        <v>2569</v>
      </c>
      <c r="J147" s="159" t="s">
        <v>2619</v>
      </c>
      <c r="K147" s="159" t="s">
        <v>35</v>
      </c>
      <c r="L147" s="159" t="s">
        <v>2701</v>
      </c>
      <c r="M147" s="158" t="s">
        <v>2623</v>
      </c>
      <c r="N147" s="158" t="s">
        <v>2630</v>
      </c>
      <c r="O147" s="159" t="s">
        <v>2699</v>
      </c>
      <c r="P147" s="159" t="s">
        <v>2659</v>
      </c>
      <c r="Q147" s="159" t="s">
        <v>2840</v>
      </c>
      <c r="R147" s="159" t="s">
        <v>2863</v>
      </c>
      <c r="S147" s="159"/>
      <c r="T147" s="159"/>
      <c r="U147" s="158"/>
      <c r="V147" s="158"/>
      <c r="W147" s="159"/>
      <c r="X147" s="159"/>
      <c r="Y147" s="159"/>
      <c r="Z147" s="159"/>
      <c r="AA147" s="159"/>
      <c r="AB147" s="167">
        <v>42515</v>
      </c>
      <c r="AC147" s="159" t="s">
        <v>129</v>
      </c>
      <c r="AD147" s="158"/>
      <c r="AE147" s="159"/>
      <c r="AF147" s="159"/>
      <c r="AG147" s="159"/>
      <c r="AH147" s="159"/>
      <c r="AI147" s="159"/>
      <c r="AJ147" s="159"/>
      <c r="AK147" s="159" t="s">
        <v>2600</v>
      </c>
      <c r="AL147" s="159"/>
      <c r="AM147" s="159"/>
      <c r="AN147" s="159" t="s">
        <v>786</v>
      </c>
      <c r="AO147" s="172" t="s">
        <v>115</v>
      </c>
      <c r="AP147" s="172"/>
      <c r="AQ147" s="172"/>
      <c r="AR147" s="178" t="s">
        <v>2618</v>
      </c>
      <c r="AS147" s="178" t="s">
        <v>2618</v>
      </c>
      <c r="BD147" s="185" t="s">
        <v>1442</v>
      </c>
      <c r="BE147" s="156" t="s">
        <v>1481</v>
      </c>
      <c r="BF147" s="159" t="s">
        <v>1508</v>
      </c>
      <c r="BG147" s="159" t="s">
        <v>129</v>
      </c>
      <c r="BH147" s="159" t="s">
        <v>46</v>
      </c>
      <c r="BI147" s="159" t="s">
        <v>41</v>
      </c>
      <c r="BJ147" s="156">
        <v>1</v>
      </c>
      <c r="BK147" s="156"/>
      <c r="BL147" s="156"/>
      <c r="BM147" s="190"/>
      <c r="BN147" s="190"/>
      <c r="BO147" s="190"/>
      <c r="BP147" s="190"/>
      <c r="BQ147" s="190"/>
      <c r="BR147" s="190"/>
    </row>
    <row r="148" spans="1:70">
      <c r="A148" s="184" t="str">
        <f t="shared" si="2"/>
        <v>41606144</v>
      </c>
      <c r="B148" s="158" t="s">
        <v>140</v>
      </c>
      <c r="C148" s="158" t="s">
        <v>2994</v>
      </c>
      <c r="D148" s="159" t="s">
        <v>139</v>
      </c>
      <c r="E148" s="159"/>
      <c r="F148" s="158" t="s">
        <v>142</v>
      </c>
      <c r="G148" s="167">
        <v>34026</v>
      </c>
      <c r="H148" s="167"/>
      <c r="I148" s="159" t="s">
        <v>2569</v>
      </c>
      <c r="J148" s="159" t="s">
        <v>2619</v>
      </c>
      <c r="K148" s="159" t="s">
        <v>35</v>
      </c>
      <c r="L148" s="159" t="s">
        <v>141</v>
      </c>
      <c r="M148" s="158" t="s">
        <v>2626</v>
      </c>
      <c r="N148" s="158" t="s">
        <v>2625</v>
      </c>
      <c r="O148" s="159" t="s">
        <v>2659</v>
      </c>
      <c r="P148" s="159" t="s">
        <v>2659</v>
      </c>
      <c r="Q148" s="159" t="s">
        <v>2840</v>
      </c>
      <c r="R148" s="159" t="s">
        <v>2863</v>
      </c>
      <c r="S148" s="159"/>
      <c r="T148" s="159"/>
      <c r="U148" s="158"/>
      <c r="V148" s="158"/>
      <c r="W148" s="159"/>
      <c r="X148" s="159"/>
      <c r="Y148" s="159"/>
      <c r="Z148" s="159"/>
      <c r="AA148" s="159"/>
      <c r="AB148" s="167">
        <v>42522</v>
      </c>
      <c r="AC148" s="159" t="s">
        <v>129</v>
      </c>
      <c r="AD148" s="158"/>
      <c r="AE148" s="159"/>
      <c r="AF148" s="159"/>
      <c r="AG148" s="159"/>
      <c r="AH148" s="159"/>
      <c r="AI148" s="159"/>
      <c r="AJ148" s="159"/>
      <c r="AK148" s="159" t="s">
        <v>2600</v>
      </c>
      <c r="AL148" s="159"/>
      <c r="AM148" s="159"/>
      <c r="AN148" s="159" t="s">
        <v>29</v>
      </c>
      <c r="AO148" s="172" t="s">
        <v>115</v>
      </c>
      <c r="AP148" s="172"/>
      <c r="AQ148" s="172"/>
      <c r="AR148" s="178" t="s">
        <v>2618</v>
      </c>
      <c r="AS148" s="178" t="s">
        <v>2618</v>
      </c>
      <c r="BD148" s="156"/>
      <c r="BE148" s="185" t="s">
        <v>128</v>
      </c>
      <c r="BF148" s="159"/>
      <c r="BG148" s="159" t="s">
        <v>129</v>
      </c>
      <c r="BH148" s="159" t="s">
        <v>121</v>
      </c>
      <c r="BI148" s="159" t="s">
        <v>41</v>
      </c>
      <c r="BJ148" s="156">
        <v>1</v>
      </c>
      <c r="BK148" s="156"/>
      <c r="BL148" s="156"/>
    </row>
    <row r="149" spans="1:70">
      <c r="A149" s="184" t="str">
        <f t="shared" si="2"/>
        <v>41606145</v>
      </c>
      <c r="B149" s="158" t="s">
        <v>163</v>
      </c>
      <c r="C149" s="158" t="s">
        <v>2995</v>
      </c>
      <c r="D149" s="159" t="s">
        <v>162</v>
      </c>
      <c r="E149" s="159"/>
      <c r="F149" s="158" t="s">
        <v>166</v>
      </c>
      <c r="G149" s="167">
        <v>35770</v>
      </c>
      <c r="H149" s="167"/>
      <c r="I149" s="159" t="s">
        <v>2569</v>
      </c>
      <c r="J149" s="159" t="s">
        <v>2619</v>
      </c>
      <c r="K149" s="159" t="s">
        <v>165</v>
      </c>
      <c r="L149" s="159" t="s">
        <v>164</v>
      </c>
      <c r="M149" s="158" t="s">
        <v>2629</v>
      </c>
      <c r="N149" s="158" t="s">
        <v>2622</v>
      </c>
      <c r="O149" s="159" t="s">
        <v>2659</v>
      </c>
      <c r="P149" s="159" t="s">
        <v>2659</v>
      </c>
      <c r="Q149" s="159" t="s">
        <v>2840</v>
      </c>
      <c r="R149" s="159" t="s">
        <v>2863</v>
      </c>
      <c r="S149" s="159"/>
      <c r="T149" s="159"/>
      <c r="U149" s="158"/>
      <c r="V149" s="158"/>
      <c r="W149" s="159"/>
      <c r="X149" s="159"/>
      <c r="Y149" s="159"/>
      <c r="Z149" s="159"/>
      <c r="AA149" s="159"/>
      <c r="AB149" s="167">
        <v>42522</v>
      </c>
      <c r="AC149" s="159" t="s">
        <v>129</v>
      </c>
      <c r="AD149" s="158"/>
      <c r="AE149" s="159"/>
      <c r="AF149" s="159"/>
      <c r="AG149" s="159"/>
      <c r="AH149" s="159"/>
      <c r="AI149" s="159"/>
      <c r="AJ149" s="159"/>
      <c r="AK149" s="159" t="s">
        <v>2600</v>
      </c>
      <c r="AL149" s="159"/>
      <c r="AM149" s="159"/>
      <c r="AN149" s="159" t="s">
        <v>29</v>
      </c>
      <c r="AO149" s="172" t="s">
        <v>115</v>
      </c>
      <c r="AP149" s="172"/>
      <c r="AQ149" s="172"/>
      <c r="AR149" s="178" t="s">
        <v>2618</v>
      </c>
      <c r="AS149" s="178" t="s">
        <v>2618</v>
      </c>
      <c r="BD149" s="156"/>
      <c r="BE149" s="185" t="s">
        <v>128</v>
      </c>
      <c r="BF149" s="159"/>
      <c r="BG149" s="159" t="s">
        <v>129</v>
      </c>
      <c r="BH149" s="159" t="s">
        <v>46</v>
      </c>
      <c r="BI149" s="159" t="s">
        <v>41</v>
      </c>
      <c r="BJ149" s="156">
        <v>1</v>
      </c>
      <c r="BK149" s="156"/>
      <c r="BL149" s="156"/>
    </row>
    <row r="150" spans="1:70">
      <c r="A150" s="184" t="str">
        <f t="shared" si="2"/>
        <v>41606146</v>
      </c>
      <c r="B150" s="158" t="s">
        <v>201</v>
      </c>
      <c r="C150" s="158" t="s">
        <v>2996</v>
      </c>
      <c r="D150" s="159" t="s">
        <v>200</v>
      </c>
      <c r="E150" s="159"/>
      <c r="F150" s="158" t="s">
        <v>203</v>
      </c>
      <c r="G150" s="167">
        <v>36025</v>
      </c>
      <c r="H150" s="167"/>
      <c r="I150" s="159" t="s">
        <v>2569</v>
      </c>
      <c r="J150" s="159" t="s">
        <v>2619</v>
      </c>
      <c r="K150" s="159" t="s">
        <v>165</v>
      </c>
      <c r="L150" s="159" t="s">
        <v>202</v>
      </c>
      <c r="M150" s="158" t="s">
        <v>2621</v>
      </c>
      <c r="N150" s="158" t="s">
        <v>2629</v>
      </c>
      <c r="O150" s="159" t="s">
        <v>2691</v>
      </c>
      <c r="P150" s="159" t="s">
        <v>2732</v>
      </c>
      <c r="Q150" s="159" t="s">
        <v>2840</v>
      </c>
      <c r="R150" s="159" t="s">
        <v>2863</v>
      </c>
      <c r="S150" s="159"/>
      <c r="T150" s="159"/>
      <c r="U150" s="158"/>
      <c r="V150" s="158"/>
      <c r="W150" s="159"/>
      <c r="X150" s="159"/>
      <c r="Y150" s="159"/>
      <c r="Z150" s="159"/>
      <c r="AA150" s="159"/>
      <c r="AB150" s="167">
        <v>42522</v>
      </c>
      <c r="AC150" s="159" t="s">
        <v>129</v>
      </c>
      <c r="AD150" s="158"/>
      <c r="AE150" s="159"/>
      <c r="AF150" s="159"/>
      <c r="AG150" s="159"/>
      <c r="AH150" s="159"/>
      <c r="AI150" s="159"/>
      <c r="AJ150" s="159"/>
      <c r="AK150" s="159" t="s">
        <v>2600</v>
      </c>
      <c r="AL150" s="159"/>
      <c r="AM150" s="159"/>
      <c r="AN150" s="159" t="s">
        <v>29</v>
      </c>
      <c r="AO150" s="172" t="s">
        <v>115</v>
      </c>
      <c r="AP150" s="172"/>
      <c r="AQ150" s="172"/>
      <c r="AR150" s="178" t="s">
        <v>2618</v>
      </c>
      <c r="AS150" s="178" t="s">
        <v>2618</v>
      </c>
      <c r="BD150" s="156"/>
      <c r="BE150" s="185" t="s">
        <v>128</v>
      </c>
      <c r="BF150" s="159"/>
      <c r="BG150" s="159" t="s">
        <v>129</v>
      </c>
      <c r="BH150" s="159" t="s">
        <v>46</v>
      </c>
      <c r="BI150" s="159" t="s">
        <v>41</v>
      </c>
      <c r="BJ150" s="156">
        <v>1</v>
      </c>
      <c r="BK150" s="156"/>
      <c r="BL150" s="156"/>
    </row>
    <row r="151" spans="1:70">
      <c r="A151" s="184" t="str">
        <f t="shared" si="2"/>
        <v>21606147</v>
      </c>
      <c r="B151" s="158" t="s">
        <v>640</v>
      </c>
      <c r="C151" s="158" t="s">
        <v>2997</v>
      </c>
      <c r="D151" s="159" t="s">
        <v>638</v>
      </c>
      <c r="E151" s="159"/>
      <c r="F151" s="158" t="s">
        <v>642</v>
      </c>
      <c r="G151" s="167">
        <v>33843</v>
      </c>
      <c r="H151" s="167"/>
      <c r="I151" s="159" t="s">
        <v>2569</v>
      </c>
      <c r="J151" s="159" t="s">
        <v>2619</v>
      </c>
      <c r="K151" s="159" t="s">
        <v>35</v>
      </c>
      <c r="L151" s="159" t="s">
        <v>641</v>
      </c>
      <c r="M151" s="158" t="s">
        <v>2626</v>
      </c>
      <c r="N151" s="158" t="s">
        <v>2626</v>
      </c>
      <c r="O151" s="159" t="s">
        <v>2674</v>
      </c>
      <c r="P151" s="159" t="s">
        <v>2732</v>
      </c>
      <c r="Q151" s="159" t="s">
        <v>2840</v>
      </c>
      <c r="R151" s="159" t="s">
        <v>2863</v>
      </c>
      <c r="S151" s="159"/>
      <c r="T151" s="159"/>
      <c r="U151" s="158"/>
      <c r="V151" s="158"/>
      <c r="W151" s="159"/>
      <c r="X151" s="159"/>
      <c r="Y151" s="159"/>
      <c r="Z151" s="159"/>
      <c r="AA151" s="159"/>
      <c r="AB151" s="167">
        <v>42522</v>
      </c>
      <c r="AC151" s="159" t="s">
        <v>45</v>
      </c>
      <c r="AD151" s="158"/>
      <c r="AE151" s="159"/>
      <c r="AF151" s="159"/>
      <c r="AG151" s="159"/>
      <c r="AH151" s="159"/>
      <c r="AI151" s="159"/>
      <c r="AJ151" s="159"/>
      <c r="AK151" s="159" t="s">
        <v>2600</v>
      </c>
      <c r="AL151" s="159"/>
      <c r="AM151" s="159"/>
      <c r="AN151" s="159" t="s">
        <v>553</v>
      </c>
      <c r="AO151" s="172" t="s">
        <v>564</v>
      </c>
      <c r="AP151" s="172"/>
      <c r="AQ151" s="172"/>
      <c r="AR151" s="178" t="s">
        <v>2618</v>
      </c>
      <c r="AS151" s="178" t="s">
        <v>2618</v>
      </c>
      <c r="BD151" s="156" t="s">
        <v>584</v>
      </c>
      <c r="BE151" s="156" t="s">
        <v>639</v>
      </c>
      <c r="BF151" s="159"/>
      <c r="BG151" s="159" t="s">
        <v>45</v>
      </c>
      <c r="BH151" s="159" t="s">
        <v>46</v>
      </c>
      <c r="BI151" s="159" t="s">
        <v>41</v>
      </c>
      <c r="BJ151" s="156">
        <v>1</v>
      </c>
      <c r="BK151" s="156"/>
      <c r="BL151" s="156"/>
    </row>
    <row r="152" spans="1:70">
      <c r="A152" s="184" t="str">
        <f t="shared" si="2"/>
        <v>41606148</v>
      </c>
      <c r="B152" s="158" t="s">
        <v>973</v>
      </c>
      <c r="C152" s="158" t="s">
        <v>2998</v>
      </c>
      <c r="D152" s="159" t="s">
        <v>972</v>
      </c>
      <c r="E152" s="159"/>
      <c r="F152" s="158" t="s">
        <v>975</v>
      </c>
      <c r="G152" s="167">
        <v>32180</v>
      </c>
      <c r="H152" s="167"/>
      <c r="I152" s="159" t="s">
        <v>2569</v>
      </c>
      <c r="J152" s="159" t="s">
        <v>2619</v>
      </c>
      <c r="K152" s="159" t="s">
        <v>35</v>
      </c>
      <c r="L152" s="159" t="s">
        <v>974</v>
      </c>
      <c r="M152" s="158" t="s">
        <v>2626</v>
      </c>
      <c r="N152" s="158" t="s">
        <v>2626</v>
      </c>
      <c r="O152" s="159" t="s">
        <v>2659</v>
      </c>
      <c r="P152" s="159" t="s">
        <v>2659</v>
      </c>
      <c r="Q152" s="159" t="s">
        <v>2840</v>
      </c>
      <c r="R152" s="159" t="s">
        <v>2863</v>
      </c>
      <c r="S152" s="159"/>
      <c r="T152" s="159"/>
      <c r="U152" s="158"/>
      <c r="V152" s="158"/>
      <c r="W152" s="159"/>
      <c r="X152" s="159"/>
      <c r="Y152" s="159"/>
      <c r="Z152" s="159"/>
      <c r="AA152" s="159"/>
      <c r="AB152" s="167">
        <v>42522</v>
      </c>
      <c r="AC152" s="159" t="s">
        <v>129</v>
      </c>
      <c r="AD152" s="158"/>
      <c r="AE152" s="159"/>
      <c r="AF152" s="159"/>
      <c r="AG152" s="159"/>
      <c r="AH152" s="159"/>
      <c r="AI152" s="159"/>
      <c r="AJ152" s="159"/>
      <c r="AK152" s="159" t="s">
        <v>2600</v>
      </c>
      <c r="AL152" s="159"/>
      <c r="AM152" s="159"/>
      <c r="AN152" s="159" t="s">
        <v>786</v>
      </c>
      <c r="AO152" s="162" t="s">
        <v>115</v>
      </c>
      <c r="AR152" s="178" t="s">
        <v>2618</v>
      </c>
      <c r="AS152" s="178" t="s">
        <v>2618</v>
      </c>
      <c r="BD152" s="185" t="s">
        <v>787</v>
      </c>
      <c r="BE152" s="156" t="s">
        <v>959</v>
      </c>
      <c r="BF152" s="159" t="s">
        <v>841</v>
      </c>
      <c r="BG152" s="159" t="s">
        <v>129</v>
      </c>
      <c r="BH152" s="159" t="s">
        <v>46</v>
      </c>
      <c r="BI152" s="159" t="s">
        <v>41</v>
      </c>
      <c r="BJ152" s="156">
        <v>1</v>
      </c>
      <c r="BK152" s="156"/>
      <c r="BL152" s="156"/>
    </row>
    <row r="153" spans="1:70">
      <c r="A153" s="184" t="str">
        <f t="shared" si="2"/>
        <v>31606149</v>
      </c>
      <c r="B153" s="158" t="s">
        <v>1189</v>
      </c>
      <c r="C153" s="158" t="s">
        <v>2999</v>
      </c>
      <c r="D153" s="159" t="s">
        <v>1188</v>
      </c>
      <c r="E153" s="159"/>
      <c r="F153" s="158" t="s">
        <v>1190</v>
      </c>
      <c r="G153" s="167">
        <v>35233</v>
      </c>
      <c r="H153" s="167"/>
      <c r="I153" s="159" t="s">
        <v>2569</v>
      </c>
      <c r="J153" s="159" t="s">
        <v>2619</v>
      </c>
      <c r="K153" s="159" t="s">
        <v>165</v>
      </c>
      <c r="L153" s="159" t="s">
        <v>974</v>
      </c>
      <c r="M153" s="158" t="s">
        <v>2623</v>
      </c>
      <c r="N153" s="158" t="s">
        <v>2626</v>
      </c>
      <c r="O153" s="159" t="s">
        <v>2659</v>
      </c>
      <c r="P153" s="159" t="s">
        <v>2659</v>
      </c>
      <c r="Q153" s="159" t="s">
        <v>2840</v>
      </c>
      <c r="R153" s="159" t="s">
        <v>2863</v>
      </c>
      <c r="S153" s="159"/>
      <c r="T153" s="159"/>
      <c r="U153" s="158"/>
      <c r="V153" s="158"/>
      <c r="W153" s="159"/>
      <c r="X153" s="159"/>
      <c r="Y153" s="159"/>
      <c r="Z153" s="159"/>
      <c r="AA153" s="159"/>
      <c r="AB153" s="167">
        <v>42522</v>
      </c>
      <c r="AC153" s="159" t="s">
        <v>71</v>
      </c>
      <c r="AD153" s="158"/>
      <c r="AE153" s="159"/>
      <c r="AF153" s="159"/>
      <c r="AG153" s="159"/>
      <c r="AH153" s="159"/>
      <c r="AI153" s="159"/>
      <c r="AJ153" s="159"/>
      <c r="AK153" s="159" t="s">
        <v>2600</v>
      </c>
      <c r="AL153" s="159"/>
      <c r="AM153" s="159"/>
      <c r="AN153" s="159" t="s">
        <v>786</v>
      </c>
      <c r="AO153" s="172" t="s">
        <v>937</v>
      </c>
      <c r="AP153" s="172"/>
      <c r="AQ153" s="172"/>
      <c r="AR153" s="178" t="s">
        <v>2618</v>
      </c>
      <c r="AS153" s="178" t="s">
        <v>2618</v>
      </c>
      <c r="BD153" s="185" t="s">
        <v>1002</v>
      </c>
      <c r="BE153" s="156" t="s">
        <v>1061</v>
      </c>
      <c r="BF153" s="185" t="s">
        <v>1049</v>
      </c>
      <c r="BG153" s="159" t="s">
        <v>71</v>
      </c>
      <c r="BH153" s="159" t="s">
        <v>32</v>
      </c>
      <c r="BI153" s="159" t="s">
        <v>41</v>
      </c>
      <c r="BJ153" s="156">
        <v>1</v>
      </c>
      <c r="BK153" s="156"/>
      <c r="BL153" s="156"/>
    </row>
    <row r="154" spans="1:70" s="193" customFormat="1">
      <c r="A154" s="184" t="str">
        <f t="shared" si="2"/>
        <v>31606150</v>
      </c>
      <c r="B154" s="158" t="s">
        <v>1200</v>
      </c>
      <c r="C154" s="158" t="s">
        <v>3000</v>
      </c>
      <c r="D154" s="159" t="s">
        <v>1199</v>
      </c>
      <c r="E154" s="159"/>
      <c r="F154" s="158" t="s">
        <v>1201</v>
      </c>
      <c r="G154" s="167">
        <v>35462</v>
      </c>
      <c r="H154" s="167"/>
      <c r="I154" s="159" t="s">
        <v>2569</v>
      </c>
      <c r="J154" s="159" t="s">
        <v>2619</v>
      </c>
      <c r="K154" s="159" t="s">
        <v>35</v>
      </c>
      <c r="L154" s="159" t="s">
        <v>141</v>
      </c>
      <c r="M154" s="158" t="s">
        <v>2626</v>
      </c>
      <c r="N154" s="158" t="s">
        <v>2625</v>
      </c>
      <c r="O154" s="159" t="s">
        <v>2659</v>
      </c>
      <c r="P154" s="159" t="s">
        <v>2659</v>
      </c>
      <c r="Q154" s="159" t="s">
        <v>2840</v>
      </c>
      <c r="R154" s="159" t="s">
        <v>2863</v>
      </c>
      <c r="S154" s="159"/>
      <c r="T154" s="159"/>
      <c r="U154" s="158"/>
      <c r="V154" s="158"/>
      <c r="W154" s="159"/>
      <c r="X154" s="159"/>
      <c r="Y154" s="159"/>
      <c r="Z154" s="159"/>
      <c r="AA154" s="159"/>
      <c r="AB154" s="167">
        <v>42522</v>
      </c>
      <c r="AC154" s="159" t="s">
        <v>71</v>
      </c>
      <c r="AD154" s="158"/>
      <c r="AE154" s="159"/>
      <c r="AF154" s="159"/>
      <c r="AG154" s="159"/>
      <c r="AH154" s="159"/>
      <c r="AI154" s="159"/>
      <c r="AJ154" s="159"/>
      <c r="AK154" s="159" t="s">
        <v>2600</v>
      </c>
      <c r="AL154" s="159"/>
      <c r="AM154" s="159"/>
      <c r="AN154" s="159" t="s">
        <v>786</v>
      </c>
      <c r="AO154" s="172" t="s">
        <v>937</v>
      </c>
      <c r="AP154" s="172"/>
      <c r="AQ154" s="172"/>
      <c r="AR154" s="178" t="s">
        <v>2618</v>
      </c>
      <c r="AS154" s="178" t="s">
        <v>2618</v>
      </c>
      <c r="AT154" s="178"/>
      <c r="AU154" s="159"/>
      <c r="AV154" s="159"/>
      <c r="AW154" s="159"/>
      <c r="AX154" s="159"/>
      <c r="AY154" s="159"/>
      <c r="AZ154" s="159"/>
      <c r="BA154" s="159"/>
      <c r="BB154" s="159"/>
      <c r="BC154" s="159"/>
      <c r="BD154" s="185" t="s">
        <v>1002</v>
      </c>
      <c r="BE154" s="156" t="s">
        <v>1110</v>
      </c>
      <c r="BF154" s="185" t="s">
        <v>1042</v>
      </c>
      <c r="BG154" s="159" t="s">
        <v>71</v>
      </c>
      <c r="BH154" s="159" t="s">
        <v>46</v>
      </c>
      <c r="BI154" s="159" t="s">
        <v>41</v>
      </c>
      <c r="BJ154" s="156">
        <v>1</v>
      </c>
      <c r="BK154" s="156"/>
      <c r="BL154" s="156"/>
      <c r="BM154" s="162"/>
      <c r="BN154" s="162"/>
      <c r="BO154" s="162"/>
      <c r="BP154" s="162"/>
      <c r="BQ154" s="162"/>
      <c r="BR154" s="162"/>
    </row>
    <row r="155" spans="1:70">
      <c r="A155" s="184" t="str">
        <f t="shared" si="2"/>
        <v>21606151</v>
      </c>
      <c r="B155" s="158" t="s">
        <v>2186</v>
      </c>
      <c r="C155" s="158" t="s">
        <v>3001</v>
      </c>
      <c r="D155" s="159" t="s">
        <v>2184</v>
      </c>
      <c r="E155" s="159"/>
      <c r="F155" s="158" t="s">
        <v>2188</v>
      </c>
      <c r="G155" s="167">
        <v>33108</v>
      </c>
      <c r="H155" s="167"/>
      <c r="I155" s="159" t="s">
        <v>2569</v>
      </c>
      <c r="J155" s="159" t="s">
        <v>2619</v>
      </c>
      <c r="K155" s="159" t="s">
        <v>35</v>
      </c>
      <c r="L155" s="159" t="s">
        <v>2187</v>
      </c>
      <c r="M155" s="158" t="s">
        <v>2622</v>
      </c>
      <c r="N155" s="158" t="s">
        <v>2625</v>
      </c>
      <c r="O155" s="159" t="s">
        <v>2702</v>
      </c>
      <c r="P155" s="159" t="s">
        <v>2808</v>
      </c>
      <c r="Q155" s="159" t="s">
        <v>2843</v>
      </c>
      <c r="R155" s="159" t="s">
        <v>2863</v>
      </c>
      <c r="S155" s="159"/>
      <c r="T155" s="159"/>
      <c r="U155" s="158"/>
      <c r="V155" s="158"/>
      <c r="W155" s="159"/>
      <c r="X155" s="159"/>
      <c r="Y155" s="159"/>
      <c r="Z155" s="159"/>
      <c r="AA155" s="159"/>
      <c r="AB155" s="167">
        <v>42522</v>
      </c>
      <c r="AC155" s="159" t="s">
        <v>45</v>
      </c>
      <c r="AD155" s="158"/>
      <c r="AE155" s="159"/>
      <c r="AF155" s="159"/>
      <c r="AG155" s="159"/>
      <c r="AH155" s="159"/>
      <c r="AI155" s="159"/>
      <c r="AJ155" s="159"/>
      <c r="AK155" s="159" t="s">
        <v>2600</v>
      </c>
      <c r="AL155" s="159"/>
      <c r="AM155" s="159"/>
      <c r="AN155" s="185" t="s">
        <v>786</v>
      </c>
      <c r="AO155" s="166" t="s">
        <v>78</v>
      </c>
      <c r="AP155" s="166"/>
      <c r="AQ155" s="166"/>
      <c r="AR155" s="178" t="s">
        <v>2618</v>
      </c>
      <c r="AS155" s="178" t="s">
        <v>2618</v>
      </c>
      <c r="BD155" s="159"/>
      <c r="BE155" s="159" t="s">
        <v>2185</v>
      </c>
      <c r="BF155" s="159"/>
      <c r="BG155" s="159" t="s">
        <v>45</v>
      </c>
      <c r="BH155" s="159" t="s">
        <v>32</v>
      </c>
      <c r="BI155" s="159" t="s">
        <v>41</v>
      </c>
      <c r="BJ155" s="156">
        <v>3</v>
      </c>
      <c r="BK155" s="156" t="s">
        <v>2249</v>
      </c>
      <c r="BL155" s="156"/>
    </row>
    <row r="156" spans="1:70" s="193" customFormat="1">
      <c r="A156" s="184" t="str">
        <f t="shared" si="2"/>
        <v>41606152</v>
      </c>
      <c r="B156" s="158" t="s">
        <v>1388</v>
      </c>
      <c r="C156" s="158" t="s">
        <v>3002</v>
      </c>
      <c r="D156" s="159" t="s">
        <v>1387</v>
      </c>
      <c r="E156" s="159"/>
      <c r="F156" s="158" t="s">
        <v>1389</v>
      </c>
      <c r="G156" s="167">
        <v>34702</v>
      </c>
      <c r="H156" s="167"/>
      <c r="I156" s="159" t="s">
        <v>2569</v>
      </c>
      <c r="J156" s="159" t="s">
        <v>2619</v>
      </c>
      <c r="K156" s="159" t="s">
        <v>165</v>
      </c>
      <c r="L156" s="159" t="s">
        <v>74</v>
      </c>
      <c r="M156" s="158" t="s">
        <v>2623</v>
      </c>
      <c r="N156" s="158" t="s">
        <v>2625</v>
      </c>
      <c r="O156" s="159" t="s">
        <v>2659</v>
      </c>
      <c r="P156" s="159" t="s">
        <v>2659</v>
      </c>
      <c r="Q156" s="159" t="s">
        <v>2840</v>
      </c>
      <c r="R156" s="159" t="s">
        <v>2863</v>
      </c>
      <c r="S156" s="159"/>
      <c r="T156" s="159"/>
      <c r="U156" s="158"/>
      <c r="V156" s="158"/>
      <c r="W156" s="159"/>
      <c r="X156" s="159"/>
      <c r="Y156" s="159"/>
      <c r="Z156" s="159"/>
      <c r="AA156" s="159"/>
      <c r="AB156" s="167">
        <v>42524</v>
      </c>
      <c r="AC156" s="159" t="s">
        <v>129</v>
      </c>
      <c r="AD156" s="158"/>
      <c r="AE156" s="159"/>
      <c r="AF156" s="159"/>
      <c r="AG156" s="159"/>
      <c r="AH156" s="159"/>
      <c r="AI156" s="159"/>
      <c r="AJ156" s="159"/>
      <c r="AK156" s="159" t="s">
        <v>2600</v>
      </c>
      <c r="AL156" s="159"/>
      <c r="AM156" s="159"/>
      <c r="AN156" s="159" t="s">
        <v>786</v>
      </c>
      <c r="AO156" s="172" t="s">
        <v>115</v>
      </c>
      <c r="AP156" s="172"/>
      <c r="AQ156" s="172"/>
      <c r="AR156" s="178" t="s">
        <v>2618</v>
      </c>
      <c r="AS156" s="178" t="s">
        <v>2618</v>
      </c>
      <c r="AT156" s="178"/>
      <c r="AU156" s="159"/>
      <c r="AV156" s="159"/>
      <c r="AW156" s="159"/>
      <c r="AX156" s="159"/>
      <c r="AY156" s="159"/>
      <c r="AZ156" s="159"/>
      <c r="BA156" s="159"/>
      <c r="BB156" s="159"/>
      <c r="BC156" s="159"/>
      <c r="BD156" s="185" t="s">
        <v>1002</v>
      </c>
      <c r="BE156" s="156" t="s">
        <v>1127</v>
      </c>
      <c r="BF156" s="185" t="s">
        <v>1042</v>
      </c>
      <c r="BG156" s="159" t="s">
        <v>129</v>
      </c>
      <c r="BH156" s="159" t="s">
        <v>46</v>
      </c>
      <c r="BI156" s="159" t="s">
        <v>41</v>
      </c>
      <c r="BJ156" s="156">
        <v>1</v>
      </c>
      <c r="BK156" s="156"/>
      <c r="BL156" s="156"/>
      <c r="BM156" s="190"/>
      <c r="BN156" s="190"/>
      <c r="BO156" s="190"/>
      <c r="BP156" s="190"/>
      <c r="BQ156" s="190"/>
      <c r="BR156" s="190"/>
    </row>
    <row r="157" spans="1:70">
      <c r="A157" s="184" t="str">
        <f t="shared" si="2"/>
        <v>41607153</v>
      </c>
      <c r="B157" s="158" t="s">
        <v>1306</v>
      </c>
      <c r="C157" s="158" t="s">
        <v>3003</v>
      </c>
      <c r="D157" s="159" t="s">
        <v>1305</v>
      </c>
      <c r="E157" s="159"/>
      <c r="F157" s="158" t="s">
        <v>1307</v>
      </c>
      <c r="G157" s="167">
        <v>33936</v>
      </c>
      <c r="H157" s="167"/>
      <c r="I157" s="159" t="s">
        <v>2569</v>
      </c>
      <c r="J157" s="159" t="s">
        <v>2619</v>
      </c>
      <c r="K157" s="159" t="s">
        <v>35</v>
      </c>
      <c r="L157" s="159" t="s">
        <v>445</v>
      </c>
      <c r="M157" s="158" t="s">
        <v>2622</v>
      </c>
      <c r="N157" s="158" t="s">
        <v>2625</v>
      </c>
      <c r="O157" s="159" t="s">
        <v>2659</v>
      </c>
      <c r="P157" s="159" t="s">
        <v>2659</v>
      </c>
      <c r="Q157" s="159" t="s">
        <v>2840</v>
      </c>
      <c r="R157" s="159" t="s">
        <v>2863</v>
      </c>
      <c r="S157" s="159"/>
      <c r="T157" s="159"/>
      <c r="U157" s="158"/>
      <c r="V157" s="158"/>
      <c r="W157" s="159"/>
      <c r="X157" s="159"/>
      <c r="Y157" s="159"/>
      <c r="Z157" s="159"/>
      <c r="AA157" s="159"/>
      <c r="AB157" s="167">
        <v>42563</v>
      </c>
      <c r="AC157" s="159" t="s">
        <v>129</v>
      </c>
      <c r="AD157" s="158"/>
      <c r="AE157" s="159"/>
      <c r="AF157" s="159"/>
      <c r="AG157" s="159"/>
      <c r="AH157" s="159"/>
      <c r="AI157" s="159"/>
      <c r="AJ157" s="159"/>
      <c r="AK157" s="159" t="s">
        <v>2600</v>
      </c>
      <c r="AL157" s="159"/>
      <c r="AM157" s="159"/>
      <c r="AN157" s="159" t="s">
        <v>786</v>
      </c>
      <c r="AO157" s="172" t="s">
        <v>115</v>
      </c>
      <c r="AP157" s="172"/>
      <c r="AQ157" s="172"/>
      <c r="AR157" s="178" t="s">
        <v>2618</v>
      </c>
      <c r="AS157" s="178" t="s">
        <v>2618</v>
      </c>
      <c r="BD157" s="185" t="s">
        <v>1002</v>
      </c>
      <c r="BE157" s="156" t="s">
        <v>1061</v>
      </c>
      <c r="BF157" s="185" t="s">
        <v>1049</v>
      </c>
      <c r="BG157" s="159" t="s">
        <v>129</v>
      </c>
      <c r="BH157" s="159" t="s">
        <v>46</v>
      </c>
      <c r="BI157" s="159" t="s">
        <v>41</v>
      </c>
      <c r="BJ157" s="156">
        <v>1</v>
      </c>
      <c r="BK157" s="156"/>
      <c r="BL157" s="156"/>
      <c r="BM157" s="156"/>
      <c r="BN157" s="156"/>
      <c r="BO157" s="156"/>
      <c r="BP157" s="156"/>
      <c r="BQ157" s="156"/>
      <c r="BR157" s="156"/>
    </row>
    <row r="158" spans="1:70">
      <c r="A158" s="184" t="str">
        <f t="shared" si="2"/>
        <v>31701154</v>
      </c>
      <c r="B158" s="158" t="s">
        <v>1176</v>
      </c>
      <c r="C158" s="158" t="s">
        <v>3004</v>
      </c>
      <c r="D158" s="159" t="s">
        <v>1175</v>
      </c>
      <c r="E158" s="159"/>
      <c r="F158" s="158" t="s">
        <v>1177</v>
      </c>
      <c r="G158" s="167">
        <v>35032</v>
      </c>
      <c r="H158" s="167"/>
      <c r="I158" s="159" t="s">
        <v>2569</v>
      </c>
      <c r="J158" s="159" t="s">
        <v>2619</v>
      </c>
      <c r="K158" s="159" t="s">
        <v>35</v>
      </c>
      <c r="L158" s="159" t="s">
        <v>974</v>
      </c>
      <c r="M158" s="158" t="s">
        <v>2626</v>
      </c>
      <c r="N158" s="158" t="s">
        <v>2626</v>
      </c>
      <c r="O158" s="159" t="s">
        <v>2659</v>
      </c>
      <c r="P158" s="159" t="s">
        <v>2659</v>
      </c>
      <c r="Q158" s="159" t="s">
        <v>2840</v>
      </c>
      <c r="R158" s="159" t="s">
        <v>2863</v>
      </c>
      <c r="S158" s="159"/>
      <c r="T158" s="159"/>
      <c r="U158" s="158"/>
      <c r="V158" s="158"/>
      <c r="W158" s="159"/>
      <c r="X158" s="159"/>
      <c r="Y158" s="159"/>
      <c r="Z158" s="159"/>
      <c r="AA158" s="159"/>
      <c r="AB158" s="167">
        <v>42736</v>
      </c>
      <c r="AC158" s="159" t="s">
        <v>71</v>
      </c>
      <c r="AD158" s="158"/>
      <c r="AE158" s="159"/>
      <c r="AF158" s="159"/>
      <c r="AG158" s="159"/>
      <c r="AH158" s="159"/>
      <c r="AI158" s="159"/>
      <c r="AJ158" s="159"/>
      <c r="AK158" s="159" t="s">
        <v>2600</v>
      </c>
      <c r="AL158" s="159"/>
      <c r="AM158" s="159"/>
      <c r="AN158" s="159" t="s">
        <v>786</v>
      </c>
      <c r="AO158" s="172" t="s">
        <v>937</v>
      </c>
      <c r="AP158" s="172"/>
      <c r="AQ158" s="172"/>
      <c r="AR158" s="178" t="s">
        <v>2618</v>
      </c>
      <c r="AS158" s="178" t="s">
        <v>2618</v>
      </c>
      <c r="BD158" s="185" t="s">
        <v>1002</v>
      </c>
      <c r="BE158" s="156" t="s">
        <v>1033</v>
      </c>
      <c r="BF158" s="185" t="s">
        <v>1049</v>
      </c>
      <c r="BG158" s="159" t="s">
        <v>71</v>
      </c>
      <c r="BH158" s="159" t="s">
        <v>32</v>
      </c>
      <c r="BI158" s="159" t="s">
        <v>41</v>
      </c>
      <c r="BJ158" s="156">
        <v>1</v>
      </c>
      <c r="BK158" s="156"/>
      <c r="BL158" s="156"/>
      <c r="BM158" s="186"/>
      <c r="BN158" s="186"/>
      <c r="BO158" s="186"/>
      <c r="BP158" s="186"/>
      <c r="BQ158" s="186"/>
      <c r="BR158" s="186"/>
    </row>
    <row r="159" spans="1:70" s="194" customFormat="1">
      <c r="A159" s="184" t="str">
        <f t="shared" si="2"/>
        <v>31704155</v>
      </c>
      <c r="B159" s="158" t="s">
        <v>992</v>
      </c>
      <c r="C159" s="158" t="s">
        <v>3005</v>
      </c>
      <c r="D159" s="159" t="s">
        <v>991</v>
      </c>
      <c r="E159" s="159"/>
      <c r="F159" s="158"/>
      <c r="G159" s="167">
        <v>29601</v>
      </c>
      <c r="H159" s="167"/>
      <c r="I159" s="159" t="s">
        <v>2569</v>
      </c>
      <c r="J159" s="159" t="s">
        <v>2619</v>
      </c>
      <c r="K159" s="159" t="s">
        <v>165</v>
      </c>
      <c r="L159" s="159" t="s">
        <v>993</v>
      </c>
      <c r="M159" s="158" t="s">
        <v>2623</v>
      </c>
      <c r="N159" s="158" t="s">
        <v>2621</v>
      </c>
      <c r="O159" s="159" t="s">
        <v>2703</v>
      </c>
      <c r="P159" s="159" t="s">
        <v>2801</v>
      </c>
      <c r="Q159" s="159" t="s">
        <v>2840</v>
      </c>
      <c r="R159" s="159" t="s">
        <v>2863</v>
      </c>
      <c r="S159" s="159"/>
      <c r="T159" s="159"/>
      <c r="U159" s="158"/>
      <c r="V159" s="158"/>
      <c r="W159" s="159"/>
      <c r="X159" s="159"/>
      <c r="Y159" s="159"/>
      <c r="Z159" s="159"/>
      <c r="AA159" s="159"/>
      <c r="AB159" s="167">
        <v>42826</v>
      </c>
      <c r="AC159" s="159" t="s">
        <v>71</v>
      </c>
      <c r="AD159" s="158"/>
      <c r="AE159" s="159"/>
      <c r="AF159" s="159"/>
      <c r="AG159" s="159"/>
      <c r="AH159" s="159"/>
      <c r="AI159" s="159"/>
      <c r="AJ159" s="159"/>
      <c r="AK159" s="159" t="s">
        <v>2600</v>
      </c>
      <c r="AL159" s="159"/>
      <c r="AM159" s="159"/>
      <c r="AN159" s="159" t="s">
        <v>786</v>
      </c>
      <c r="AO159" s="172" t="s">
        <v>78</v>
      </c>
      <c r="AP159" s="172"/>
      <c r="AQ159" s="172"/>
      <c r="AR159" s="178" t="s">
        <v>2618</v>
      </c>
      <c r="AS159" s="178" t="s">
        <v>2618</v>
      </c>
      <c r="AT159" s="178"/>
      <c r="AU159" s="159"/>
      <c r="AV159" s="159"/>
      <c r="AW159" s="159"/>
      <c r="AX159" s="159"/>
      <c r="AY159" s="159"/>
      <c r="AZ159" s="159"/>
      <c r="BA159" s="159"/>
      <c r="BB159" s="159"/>
      <c r="BC159" s="159"/>
      <c r="BD159" s="185" t="s">
        <v>787</v>
      </c>
      <c r="BE159" s="156" t="s">
        <v>987</v>
      </c>
      <c r="BF159" s="185" t="s">
        <v>841</v>
      </c>
      <c r="BG159" s="159" t="s">
        <v>71</v>
      </c>
      <c r="BH159" s="159" t="s">
        <v>46</v>
      </c>
      <c r="BI159" s="159" t="s">
        <v>41</v>
      </c>
      <c r="BJ159" s="156">
        <v>1</v>
      </c>
      <c r="BK159" s="156"/>
      <c r="BL159" s="156"/>
      <c r="BM159" s="162"/>
      <c r="BN159" s="162"/>
      <c r="BO159" s="162"/>
      <c r="BP159" s="162"/>
      <c r="BQ159" s="162"/>
      <c r="BR159" s="162"/>
    </row>
    <row r="160" spans="1:70">
      <c r="A160" s="184" t="str">
        <f t="shared" si="2"/>
        <v>31706156</v>
      </c>
      <c r="B160" s="158" t="s">
        <v>95</v>
      </c>
      <c r="C160" s="158" t="s">
        <v>3006</v>
      </c>
      <c r="D160" s="159" t="s">
        <v>94</v>
      </c>
      <c r="E160" s="159"/>
      <c r="F160" s="158" t="s">
        <v>97</v>
      </c>
      <c r="G160" s="167">
        <v>35298</v>
      </c>
      <c r="H160" s="167"/>
      <c r="I160" s="159" t="s">
        <v>2569</v>
      </c>
      <c r="J160" s="159" t="s">
        <v>2619</v>
      </c>
      <c r="K160" s="159" t="s">
        <v>35</v>
      </c>
      <c r="L160" s="159" t="s">
        <v>96</v>
      </c>
      <c r="M160" s="158" t="s">
        <v>2626</v>
      </c>
      <c r="N160" s="158" t="s">
        <v>2623</v>
      </c>
      <c r="O160" s="159" t="s">
        <v>2704</v>
      </c>
      <c r="P160" s="159" t="s">
        <v>2809</v>
      </c>
      <c r="Q160" s="159" t="s">
        <v>2840</v>
      </c>
      <c r="R160" s="159" t="s">
        <v>2863</v>
      </c>
      <c r="S160" s="159"/>
      <c r="T160" s="159"/>
      <c r="U160" s="158"/>
      <c r="V160" s="158"/>
      <c r="W160" s="159"/>
      <c r="X160" s="159"/>
      <c r="Y160" s="159"/>
      <c r="Z160" s="159"/>
      <c r="AA160" s="159"/>
      <c r="AB160" s="167">
        <v>42887</v>
      </c>
      <c r="AC160" s="159" t="s">
        <v>71</v>
      </c>
      <c r="AD160" s="158"/>
      <c r="AE160" s="159"/>
      <c r="AF160" s="159"/>
      <c r="AG160" s="159"/>
      <c r="AH160" s="159"/>
      <c r="AI160" s="159"/>
      <c r="AJ160" s="159"/>
      <c r="AK160" s="159" t="s">
        <v>2600</v>
      </c>
      <c r="AL160" s="159"/>
      <c r="AM160" s="159"/>
      <c r="AN160" s="159" t="s">
        <v>29</v>
      </c>
      <c r="AO160" s="172" t="s">
        <v>78</v>
      </c>
      <c r="AP160" s="172"/>
      <c r="AQ160" s="172"/>
      <c r="AR160" s="178" t="s">
        <v>2618</v>
      </c>
      <c r="AS160" s="178" t="s">
        <v>2618</v>
      </c>
      <c r="BD160" s="156"/>
      <c r="BF160" s="159"/>
      <c r="BG160" s="159" t="s">
        <v>71</v>
      </c>
      <c r="BH160" s="159" t="s">
        <v>46</v>
      </c>
      <c r="BI160" s="159" t="s">
        <v>41</v>
      </c>
      <c r="BJ160" s="156">
        <v>1</v>
      </c>
      <c r="BK160" s="156"/>
      <c r="BL160" s="156"/>
    </row>
    <row r="161" spans="1:70">
      <c r="A161" s="184" t="str">
        <f t="shared" si="2"/>
        <v>21706157</v>
      </c>
      <c r="B161" s="158" t="s">
        <v>665</v>
      </c>
      <c r="C161" s="158" t="s">
        <v>3007</v>
      </c>
      <c r="D161" s="159" t="s">
        <v>664</v>
      </c>
      <c r="E161" s="159"/>
      <c r="F161" s="158" t="s">
        <v>666</v>
      </c>
      <c r="G161" s="167">
        <v>34516</v>
      </c>
      <c r="H161" s="167"/>
      <c r="I161" s="159" t="s">
        <v>2569</v>
      </c>
      <c r="J161" s="159" t="s">
        <v>2619</v>
      </c>
      <c r="K161" s="159" t="s">
        <v>165</v>
      </c>
      <c r="L161" s="159" t="s">
        <v>141</v>
      </c>
      <c r="M161" s="158" t="s">
        <v>2626</v>
      </c>
      <c r="N161" s="158" t="s">
        <v>2625</v>
      </c>
      <c r="O161" s="159" t="s">
        <v>2659</v>
      </c>
      <c r="P161" s="159" t="s">
        <v>2659</v>
      </c>
      <c r="Q161" s="159" t="s">
        <v>2840</v>
      </c>
      <c r="R161" s="159" t="s">
        <v>2863</v>
      </c>
      <c r="S161" s="159"/>
      <c r="T161" s="159"/>
      <c r="U161" s="158"/>
      <c r="V161" s="158"/>
      <c r="W161" s="159"/>
      <c r="X161" s="159"/>
      <c r="Y161" s="159"/>
      <c r="Z161" s="159"/>
      <c r="AA161" s="159"/>
      <c r="AB161" s="167">
        <v>42887</v>
      </c>
      <c r="AC161" s="159" t="s">
        <v>45</v>
      </c>
      <c r="AD161" s="158"/>
      <c r="AE161" s="159"/>
      <c r="AF161" s="159"/>
      <c r="AG161" s="159"/>
      <c r="AH161" s="159"/>
      <c r="AI161" s="159"/>
      <c r="AJ161" s="159"/>
      <c r="AK161" s="159" t="s">
        <v>2600</v>
      </c>
      <c r="AL161" s="159"/>
      <c r="AM161" s="159"/>
      <c r="AN161" s="159" t="s">
        <v>553</v>
      </c>
      <c r="AO161" s="172" t="s">
        <v>564</v>
      </c>
      <c r="AP161" s="172"/>
      <c r="AQ161" s="172"/>
      <c r="AR161" s="178" t="s">
        <v>2618</v>
      </c>
      <c r="AS161" s="178" t="s">
        <v>2618</v>
      </c>
      <c r="BD161" s="162" t="s">
        <v>595</v>
      </c>
      <c r="BE161" s="156" t="s">
        <v>595</v>
      </c>
      <c r="BF161" s="159"/>
      <c r="BG161" s="159" t="s">
        <v>45</v>
      </c>
      <c r="BH161" s="159" t="s">
        <v>46</v>
      </c>
      <c r="BI161" s="159" t="s">
        <v>41</v>
      </c>
      <c r="BJ161" s="156">
        <v>1</v>
      </c>
      <c r="BK161" s="156"/>
      <c r="BL161" s="156"/>
    </row>
    <row r="162" spans="1:70">
      <c r="A162" s="184" t="str">
        <f t="shared" si="2"/>
        <v>31706158</v>
      </c>
      <c r="B162" s="158" t="s">
        <v>1180</v>
      </c>
      <c r="C162" s="158" t="s">
        <v>3008</v>
      </c>
      <c r="D162" s="159" t="s">
        <v>1179</v>
      </c>
      <c r="E162" s="159"/>
      <c r="F162" s="158" t="s">
        <v>1182</v>
      </c>
      <c r="G162" s="167">
        <v>35779</v>
      </c>
      <c r="H162" s="167"/>
      <c r="I162" s="159" t="s">
        <v>2569</v>
      </c>
      <c r="J162" s="159" t="s">
        <v>2619</v>
      </c>
      <c r="K162" s="159" t="s">
        <v>35</v>
      </c>
      <c r="L162" s="159" t="s">
        <v>1181</v>
      </c>
      <c r="M162" s="158" t="s">
        <v>2622</v>
      </c>
      <c r="N162" s="158" t="s">
        <v>2621</v>
      </c>
      <c r="O162" s="159" t="s">
        <v>2705</v>
      </c>
      <c r="P162" s="159" t="s">
        <v>2798</v>
      </c>
      <c r="Q162" s="159" t="s">
        <v>2842</v>
      </c>
      <c r="R162" s="159" t="s">
        <v>2863</v>
      </c>
      <c r="S162" s="159"/>
      <c r="T162" s="159"/>
      <c r="U162" s="158"/>
      <c r="V162" s="158"/>
      <c r="W162" s="159"/>
      <c r="X162" s="159"/>
      <c r="Y162" s="159"/>
      <c r="Z162" s="159"/>
      <c r="AA162" s="159"/>
      <c r="AB162" s="167">
        <v>42887</v>
      </c>
      <c r="AC162" s="159" t="s">
        <v>71</v>
      </c>
      <c r="AD162" s="158"/>
      <c r="AE162" s="159"/>
      <c r="AF162" s="159"/>
      <c r="AG162" s="159"/>
      <c r="AH162" s="159"/>
      <c r="AI162" s="159"/>
      <c r="AJ162" s="159"/>
      <c r="AK162" s="159" t="s">
        <v>2600</v>
      </c>
      <c r="AL162" s="159"/>
      <c r="AM162" s="159"/>
      <c r="AN162" s="159" t="s">
        <v>786</v>
      </c>
      <c r="AO162" s="172" t="s">
        <v>937</v>
      </c>
      <c r="AP162" s="172"/>
      <c r="AQ162" s="172"/>
      <c r="AR162" s="178" t="s">
        <v>2618</v>
      </c>
      <c r="AS162" s="178" t="s">
        <v>2618</v>
      </c>
      <c r="BD162" s="185" t="s">
        <v>1002</v>
      </c>
      <c r="BE162" s="156" t="s">
        <v>1061</v>
      </c>
      <c r="BF162" s="185" t="s">
        <v>1042</v>
      </c>
      <c r="BG162" s="159" t="s">
        <v>71</v>
      </c>
      <c r="BH162" s="159" t="s">
        <v>46</v>
      </c>
      <c r="BI162" s="159" t="s">
        <v>41</v>
      </c>
      <c r="BJ162" s="156">
        <v>1</v>
      </c>
      <c r="BK162" s="156"/>
      <c r="BL162" s="156" t="s">
        <v>2243</v>
      </c>
    </row>
    <row r="163" spans="1:70">
      <c r="A163" s="184" t="str">
        <f t="shared" si="2"/>
        <v>31706159</v>
      </c>
      <c r="B163" s="158" t="s">
        <v>1239</v>
      </c>
      <c r="C163" s="158" t="s">
        <v>3009</v>
      </c>
      <c r="D163" s="159" t="s">
        <v>1238</v>
      </c>
      <c r="E163" s="159"/>
      <c r="F163" s="158" t="s">
        <v>1241</v>
      </c>
      <c r="G163" s="167">
        <v>35741</v>
      </c>
      <c r="H163" s="167"/>
      <c r="I163" s="159" t="s">
        <v>2569</v>
      </c>
      <c r="J163" s="159" t="s">
        <v>2619</v>
      </c>
      <c r="K163" s="159" t="s">
        <v>35</v>
      </c>
      <c r="L163" s="159" t="s">
        <v>1240</v>
      </c>
      <c r="M163" s="158" t="s">
        <v>2633</v>
      </c>
      <c r="N163" s="158" t="s">
        <v>2629</v>
      </c>
      <c r="O163" s="159" t="s">
        <v>2706</v>
      </c>
      <c r="P163" s="159" t="s">
        <v>2711</v>
      </c>
      <c r="Q163" s="159" t="s">
        <v>2840</v>
      </c>
      <c r="R163" s="159" t="s">
        <v>2863</v>
      </c>
      <c r="S163" s="159"/>
      <c r="T163" s="159"/>
      <c r="U163" s="158"/>
      <c r="V163" s="158"/>
      <c r="W163" s="159"/>
      <c r="X163" s="159"/>
      <c r="Y163" s="159"/>
      <c r="Z163" s="159"/>
      <c r="AA163" s="159"/>
      <c r="AB163" s="167">
        <v>42887</v>
      </c>
      <c r="AC163" s="159" t="s">
        <v>71</v>
      </c>
      <c r="AD163" s="158"/>
      <c r="AE163" s="159"/>
      <c r="AF163" s="159"/>
      <c r="AG163" s="159"/>
      <c r="AH163" s="159"/>
      <c r="AI163" s="159"/>
      <c r="AJ163" s="159"/>
      <c r="AK163" s="159" t="s">
        <v>2600</v>
      </c>
      <c r="AL163" s="159"/>
      <c r="AM163" s="159"/>
      <c r="AN163" s="159" t="s">
        <v>786</v>
      </c>
      <c r="AO163" s="172" t="s">
        <v>937</v>
      </c>
      <c r="AP163" s="172"/>
      <c r="AQ163" s="172"/>
      <c r="AR163" s="178" t="s">
        <v>2618</v>
      </c>
      <c r="AS163" s="178" t="s">
        <v>2618</v>
      </c>
      <c r="BD163" s="185" t="s">
        <v>1002</v>
      </c>
      <c r="BE163" s="156" t="s">
        <v>1075</v>
      </c>
      <c r="BF163" s="185" t="s">
        <v>2333</v>
      </c>
      <c r="BG163" s="159" t="s">
        <v>71</v>
      </c>
      <c r="BH163" s="159" t="s">
        <v>46</v>
      </c>
      <c r="BI163" s="159" t="s">
        <v>41</v>
      </c>
      <c r="BJ163" s="156">
        <v>1</v>
      </c>
      <c r="BK163" s="156"/>
      <c r="BL163" s="156" t="s">
        <v>2244</v>
      </c>
    </row>
    <row r="164" spans="1:70">
      <c r="A164" s="184" t="str">
        <f t="shared" si="2"/>
        <v>41706160</v>
      </c>
      <c r="B164" s="158" t="s">
        <v>1302</v>
      </c>
      <c r="C164" s="158" t="s">
        <v>3010</v>
      </c>
      <c r="D164" s="159" t="s">
        <v>1301</v>
      </c>
      <c r="E164" s="159"/>
      <c r="F164" s="158" t="s">
        <v>1303</v>
      </c>
      <c r="G164" s="167">
        <v>30674</v>
      </c>
      <c r="H164" s="167"/>
      <c r="I164" s="159" t="s">
        <v>2569</v>
      </c>
      <c r="J164" s="159" t="s">
        <v>2619</v>
      </c>
      <c r="K164" s="159" t="s">
        <v>35</v>
      </c>
      <c r="L164" s="159" t="s">
        <v>974</v>
      </c>
      <c r="M164" s="158" t="s">
        <v>2626</v>
      </c>
      <c r="N164" s="158" t="s">
        <v>2626</v>
      </c>
      <c r="O164" s="159" t="s">
        <v>2659</v>
      </c>
      <c r="P164" s="159" t="s">
        <v>2659</v>
      </c>
      <c r="Q164" s="159" t="s">
        <v>2840</v>
      </c>
      <c r="R164" s="159" t="s">
        <v>2863</v>
      </c>
      <c r="S164" s="159"/>
      <c r="T164" s="159"/>
      <c r="U164" s="158"/>
      <c r="V164" s="158"/>
      <c r="W164" s="159"/>
      <c r="X164" s="159"/>
      <c r="Y164" s="159"/>
      <c r="Z164" s="159"/>
      <c r="AA164" s="159"/>
      <c r="AB164" s="167">
        <v>42887</v>
      </c>
      <c r="AC164" s="159" t="s">
        <v>129</v>
      </c>
      <c r="AD164" s="158"/>
      <c r="AE164" s="159"/>
      <c r="AF164" s="159"/>
      <c r="AG164" s="159"/>
      <c r="AH164" s="159"/>
      <c r="AI164" s="159"/>
      <c r="AJ164" s="159"/>
      <c r="AK164" s="159" t="s">
        <v>2600</v>
      </c>
      <c r="AL164" s="159"/>
      <c r="AM164" s="159"/>
      <c r="AN164" s="159" t="s">
        <v>786</v>
      </c>
      <c r="AO164" s="172" t="s">
        <v>115</v>
      </c>
      <c r="AP164" s="172"/>
      <c r="AQ164" s="172"/>
      <c r="AR164" s="178" t="s">
        <v>2618</v>
      </c>
      <c r="AS164" s="178" t="s">
        <v>2618</v>
      </c>
      <c r="BD164" s="185" t="s">
        <v>1002</v>
      </c>
      <c r="BE164" s="156" t="s">
        <v>1061</v>
      </c>
      <c r="BF164" s="185" t="s">
        <v>2333</v>
      </c>
      <c r="BG164" s="159" t="s">
        <v>129</v>
      </c>
      <c r="BH164" s="159" t="s">
        <v>46</v>
      </c>
      <c r="BI164" s="159" t="s">
        <v>41</v>
      </c>
      <c r="BJ164" s="156">
        <v>1</v>
      </c>
      <c r="BK164" s="156"/>
      <c r="BL164" s="156" t="s">
        <v>2245</v>
      </c>
    </row>
    <row r="165" spans="1:70">
      <c r="A165" s="184" t="str">
        <f t="shared" si="2"/>
        <v>41706161</v>
      </c>
      <c r="B165" s="158" t="s">
        <v>1638</v>
      </c>
      <c r="C165" s="158" t="s">
        <v>3011</v>
      </c>
      <c r="D165" s="159" t="s">
        <v>1637</v>
      </c>
      <c r="E165" s="159"/>
      <c r="F165" s="158" t="s">
        <v>1639</v>
      </c>
      <c r="G165" s="167">
        <v>35403</v>
      </c>
      <c r="H165" s="167"/>
      <c r="I165" s="159" t="s">
        <v>2569</v>
      </c>
      <c r="J165" s="159" t="s">
        <v>2619</v>
      </c>
      <c r="K165" s="159" t="s">
        <v>35</v>
      </c>
      <c r="L165" s="159" t="s">
        <v>141</v>
      </c>
      <c r="M165" s="158" t="s">
        <v>2626</v>
      </c>
      <c r="N165" s="158" t="s">
        <v>2625</v>
      </c>
      <c r="O165" s="159" t="s">
        <v>2659</v>
      </c>
      <c r="P165" s="159" t="s">
        <v>2659</v>
      </c>
      <c r="Q165" s="159" t="s">
        <v>2840</v>
      </c>
      <c r="R165" s="159" t="s">
        <v>2863</v>
      </c>
      <c r="S165" s="159"/>
      <c r="T165" s="159"/>
      <c r="U165" s="158"/>
      <c r="V165" s="158"/>
      <c r="W165" s="159"/>
      <c r="X165" s="159"/>
      <c r="Y165" s="159"/>
      <c r="Z165" s="159"/>
      <c r="AA165" s="159"/>
      <c r="AB165" s="167">
        <v>42887</v>
      </c>
      <c r="AC165" s="159" t="s">
        <v>129</v>
      </c>
      <c r="AD165" s="158"/>
      <c r="AE165" s="159"/>
      <c r="AF165" s="159"/>
      <c r="AG165" s="159"/>
      <c r="AH165" s="159"/>
      <c r="AI165" s="159"/>
      <c r="AJ165" s="159"/>
      <c r="AK165" s="159" t="s">
        <v>2600</v>
      </c>
      <c r="AL165" s="159"/>
      <c r="AM165" s="159"/>
      <c r="AN165" s="159" t="s">
        <v>786</v>
      </c>
      <c r="AO165" s="172" t="s">
        <v>115</v>
      </c>
      <c r="AP165" s="172"/>
      <c r="AQ165" s="172"/>
      <c r="AR165" s="178" t="s">
        <v>2618</v>
      </c>
      <c r="AS165" s="178" t="s">
        <v>2618</v>
      </c>
      <c r="BD165" s="185" t="s">
        <v>1442</v>
      </c>
      <c r="BE165" s="156" t="s">
        <v>1920</v>
      </c>
      <c r="BF165" s="159" t="s">
        <v>1508</v>
      </c>
      <c r="BG165" s="159" t="s">
        <v>129</v>
      </c>
      <c r="BH165" s="159" t="s">
        <v>46</v>
      </c>
      <c r="BI165" s="159" t="s">
        <v>41</v>
      </c>
      <c r="BJ165" s="156">
        <v>1</v>
      </c>
      <c r="BK165" s="156"/>
      <c r="BL165" s="156"/>
    </row>
    <row r="166" spans="1:70">
      <c r="A166" s="184" t="str">
        <f t="shared" si="2"/>
        <v>41706162</v>
      </c>
      <c r="B166" s="158" t="s">
        <v>1934</v>
      </c>
      <c r="C166" s="158" t="s">
        <v>3012</v>
      </c>
      <c r="D166" s="159" t="s">
        <v>1933</v>
      </c>
      <c r="E166" s="159"/>
      <c r="F166" s="158" t="s">
        <v>1936</v>
      </c>
      <c r="G166" s="167">
        <v>33665</v>
      </c>
      <c r="H166" s="167"/>
      <c r="I166" s="159" t="s">
        <v>2569</v>
      </c>
      <c r="J166" s="159" t="s">
        <v>2619</v>
      </c>
      <c r="K166" s="159" t="s">
        <v>35</v>
      </c>
      <c r="L166" s="159" t="s">
        <v>1935</v>
      </c>
      <c r="M166" s="158" t="s">
        <v>2629</v>
      </c>
      <c r="N166" s="158" t="s">
        <v>2623</v>
      </c>
      <c r="O166" s="159" t="s">
        <v>2707</v>
      </c>
      <c r="P166" s="159" t="s">
        <v>2801</v>
      </c>
      <c r="Q166" s="159" t="s">
        <v>2842</v>
      </c>
      <c r="R166" s="159" t="s">
        <v>2863</v>
      </c>
      <c r="S166" s="159"/>
      <c r="T166" s="159"/>
      <c r="U166" s="158"/>
      <c r="V166" s="158"/>
      <c r="W166" s="159"/>
      <c r="X166" s="159"/>
      <c r="Y166" s="159"/>
      <c r="Z166" s="159"/>
      <c r="AA166" s="159"/>
      <c r="AB166" s="167">
        <v>42887</v>
      </c>
      <c r="AC166" s="159" t="s">
        <v>129</v>
      </c>
      <c r="AD166" s="158"/>
      <c r="AE166" s="159"/>
      <c r="AF166" s="159"/>
      <c r="AG166" s="159"/>
      <c r="AH166" s="159"/>
      <c r="AI166" s="159"/>
      <c r="AJ166" s="159"/>
      <c r="AK166" s="159" t="s">
        <v>2600</v>
      </c>
      <c r="AL166" s="159"/>
      <c r="AM166" s="159"/>
      <c r="AN166" s="159" t="s">
        <v>786</v>
      </c>
      <c r="AO166" s="172" t="s">
        <v>115</v>
      </c>
      <c r="AP166" s="172"/>
      <c r="AQ166" s="172"/>
      <c r="AR166" s="178" t="s">
        <v>2618</v>
      </c>
      <c r="AS166" s="178" t="s">
        <v>2618</v>
      </c>
      <c r="BD166" s="185" t="s">
        <v>1442</v>
      </c>
      <c r="BE166" s="156" t="s">
        <v>1920</v>
      </c>
      <c r="BF166" s="159" t="s">
        <v>1482</v>
      </c>
      <c r="BG166" s="159" t="s">
        <v>129</v>
      </c>
      <c r="BH166" s="159" t="s">
        <v>46</v>
      </c>
      <c r="BI166" s="159" t="s">
        <v>41</v>
      </c>
      <c r="BJ166" s="156">
        <v>1</v>
      </c>
      <c r="BK166" s="156"/>
      <c r="BL166" s="156"/>
    </row>
    <row r="167" spans="1:70">
      <c r="A167" s="184" t="str">
        <f t="shared" si="2"/>
        <v>21706163</v>
      </c>
      <c r="B167" s="158" t="s">
        <v>2196</v>
      </c>
      <c r="C167" s="158" t="s">
        <v>3013</v>
      </c>
      <c r="D167" s="159" t="s">
        <v>2194</v>
      </c>
      <c r="E167" s="159"/>
      <c r="F167" s="158" t="s">
        <v>2198</v>
      </c>
      <c r="G167" s="167">
        <v>36333</v>
      </c>
      <c r="H167" s="167"/>
      <c r="I167" s="159" t="s">
        <v>2569</v>
      </c>
      <c r="J167" s="159" t="s">
        <v>2619</v>
      </c>
      <c r="K167" s="159" t="s">
        <v>35</v>
      </c>
      <c r="L167" s="159" t="s">
        <v>2197</v>
      </c>
      <c r="M167" s="158" t="s">
        <v>2623</v>
      </c>
      <c r="N167" s="158" t="s">
        <v>2627</v>
      </c>
      <c r="O167" s="159" t="s">
        <v>2708</v>
      </c>
      <c r="P167" s="159" t="s">
        <v>2806</v>
      </c>
      <c r="Q167" s="159" t="s">
        <v>2840</v>
      </c>
      <c r="R167" s="159" t="s">
        <v>2863</v>
      </c>
      <c r="S167" s="159"/>
      <c r="T167" s="159"/>
      <c r="U167" s="158"/>
      <c r="V167" s="158"/>
      <c r="W167" s="159"/>
      <c r="X167" s="159"/>
      <c r="Y167" s="159"/>
      <c r="Z167" s="159"/>
      <c r="AA167" s="159"/>
      <c r="AB167" s="167">
        <v>42887</v>
      </c>
      <c r="AC167" s="159" t="s">
        <v>45</v>
      </c>
      <c r="AD167" s="158"/>
      <c r="AE167" s="159"/>
      <c r="AF167" s="159"/>
      <c r="AG167" s="159"/>
      <c r="AH167" s="159"/>
      <c r="AI167" s="159"/>
      <c r="AJ167" s="159"/>
      <c r="AK167" s="159" t="s">
        <v>2600</v>
      </c>
      <c r="AL167" s="159"/>
      <c r="AM167" s="159"/>
      <c r="AN167" s="185" t="s">
        <v>2065</v>
      </c>
      <c r="AO167" s="166" t="s">
        <v>78</v>
      </c>
      <c r="AP167" s="166"/>
      <c r="AQ167" s="166"/>
      <c r="AR167" s="178" t="s">
        <v>2618</v>
      </c>
      <c r="AS167" s="178" t="s">
        <v>2618</v>
      </c>
      <c r="BD167" s="159"/>
      <c r="BE167" s="159" t="s">
        <v>2195</v>
      </c>
      <c r="BF167" s="159"/>
      <c r="BG167" s="159" t="s">
        <v>45</v>
      </c>
      <c r="BH167" s="159" t="s">
        <v>46</v>
      </c>
      <c r="BI167" s="159" t="s">
        <v>41</v>
      </c>
      <c r="BJ167" s="156">
        <v>3</v>
      </c>
      <c r="BK167" s="156"/>
      <c r="BL167" s="156"/>
      <c r="BM167" s="155"/>
      <c r="BN167" s="155"/>
      <c r="BO167" s="155"/>
      <c r="BP167" s="155"/>
      <c r="BQ167" s="155"/>
      <c r="BR167" s="155"/>
    </row>
    <row r="168" spans="1:70">
      <c r="A168" s="184" t="str">
        <f t="shared" si="2"/>
        <v>41709164</v>
      </c>
      <c r="B168" s="158" t="s">
        <v>1708</v>
      </c>
      <c r="C168" s="158" t="s">
        <v>3014</v>
      </c>
      <c r="D168" s="159" t="s">
        <v>1707</v>
      </c>
      <c r="E168" s="159"/>
      <c r="F168" s="158" t="s">
        <v>1710</v>
      </c>
      <c r="G168" s="167">
        <v>36329</v>
      </c>
      <c r="H168" s="167"/>
      <c r="I168" s="159" t="s">
        <v>2569</v>
      </c>
      <c r="J168" s="159" t="s">
        <v>2619</v>
      </c>
      <c r="K168" s="159" t="s">
        <v>35</v>
      </c>
      <c r="L168" s="159" t="s">
        <v>1709</v>
      </c>
      <c r="M168" s="158" t="s">
        <v>2623</v>
      </c>
      <c r="N168" s="158" t="s">
        <v>2630</v>
      </c>
      <c r="O168" s="159" t="s">
        <v>2699</v>
      </c>
      <c r="P168" s="159" t="s">
        <v>2659</v>
      </c>
      <c r="Q168" s="159" t="s">
        <v>2840</v>
      </c>
      <c r="R168" s="159" t="s">
        <v>2863</v>
      </c>
      <c r="S168" s="159"/>
      <c r="T168" s="159"/>
      <c r="U168" s="158"/>
      <c r="V168" s="158"/>
      <c r="W168" s="159"/>
      <c r="X168" s="159"/>
      <c r="Y168" s="159"/>
      <c r="Z168" s="159"/>
      <c r="AA168" s="159"/>
      <c r="AB168" s="167">
        <v>42995</v>
      </c>
      <c r="AC168" s="159" t="s">
        <v>129</v>
      </c>
      <c r="AD168" s="158"/>
      <c r="AE168" s="159"/>
      <c r="AF168" s="159"/>
      <c r="AG168" s="159"/>
      <c r="AH168" s="159"/>
      <c r="AI168" s="159"/>
      <c r="AJ168" s="159"/>
      <c r="AK168" s="159" t="s">
        <v>2600</v>
      </c>
      <c r="AL168" s="159"/>
      <c r="AM168" s="159"/>
      <c r="AN168" s="159" t="s">
        <v>786</v>
      </c>
      <c r="AO168" s="172" t="s">
        <v>115</v>
      </c>
      <c r="AP168" s="172"/>
      <c r="AQ168" s="172"/>
      <c r="AR168" s="178" t="s">
        <v>2618</v>
      </c>
      <c r="AS168" s="178" t="s">
        <v>2618</v>
      </c>
      <c r="BD168" s="185" t="s">
        <v>1442</v>
      </c>
      <c r="BE168" s="156" t="s">
        <v>1481</v>
      </c>
      <c r="BF168" s="159" t="s">
        <v>1508</v>
      </c>
      <c r="BG168" s="159" t="s">
        <v>129</v>
      </c>
      <c r="BH168" s="159" t="s">
        <v>46</v>
      </c>
      <c r="BI168" s="159" t="s">
        <v>41</v>
      </c>
      <c r="BJ168" s="156">
        <v>1</v>
      </c>
      <c r="BK168" s="156"/>
      <c r="BL168" s="156"/>
    </row>
    <row r="169" spans="1:70">
      <c r="A169" s="184" t="str">
        <f t="shared" si="2"/>
        <v>21801165</v>
      </c>
      <c r="B169" s="158" t="s">
        <v>306</v>
      </c>
      <c r="C169" s="158" t="s">
        <v>3015</v>
      </c>
      <c r="D169" s="159" t="s">
        <v>305</v>
      </c>
      <c r="E169" s="159"/>
      <c r="F169" s="158" t="s">
        <v>308</v>
      </c>
      <c r="G169" s="167">
        <v>33389</v>
      </c>
      <c r="H169" s="167"/>
      <c r="I169" s="159" t="s">
        <v>2570</v>
      </c>
      <c r="J169" s="159" t="s">
        <v>2619</v>
      </c>
      <c r="K169" s="159" t="s">
        <v>35</v>
      </c>
      <c r="L169" s="159" t="s">
        <v>307</v>
      </c>
      <c r="M169" s="158" t="s">
        <v>2631</v>
      </c>
      <c r="N169" s="158" t="s">
        <v>2622</v>
      </c>
      <c r="O169" s="159" t="s">
        <v>2709</v>
      </c>
      <c r="P169" s="159" t="s">
        <v>2710</v>
      </c>
      <c r="Q169" s="159" t="s">
        <v>2842</v>
      </c>
      <c r="R169" s="159" t="s">
        <v>2863</v>
      </c>
      <c r="S169" s="159"/>
      <c r="T169" s="159"/>
      <c r="U169" s="158"/>
      <c r="V169" s="158"/>
      <c r="W169" s="159"/>
      <c r="X169" s="159"/>
      <c r="Y169" s="159"/>
      <c r="Z169" s="159"/>
      <c r="AA169" s="159"/>
      <c r="AB169" s="167">
        <v>43101</v>
      </c>
      <c r="AC169" s="159" t="s">
        <v>45</v>
      </c>
      <c r="AD169" s="158"/>
      <c r="AE169" s="159"/>
      <c r="AF169" s="159"/>
      <c r="AG169" s="159"/>
      <c r="AH169" s="159"/>
      <c r="AI169" s="159"/>
      <c r="AJ169" s="159"/>
      <c r="AK169" s="159" t="s">
        <v>2600</v>
      </c>
      <c r="AL169" s="159"/>
      <c r="AM169" s="159"/>
      <c r="AN169" s="185" t="s">
        <v>298</v>
      </c>
      <c r="AO169" s="172" t="s">
        <v>63</v>
      </c>
      <c r="AP169" s="172"/>
      <c r="AQ169" s="172"/>
      <c r="AR169" s="178" t="s">
        <v>2618</v>
      </c>
      <c r="AS169" s="178" t="s">
        <v>2618</v>
      </c>
      <c r="BD169" s="159"/>
      <c r="BF169" s="159"/>
      <c r="BG169" s="159" t="s">
        <v>45</v>
      </c>
      <c r="BH169" s="159" t="s">
        <v>72</v>
      </c>
      <c r="BI169" s="159" t="s">
        <v>41</v>
      </c>
      <c r="BJ169" s="156">
        <v>3</v>
      </c>
      <c r="BK169" s="156"/>
      <c r="BL169" s="156"/>
      <c r="BM169" s="186"/>
      <c r="BN169" s="186"/>
      <c r="BO169" s="186"/>
      <c r="BP169" s="186"/>
      <c r="BQ169" s="186"/>
      <c r="BR169" s="186"/>
    </row>
    <row r="170" spans="1:70">
      <c r="A170" s="184" t="str">
        <f t="shared" si="2"/>
        <v>21805166</v>
      </c>
      <c r="B170" s="158" t="s">
        <v>2080</v>
      </c>
      <c r="C170" s="158" t="s">
        <v>3016</v>
      </c>
      <c r="D170" s="159" t="s">
        <v>2079</v>
      </c>
      <c r="E170" s="159"/>
      <c r="F170" s="158" t="s">
        <v>2082</v>
      </c>
      <c r="G170" s="167">
        <v>33463</v>
      </c>
      <c r="H170" s="167"/>
      <c r="I170" s="159" t="s">
        <v>2570</v>
      </c>
      <c r="J170" s="159" t="s">
        <v>2619</v>
      </c>
      <c r="K170" s="159" t="s">
        <v>35</v>
      </c>
      <c r="L170" s="159" t="s">
        <v>2081</v>
      </c>
      <c r="M170" s="158" t="s">
        <v>2642</v>
      </c>
      <c r="N170" s="158" t="s">
        <v>2623</v>
      </c>
      <c r="O170" s="159" t="s">
        <v>2710</v>
      </c>
      <c r="P170" s="159" t="s">
        <v>2710</v>
      </c>
      <c r="Q170" s="159" t="s">
        <v>2842</v>
      </c>
      <c r="R170" s="159" t="s">
        <v>2863</v>
      </c>
      <c r="S170" s="159"/>
      <c r="T170" s="159"/>
      <c r="U170" s="158"/>
      <c r="V170" s="158"/>
      <c r="W170" s="159"/>
      <c r="X170" s="159"/>
      <c r="Y170" s="159"/>
      <c r="Z170" s="159"/>
      <c r="AA170" s="159"/>
      <c r="AB170" s="167">
        <v>43221</v>
      </c>
      <c r="AC170" s="159" t="s">
        <v>45</v>
      </c>
      <c r="AD170" s="158"/>
      <c r="AE170" s="159"/>
      <c r="AF170" s="159"/>
      <c r="AG170" s="159"/>
      <c r="AH170" s="159"/>
      <c r="AI170" s="159"/>
      <c r="AJ170" s="159"/>
      <c r="AK170" s="159" t="s">
        <v>2600</v>
      </c>
      <c r="AL170" s="159"/>
      <c r="AM170" s="159"/>
      <c r="AN170" s="185" t="s">
        <v>2065</v>
      </c>
      <c r="AO170" s="162" t="s">
        <v>63</v>
      </c>
      <c r="AR170" s="178" t="s">
        <v>2618</v>
      </c>
      <c r="AS170" s="178" t="s">
        <v>2618</v>
      </c>
      <c r="BD170" s="185"/>
      <c r="BE170" s="185" t="s">
        <v>2473</v>
      </c>
      <c r="BF170" s="159"/>
      <c r="BG170" s="159" t="s">
        <v>45</v>
      </c>
      <c r="BH170" s="159" t="s">
        <v>72</v>
      </c>
      <c r="BI170" s="159" t="s">
        <v>41</v>
      </c>
      <c r="BJ170" s="156">
        <v>3</v>
      </c>
      <c r="BK170" s="156"/>
      <c r="BL170" s="156"/>
    </row>
    <row r="171" spans="1:70">
      <c r="A171" s="184" t="str">
        <f t="shared" si="2"/>
        <v>31806167</v>
      </c>
      <c r="B171" s="158" t="s">
        <v>99</v>
      </c>
      <c r="C171" s="158" t="s">
        <v>3017</v>
      </c>
      <c r="D171" s="159" t="s">
        <v>98</v>
      </c>
      <c r="E171" s="159"/>
      <c r="F171" s="158" t="s">
        <v>101</v>
      </c>
      <c r="G171" s="167">
        <v>35104</v>
      </c>
      <c r="H171" s="167"/>
      <c r="I171" s="159" t="s">
        <v>2569</v>
      </c>
      <c r="J171" s="159" t="s">
        <v>2619</v>
      </c>
      <c r="K171" s="159" t="s">
        <v>35</v>
      </c>
      <c r="L171" s="158" t="s">
        <v>100</v>
      </c>
      <c r="M171" s="158" t="s">
        <v>2627</v>
      </c>
      <c r="N171" s="158" t="s">
        <v>2622</v>
      </c>
      <c r="O171" s="159" t="s">
        <v>2659</v>
      </c>
      <c r="P171" s="159" t="s">
        <v>2659</v>
      </c>
      <c r="Q171" s="159" t="s">
        <v>2840</v>
      </c>
      <c r="R171" s="159" t="s">
        <v>2863</v>
      </c>
      <c r="S171" s="159"/>
      <c r="T171" s="159"/>
      <c r="U171" s="158"/>
      <c r="V171" s="158"/>
      <c r="W171" s="159"/>
      <c r="X171" s="159"/>
      <c r="Y171" s="159"/>
      <c r="Z171" s="159"/>
      <c r="AA171" s="159"/>
      <c r="AB171" s="167">
        <v>43252</v>
      </c>
      <c r="AC171" s="159" t="s">
        <v>71</v>
      </c>
      <c r="AD171" s="158"/>
      <c r="AE171" s="159"/>
      <c r="AF171" s="159"/>
      <c r="AG171" s="159"/>
      <c r="AH171" s="159"/>
      <c r="AI171" s="159"/>
      <c r="AJ171" s="159"/>
      <c r="AK171" s="159" t="s">
        <v>2600</v>
      </c>
      <c r="AL171" s="159"/>
      <c r="AM171" s="159"/>
      <c r="AN171" s="159" t="s">
        <v>29</v>
      </c>
      <c r="AO171" s="172" t="s">
        <v>78</v>
      </c>
      <c r="AP171" s="172"/>
      <c r="AQ171" s="172"/>
      <c r="AR171" s="178" t="s">
        <v>2618</v>
      </c>
      <c r="AS171" s="178" t="s">
        <v>2618</v>
      </c>
      <c r="BD171" s="156"/>
      <c r="BF171" s="159"/>
      <c r="BG171" s="159" t="s">
        <v>71</v>
      </c>
      <c r="BH171" s="159" t="s">
        <v>46</v>
      </c>
      <c r="BI171" s="159" t="s">
        <v>41</v>
      </c>
      <c r="BJ171" s="156">
        <v>1</v>
      </c>
      <c r="BK171" s="156"/>
      <c r="BL171" s="156"/>
    </row>
    <row r="172" spans="1:70">
      <c r="A172" s="184" t="str">
        <f t="shared" si="2"/>
        <v>41806168</v>
      </c>
      <c r="B172" s="158" t="s">
        <v>135</v>
      </c>
      <c r="C172" s="158" t="s">
        <v>3018</v>
      </c>
      <c r="D172" s="159" t="s">
        <v>134</v>
      </c>
      <c r="E172" s="159"/>
      <c r="F172" s="158" t="s">
        <v>137</v>
      </c>
      <c r="G172" s="167">
        <v>33415</v>
      </c>
      <c r="H172" s="167"/>
      <c r="I172" s="159" t="s">
        <v>2569</v>
      </c>
      <c r="J172" s="159" t="s">
        <v>2619</v>
      </c>
      <c r="K172" s="159" t="s">
        <v>35</v>
      </c>
      <c r="L172" s="159" t="s">
        <v>136</v>
      </c>
      <c r="M172" s="158" t="s">
        <v>2626</v>
      </c>
      <c r="N172" s="158" t="s">
        <v>2639</v>
      </c>
      <c r="O172" s="159" t="s">
        <v>2699</v>
      </c>
      <c r="P172" s="159" t="s">
        <v>2659</v>
      </c>
      <c r="Q172" s="159" t="s">
        <v>2840</v>
      </c>
      <c r="R172" s="159" t="s">
        <v>2863</v>
      </c>
      <c r="S172" s="159"/>
      <c r="T172" s="159"/>
      <c r="U172" s="158"/>
      <c r="V172" s="158"/>
      <c r="W172" s="159"/>
      <c r="X172" s="159"/>
      <c r="Y172" s="159"/>
      <c r="Z172" s="159"/>
      <c r="AA172" s="159"/>
      <c r="AB172" s="167">
        <v>43252</v>
      </c>
      <c r="AC172" s="159" t="s">
        <v>129</v>
      </c>
      <c r="AD172" s="158"/>
      <c r="AE172" s="159"/>
      <c r="AF172" s="159"/>
      <c r="AG172" s="159"/>
      <c r="AH172" s="159"/>
      <c r="AI172" s="159"/>
      <c r="AJ172" s="159"/>
      <c r="AK172" s="159" t="s">
        <v>2600</v>
      </c>
      <c r="AL172" s="159"/>
      <c r="AM172" s="159"/>
      <c r="AN172" s="159" t="s">
        <v>29</v>
      </c>
      <c r="AO172" s="172" t="s">
        <v>115</v>
      </c>
      <c r="AP172" s="172"/>
      <c r="AQ172" s="172"/>
      <c r="AR172" s="178" t="s">
        <v>2618</v>
      </c>
      <c r="AS172" s="178" t="s">
        <v>2618</v>
      </c>
      <c r="BD172" s="156"/>
      <c r="BE172" s="185" t="s">
        <v>128</v>
      </c>
      <c r="BF172" s="159"/>
      <c r="BG172" s="159" t="s">
        <v>129</v>
      </c>
      <c r="BH172" s="159" t="s">
        <v>46</v>
      </c>
      <c r="BI172" s="159" t="s">
        <v>41</v>
      </c>
      <c r="BJ172" s="156">
        <v>1</v>
      </c>
      <c r="BK172" s="156"/>
      <c r="BL172" s="156"/>
    </row>
    <row r="173" spans="1:70">
      <c r="A173" s="184" t="str">
        <f t="shared" si="2"/>
        <v>21806169</v>
      </c>
      <c r="B173" s="158" t="s">
        <v>224</v>
      </c>
      <c r="C173" s="158" t="s">
        <v>3019</v>
      </c>
      <c r="D173" s="159" t="s">
        <v>223</v>
      </c>
      <c r="E173" s="159"/>
      <c r="F173" s="158" t="s">
        <v>226</v>
      </c>
      <c r="G173" s="167">
        <v>34872</v>
      </c>
      <c r="H173" s="167"/>
      <c r="I173" s="159" t="s">
        <v>2570</v>
      </c>
      <c r="J173" s="159" t="s">
        <v>2619</v>
      </c>
      <c r="K173" s="159" t="s">
        <v>35</v>
      </c>
      <c r="L173" s="159" t="s">
        <v>225</v>
      </c>
      <c r="M173" s="158"/>
      <c r="N173" s="158"/>
      <c r="O173" s="159" t="s">
        <v>2711</v>
      </c>
      <c r="P173" s="159" t="s">
        <v>2711</v>
      </c>
      <c r="Q173" s="159" t="s">
        <v>2840</v>
      </c>
      <c r="R173" s="159" t="s">
        <v>2863</v>
      </c>
      <c r="S173" s="159"/>
      <c r="T173" s="159"/>
      <c r="U173" s="158"/>
      <c r="V173" s="158"/>
      <c r="W173" s="159"/>
      <c r="X173" s="159"/>
      <c r="Y173" s="159"/>
      <c r="Z173" s="159"/>
      <c r="AA173" s="159"/>
      <c r="AB173" s="167">
        <v>43252</v>
      </c>
      <c r="AC173" s="159" t="s">
        <v>45</v>
      </c>
      <c r="AD173" s="158"/>
      <c r="AE173" s="159"/>
      <c r="AF173" s="159"/>
      <c r="AG173" s="159"/>
      <c r="AH173" s="159"/>
      <c r="AI173" s="159"/>
      <c r="AJ173" s="159"/>
      <c r="AK173" s="159" t="s">
        <v>2600</v>
      </c>
      <c r="AL173" s="159"/>
      <c r="AM173" s="159"/>
      <c r="AN173" s="185" t="s">
        <v>216</v>
      </c>
      <c r="AO173" s="172" t="s">
        <v>63</v>
      </c>
      <c r="AP173" s="172"/>
      <c r="AQ173" s="172"/>
      <c r="AR173" s="178" t="s">
        <v>2618</v>
      </c>
      <c r="AS173" s="178" t="s">
        <v>2618</v>
      </c>
      <c r="BD173" s="159"/>
      <c r="BF173" s="159"/>
      <c r="BG173" s="159" t="s">
        <v>45</v>
      </c>
      <c r="BH173" s="159" t="s">
        <v>72</v>
      </c>
      <c r="BI173" s="159" t="s">
        <v>41</v>
      </c>
      <c r="BJ173" s="156">
        <v>3</v>
      </c>
      <c r="BK173" s="156" t="s">
        <v>2234</v>
      </c>
      <c r="BL173" s="156"/>
    </row>
    <row r="174" spans="1:70">
      <c r="A174" s="184" t="str">
        <f t="shared" si="2"/>
        <v>21806170</v>
      </c>
      <c r="B174" s="158" t="s">
        <v>931</v>
      </c>
      <c r="C174" s="158" t="s">
        <v>3020</v>
      </c>
      <c r="D174" s="159" t="s">
        <v>930</v>
      </c>
      <c r="E174" s="159"/>
      <c r="F174" s="189" t="s">
        <v>933</v>
      </c>
      <c r="G174" s="167">
        <v>32728</v>
      </c>
      <c r="H174" s="167"/>
      <c r="I174" s="159" t="s">
        <v>2569</v>
      </c>
      <c r="J174" s="159" t="s">
        <v>2619</v>
      </c>
      <c r="K174" s="159" t="s">
        <v>35</v>
      </c>
      <c r="L174" s="159" t="s">
        <v>932</v>
      </c>
      <c r="M174" s="158" t="s">
        <v>2623</v>
      </c>
      <c r="N174" s="158" t="s">
        <v>2622</v>
      </c>
      <c r="O174" s="159" t="s">
        <v>2659</v>
      </c>
      <c r="P174" s="159" t="s">
        <v>2659</v>
      </c>
      <c r="Q174" s="159" t="s">
        <v>2840</v>
      </c>
      <c r="R174" s="159" t="s">
        <v>2863</v>
      </c>
      <c r="S174" s="159"/>
      <c r="T174" s="159"/>
      <c r="U174" s="158"/>
      <c r="V174" s="158"/>
      <c r="W174" s="159"/>
      <c r="X174" s="159"/>
      <c r="Y174" s="159"/>
      <c r="Z174" s="159"/>
      <c r="AA174" s="159"/>
      <c r="AB174" s="167">
        <v>43252</v>
      </c>
      <c r="AC174" s="159" t="s">
        <v>45</v>
      </c>
      <c r="AD174" s="158"/>
      <c r="AE174" s="159"/>
      <c r="AF174" s="159"/>
      <c r="AG174" s="159"/>
      <c r="AH174" s="159"/>
      <c r="AI174" s="159"/>
      <c r="AJ174" s="159"/>
      <c r="AK174" s="159" t="s">
        <v>2600</v>
      </c>
      <c r="AL174" s="159"/>
      <c r="AM174" s="159"/>
      <c r="AN174" s="159" t="s">
        <v>786</v>
      </c>
      <c r="AO174" s="172" t="s">
        <v>78</v>
      </c>
      <c r="AP174" s="172"/>
      <c r="AQ174" s="172"/>
      <c r="AR174" s="178" t="s">
        <v>2618</v>
      </c>
      <c r="AS174" s="178" t="s">
        <v>2618</v>
      </c>
      <c r="BD174" s="185" t="s">
        <v>787</v>
      </c>
      <c r="BE174" s="156" t="s">
        <v>918</v>
      </c>
      <c r="BF174" s="159" t="s">
        <v>833</v>
      </c>
      <c r="BG174" s="159" t="s">
        <v>45</v>
      </c>
      <c r="BH174" s="159" t="s">
        <v>46</v>
      </c>
      <c r="BI174" s="159" t="s">
        <v>41</v>
      </c>
      <c r="BJ174" s="156">
        <v>1</v>
      </c>
      <c r="BK174" s="156"/>
      <c r="BL174" s="156"/>
    </row>
    <row r="175" spans="1:70">
      <c r="A175" s="184" t="str">
        <f t="shared" si="2"/>
        <v>21806171</v>
      </c>
      <c r="B175" s="158" t="s">
        <v>938</v>
      </c>
      <c r="C175" s="158" t="s">
        <v>3021</v>
      </c>
      <c r="D175" s="159" t="s">
        <v>936</v>
      </c>
      <c r="E175" s="159"/>
      <c r="F175" s="158" t="s">
        <v>939</v>
      </c>
      <c r="G175" s="167">
        <v>35527</v>
      </c>
      <c r="H175" s="167"/>
      <c r="I175" s="159" t="s">
        <v>2569</v>
      </c>
      <c r="J175" s="159" t="s">
        <v>2619</v>
      </c>
      <c r="K175" s="159" t="s">
        <v>35</v>
      </c>
      <c r="L175" s="159" t="s">
        <v>74</v>
      </c>
      <c r="M175" s="158" t="s">
        <v>2623</v>
      </c>
      <c r="N175" s="158" t="s">
        <v>2625</v>
      </c>
      <c r="O175" s="159" t="s">
        <v>2659</v>
      </c>
      <c r="P175" s="159" t="s">
        <v>2659</v>
      </c>
      <c r="Q175" s="159" t="s">
        <v>2840</v>
      </c>
      <c r="R175" s="159" t="s">
        <v>2863</v>
      </c>
      <c r="S175" s="159"/>
      <c r="T175" s="159"/>
      <c r="U175" s="158"/>
      <c r="V175" s="158"/>
      <c r="W175" s="159"/>
      <c r="X175" s="159"/>
      <c r="Y175" s="159"/>
      <c r="Z175" s="159"/>
      <c r="AA175" s="159"/>
      <c r="AB175" s="167">
        <v>43252</v>
      </c>
      <c r="AC175" s="159" t="s">
        <v>45</v>
      </c>
      <c r="AD175" s="158"/>
      <c r="AE175" s="159"/>
      <c r="AF175" s="159"/>
      <c r="AG175" s="159"/>
      <c r="AH175" s="159"/>
      <c r="AI175" s="159"/>
      <c r="AJ175" s="159"/>
      <c r="AK175" s="159" t="s">
        <v>2600</v>
      </c>
      <c r="AL175" s="159"/>
      <c r="AM175" s="159"/>
      <c r="AN175" s="159" t="s">
        <v>786</v>
      </c>
      <c r="AO175" s="172" t="s">
        <v>937</v>
      </c>
      <c r="AP175" s="172"/>
      <c r="AQ175" s="172"/>
      <c r="AR175" s="178" t="s">
        <v>2618</v>
      </c>
      <c r="AS175" s="178" t="s">
        <v>2618</v>
      </c>
      <c r="BD175" s="185" t="s">
        <v>787</v>
      </c>
      <c r="BE175" s="156" t="s">
        <v>862</v>
      </c>
      <c r="BF175" s="159" t="s">
        <v>855</v>
      </c>
      <c r="BG175" s="159" t="s">
        <v>45</v>
      </c>
      <c r="BH175" s="159" t="s">
        <v>46</v>
      </c>
      <c r="BI175" s="159" t="s">
        <v>41</v>
      </c>
      <c r="BJ175" s="156">
        <v>1</v>
      </c>
      <c r="BK175" s="156"/>
      <c r="BL175" s="156"/>
    </row>
    <row r="176" spans="1:70">
      <c r="A176" s="184" t="str">
        <f t="shared" si="2"/>
        <v>31806172</v>
      </c>
      <c r="B176" s="158" t="s">
        <v>942</v>
      </c>
      <c r="C176" s="158" t="s">
        <v>3022</v>
      </c>
      <c r="D176" s="159" t="s">
        <v>941</v>
      </c>
      <c r="E176" s="159"/>
      <c r="F176" s="158" t="s">
        <v>944</v>
      </c>
      <c r="G176" s="167">
        <v>36434</v>
      </c>
      <c r="H176" s="167"/>
      <c r="I176" s="159" t="s">
        <v>2569</v>
      </c>
      <c r="J176" s="159" t="s">
        <v>2619</v>
      </c>
      <c r="K176" s="159" t="s">
        <v>165</v>
      </c>
      <c r="L176" s="159" t="s">
        <v>943</v>
      </c>
      <c r="M176" s="158" t="s">
        <v>2626</v>
      </c>
      <c r="N176" s="158" t="s">
        <v>2621</v>
      </c>
      <c r="O176" s="159" t="s">
        <v>2712</v>
      </c>
      <c r="P176" s="159" t="s">
        <v>2662</v>
      </c>
      <c r="Q176" s="159" t="s">
        <v>2840</v>
      </c>
      <c r="R176" s="159" t="s">
        <v>2863</v>
      </c>
      <c r="S176" s="159"/>
      <c r="T176" s="159"/>
      <c r="U176" s="158"/>
      <c r="V176" s="158"/>
      <c r="W176" s="159"/>
      <c r="X176" s="159"/>
      <c r="Y176" s="159"/>
      <c r="Z176" s="159"/>
      <c r="AA176" s="159"/>
      <c r="AB176" s="167">
        <v>43252</v>
      </c>
      <c r="AC176" s="159" t="s">
        <v>71</v>
      </c>
      <c r="AD176" s="158"/>
      <c r="AE176" s="159"/>
      <c r="AF176" s="159"/>
      <c r="AG176" s="159"/>
      <c r="AH176" s="159"/>
      <c r="AI176" s="159"/>
      <c r="AJ176" s="159"/>
      <c r="AK176" s="159" t="s">
        <v>2600</v>
      </c>
      <c r="AL176" s="159"/>
      <c r="AM176" s="159"/>
      <c r="AN176" s="159" t="s">
        <v>786</v>
      </c>
      <c r="AO176" s="172" t="s">
        <v>937</v>
      </c>
      <c r="AP176" s="172"/>
      <c r="AQ176" s="172"/>
      <c r="AR176" s="178" t="s">
        <v>2618</v>
      </c>
      <c r="AS176" s="178" t="s">
        <v>2618</v>
      </c>
      <c r="BD176" s="185" t="s">
        <v>787</v>
      </c>
      <c r="BE176" s="156" t="s">
        <v>832</v>
      </c>
      <c r="BF176" s="159" t="s">
        <v>841</v>
      </c>
      <c r="BG176" s="159" t="s">
        <v>71</v>
      </c>
      <c r="BH176" s="159" t="s">
        <v>46</v>
      </c>
      <c r="BI176" s="159" t="s">
        <v>41</v>
      </c>
      <c r="BJ176" s="156">
        <v>1</v>
      </c>
      <c r="BK176" s="156"/>
      <c r="BL176" s="156"/>
    </row>
    <row r="177" spans="1:70">
      <c r="A177" s="184" t="str">
        <f t="shared" si="2"/>
        <v>31806173</v>
      </c>
      <c r="B177" s="158" t="s">
        <v>956</v>
      </c>
      <c r="C177" s="158" t="s">
        <v>3023</v>
      </c>
      <c r="D177" s="159" t="s">
        <v>955</v>
      </c>
      <c r="E177" s="159"/>
      <c r="F177" s="158" t="s">
        <v>957</v>
      </c>
      <c r="G177" s="167">
        <v>35871</v>
      </c>
      <c r="H177" s="167"/>
      <c r="I177" s="159" t="s">
        <v>2569</v>
      </c>
      <c r="J177" s="159" t="s">
        <v>2619</v>
      </c>
      <c r="K177" s="159" t="s">
        <v>35</v>
      </c>
      <c r="L177" s="158" t="s">
        <v>136</v>
      </c>
      <c r="M177" s="158" t="s">
        <v>2626</v>
      </c>
      <c r="N177" s="158" t="s">
        <v>2639</v>
      </c>
      <c r="O177" s="159" t="s">
        <v>2699</v>
      </c>
      <c r="P177" s="159" t="s">
        <v>2659</v>
      </c>
      <c r="Q177" s="159" t="s">
        <v>2840</v>
      </c>
      <c r="R177" s="159" t="s">
        <v>2863</v>
      </c>
      <c r="S177" s="159"/>
      <c r="T177" s="159"/>
      <c r="U177" s="158"/>
      <c r="V177" s="158"/>
      <c r="W177" s="159"/>
      <c r="X177" s="159"/>
      <c r="Y177" s="159"/>
      <c r="Z177" s="159"/>
      <c r="AA177" s="159"/>
      <c r="AB177" s="167">
        <v>43252</v>
      </c>
      <c r="AC177" s="159" t="s">
        <v>71</v>
      </c>
      <c r="AD177" s="158"/>
      <c r="AE177" s="159"/>
      <c r="AF177" s="159"/>
      <c r="AG177" s="159"/>
      <c r="AH177" s="159"/>
      <c r="AI177" s="159"/>
      <c r="AJ177" s="159"/>
      <c r="AK177" s="159" t="s">
        <v>2600</v>
      </c>
      <c r="AL177" s="159"/>
      <c r="AM177" s="159"/>
      <c r="AN177" s="159" t="s">
        <v>786</v>
      </c>
      <c r="AO177" s="172" t="s">
        <v>937</v>
      </c>
      <c r="AP177" s="172"/>
      <c r="AQ177" s="172"/>
      <c r="AR177" s="178" t="s">
        <v>2618</v>
      </c>
      <c r="AS177" s="178" t="s">
        <v>2618</v>
      </c>
      <c r="BD177" s="185" t="s">
        <v>787</v>
      </c>
      <c r="BE177" s="156" t="s">
        <v>883</v>
      </c>
      <c r="BF177" s="159" t="s">
        <v>841</v>
      </c>
      <c r="BG177" s="159" t="s">
        <v>71</v>
      </c>
      <c r="BH177" s="159" t="s">
        <v>46</v>
      </c>
      <c r="BI177" s="159" t="s">
        <v>41</v>
      </c>
      <c r="BJ177" s="156">
        <v>1</v>
      </c>
      <c r="BK177" s="156"/>
      <c r="BL177" s="156"/>
    </row>
    <row r="178" spans="1:70">
      <c r="A178" s="184" t="str">
        <f t="shared" si="2"/>
        <v>41806174</v>
      </c>
      <c r="B178" s="158" t="s">
        <v>1311</v>
      </c>
      <c r="C178" s="158" t="s">
        <v>3024</v>
      </c>
      <c r="D178" s="159" t="s">
        <v>1310</v>
      </c>
      <c r="E178" s="159"/>
      <c r="F178" s="158" t="s">
        <v>1312</v>
      </c>
      <c r="G178" s="167">
        <v>36653</v>
      </c>
      <c r="H178" s="167"/>
      <c r="I178" s="159" t="s">
        <v>2569</v>
      </c>
      <c r="J178" s="159" t="s">
        <v>2619</v>
      </c>
      <c r="K178" s="159" t="s">
        <v>35</v>
      </c>
      <c r="L178" s="159" t="s">
        <v>974</v>
      </c>
      <c r="M178" s="158" t="s">
        <v>2626</v>
      </c>
      <c r="N178" s="158" t="s">
        <v>2626</v>
      </c>
      <c r="O178" s="159" t="s">
        <v>2659</v>
      </c>
      <c r="P178" s="159" t="s">
        <v>2659</v>
      </c>
      <c r="Q178" s="159" t="s">
        <v>2840</v>
      </c>
      <c r="R178" s="159" t="s">
        <v>2863</v>
      </c>
      <c r="S178" s="159"/>
      <c r="T178" s="159"/>
      <c r="U178" s="158"/>
      <c r="V178" s="158"/>
      <c r="W178" s="159"/>
      <c r="X178" s="159"/>
      <c r="Y178" s="159"/>
      <c r="Z178" s="159"/>
      <c r="AA178" s="159"/>
      <c r="AB178" s="167">
        <v>43252</v>
      </c>
      <c r="AC178" s="159" t="s">
        <v>129</v>
      </c>
      <c r="AD178" s="158"/>
      <c r="AE178" s="159"/>
      <c r="AF178" s="159"/>
      <c r="AG178" s="159"/>
      <c r="AH178" s="159"/>
      <c r="AI178" s="159"/>
      <c r="AJ178" s="159"/>
      <c r="AK178" s="159" t="s">
        <v>2600</v>
      </c>
      <c r="AL178" s="159"/>
      <c r="AM178" s="159"/>
      <c r="AN178" s="159" t="s">
        <v>786</v>
      </c>
      <c r="AO178" s="172" t="s">
        <v>115</v>
      </c>
      <c r="AP178" s="172"/>
      <c r="AQ178" s="172"/>
      <c r="AR178" s="178" t="s">
        <v>2618</v>
      </c>
      <c r="AS178" s="178" t="s">
        <v>2618</v>
      </c>
      <c r="BD178" s="185" t="s">
        <v>1002</v>
      </c>
      <c r="BE178" s="156" t="s">
        <v>1061</v>
      </c>
      <c r="BF178" s="185" t="s">
        <v>1049</v>
      </c>
      <c r="BG178" s="159" t="s">
        <v>129</v>
      </c>
      <c r="BH178" s="159" t="s">
        <v>46</v>
      </c>
      <c r="BI178" s="159" t="s">
        <v>41</v>
      </c>
      <c r="BJ178" s="156">
        <v>1</v>
      </c>
      <c r="BK178" s="156"/>
      <c r="BL178" s="156"/>
    </row>
    <row r="179" spans="1:70">
      <c r="A179" s="184" t="str">
        <f t="shared" si="2"/>
        <v>21806175</v>
      </c>
      <c r="B179" s="158" t="s">
        <v>1553</v>
      </c>
      <c r="C179" s="158" t="s">
        <v>3025</v>
      </c>
      <c r="D179" s="159" t="s">
        <v>1552</v>
      </c>
      <c r="E179" s="159"/>
      <c r="F179" s="158" t="s">
        <v>1555</v>
      </c>
      <c r="G179" s="167">
        <v>33899</v>
      </c>
      <c r="H179" s="167"/>
      <c r="I179" s="159" t="s">
        <v>2569</v>
      </c>
      <c r="J179" s="159" t="s">
        <v>2619</v>
      </c>
      <c r="K179" s="159" t="s">
        <v>35</v>
      </c>
      <c r="L179" s="159" t="s">
        <v>1554</v>
      </c>
      <c r="M179" s="158" t="s">
        <v>2631</v>
      </c>
      <c r="N179" s="158" t="s">
        <v>2623</v>
      </c>
      <c r="O179" s="159" t="s">
        <v>2713</v>
      </c>
      <c r="P179" s="159" t="s">
        <v>2713</v>
      </c>
      <c r="Q179" s="159" t="s">
        <v>2847</v>
      </c>
      <c r="R179" s="159" t="s">
        <v>2863</v>
      </c>
      <c r="S179" s="159"/>
      <c r="T179" s="159"/>
      <c r="U179" s="158"/>
      <c r="V179" s="158"/>
      <c r="W179" s="159"/>
      <c r="X179" s="159"/>
      <c r="Y179" s="159"/>
      <c r="Z179" s="159"/>
      <c r="AA179" s="159"/>
      <c r="AB179" s="167">
        <v>43252</v>
      </c>
      <c r="AC179" s="159" t="s">
        <v>45</v>
      </c>
      <c r="AD179" s="158"/>
      <c r="AE179" s="159"/>
      <c r="AF179" s="159"/>
      <c r="AG179" s="159"/>
      <c r="AH179" s="159"/>
      <c r="AI179" s="159"/>
      <c r="AJ179" s="159"/>
      <c r="AK179" s="159" t="s">
        <v>2600</v>
      </c>
      <c r="AL179" s="159"/>
      <c r="AM179" s="159"/>
      <c r="AN179" s="159" t="s">
        <v>786</v>
      </c>
      <c r="AO179" s="172" t="s">
        <v>78</v>
      </c>
      <c r="AP179" s="172"/>
      <c r="AQ179" s="172"/>
      <c r="AR179" s="178" t="s">
        <v>2618</v>
      </c>
      <c r="AS179" s="178" t="s">
        <v>2618</v>
      </c>
      <c r="BD179" s="185" t="s">
        <v>1442</v>
      </c>
      <c r="BE179" s="156" t="s">
        <v>1526</v>
      </c>
      <c r="BF179" s="187" t="s">
        <v>1539</v>
      </c>
      <c r="BG179" s="159" t="s">
        <v>45</v>
      </c>
      <c r="BH179" s="159" t="s">
        <v>46</v>
      </c>
      <c r="BI179" s="159" t="s">
        <v>41</v>
      </c>
      <c r="BJ179" s="156">
        <v>1</v>
      </c>
      <c r="BK179" s="156"/>
      <c r="BL179" s="156"/>
    </row>
    <row r="180" spans="1:70">
      <c r="A180" s="184" t="str">
        <f t="shared" si="2"/>
        <v>41806176</v>
      </c>
      <c r="B180" s="158" t="s">
        <v>1572</v>
      </c>
      <c r="C180" s="158" t="s">
        <v>3026</v>
      </c>
      <c r="D180" s="159" t="s">
        <v>1571</v>
      </c>
      <c r="E180" s="159"/>
      <c r="F180" s="158" t="s">
        <v>1574</v>
      </c>
      <c r="G180" s="167">
        <v>36531</v>
      </c>
      <c r="H180" s="167"/>
      <c r="I180" s="159" t="s">
        <v>2569</v>
      </c>
      <c r="J180" s="159" t="s">
        <v>2619</v>
      </c>
      <c r="K180" s="159" t="s">
        <v>165</v>
      </c>
      <c r="L180" s="159" t="s">
        <v>1573</v>
      </c>
      <c r="M180" s="158" t="s">
        <v>2623</v>
      </c>
      <c r="N180" s="158" t="s">
        <v>2623</v>
      </c>
      <c r="O180" s="159" t="s">
        <v>2714</v>
      </c>
      <c r="P180" s="159" t="s">
        <v>2659</v>
      </c>
      <c r="Q180" s="159" t="s">
        <v>2840</v>
      </c>
      <c r="R180" s="159" t="s">
        <v>2863</v>
      </c>
      <c r="S180" s="159"/>
      <c r="T180" s="159"/>
      <c r="U180" s="158"/>
      <c r="V180" s="158"/>
      <c r="W180" s="159"/>
      <c r="X180" s="159"/>
      <c r="Y180" s="159"/>
      <c r="Z180" s="159"/>
      <c r="AA180" s="159"/>
      <c r="AB180" s="167">
        <v>43252</v>
      </c>
      <c r="AC180" s="159" t="s">
        <v>129</v>
      </c>
      <c r="AD180" s="158"/>
      <c r="AE180" s="159"/>
      <c r="AF180" s="159"/>
      <c r="AG180" s="159"/>
      <c r="AH180" s="159"/>
      <c r="AI180" s="159"/>
      <c r="AJ180" s="159"/>
      <c r="AK180" s="159" t="s">
        <v>2600</v>
      </c>
      <c r="AL180" s="159"/>
      <c r="AM180" s="159"/>
      <c r="AN180" s="159" t="s">
        <v>786</v>
      </c>
      <c r="AO180" s="172" t="s">
        <v>115</v>
      </c>
      <c r="AP180" s="172"/>
      <c r="AQ180" s="172"/>
      <c r="AR180" s="178" t="s">
        <v>2618</v>
      </c>
      <c r="AS180" s="178" t="s">
        <v>2618</v>
      </c>
      <c r="BD180" s="185" t="s">
        <v>1442</v>
      </c>
      <c r="BE180" s="156" t="s">
        <v>1481</v>
      </c>
      <c r="BF180" s="159" t="s">
        <v>1482</v>
      </c>
      <c r="BG180" s="159" t="s">
        <v>129</v>
      </c>
      <c r="BH180" s="159" t="s">
        <v>46</v>
      </c>
      <c r="BI180" s="159" t="s">
        <v>41</v>
      </c>
      <c r="BJ180" s="156">
        <v>1</v>
      </c>
      <c r="BK180" s="156" t="s">
        <v>2246</v>
      </c>
      <c r="BL180" s="156"/>
      <c r="BM180" s="186"/>
      <c r="BN180" s="186"/>
      <c r="BO180" s="186"/>
      <c r="BP180" s="186"/>
      <c r="BQ180" s="186"/>
      <c r="BR180" s="186"/>
    </row>
    <row r="181" spans="1:70">
      <c r="A181" s="184" t="str">
        <f t="shared" si="2"/>
        <v>41806177</v>
      </c>
      <c r="B181" s="158" t="s">
        <v>1641</v>
      </c>
      <c r="C181" s="158" t="s">
        <v>3027</v>
      </c>
      <c r="D181" s="159" t="s">
        <v>1640</v>
      </c>
      <c r="E181" s="159"/>
      <c r="F181" s="158" t="s">
        <v>1643</v>
      </c>
      <c r="G181" s="167">
        <v>34262</v>
      </c>
      <c r="H181" s="167"/>
      <c r="I181" s="159" t="s">
        <v>2569</v>
      </c>
      <c r="J181" s="159" t="s">
        <v>2619</v>
      </c>
      <c r="K181" s="159" t="s">
        <v>165</v>
      </c>
      <c r="L181" s="159" t="s">
        <v>1642</v>
      </c>
      <c r="M181" s="158" t="s">
        <v>2627</v>
      </c>
      <c r="N181" s="158" t="s">
        <v>2622</v>
      </c>
      <c r="O181" s="159" t="s">
        <v>2715</v>
      </c>
      <c r="P181" s="159" t="s">
        <v>2810</v>
      </c>
      <c r="Q181" s="159" t="s">
        <v>2840</v>
      </c>
      <c r="R181" s="159" t="s">
        <v>2863</v>
      </c>
      <c r="S181" s="159"/>
      <c r="T181" s="159"/>
      <c r="U181" s="158"/>
      <c r="V181" s="158"/>
      <c r="W181" s="159"/>
      <c r="X181" s="159"/>
      <c r="Y181" s="159"/>
      <c r="Z181" s="159"/>
      <c r="AA181" s="159"/>
      <c r="AB181" s="167">
        <v>43252</v>
      </c>
      <c r="AC181" s="159" t="s">
        <v>129</v>
      </c>
      <c r="AD181" s="158"/>
      <c r="AE181" s="159"/>
      <c r="AF181" s="159"/>
      <c r="AG181" s="159"/>
      <c r="AH181" s="159"/>
      <c r="AI181" s="159"/>
      <c r="AJ181" s="159"/>
      <c r="AK181" s="159" t="s">
        <v>2600</v>
      </c>
      <c r="AL181" s="159"/>
      <c r="AM181" s="159"/>
      <c r="AN181" s="159" t="s">
        <v>786</v>
      </c>
      <c r="AO181" s="172" t="s">
        <v>115</v>
      </c>
      <c r="AP181" s="172"/>
      <c r="AQ181" s="172"/>
      <c r="AR181" s="178" t="s">
        <v>2618</v>
      </c>
      <c r="AS181" s="178" t="s">
        <v>2618</v>
      </c>
      <c r="BD181" s="185" t="s">
        <v>1442</v>
      </c>
      <c r="BE181" s="156" t="s">
        <v>1488</v>
      </c>
      <c r="BF181" s="159" t="s">
        <v>1539</v>
      </c>
      <c r="BG181" s="159" t="s">
        <v>129</v>
      </c>
      <c r="BH181" s="159" t="s">
        <v>46</v>
      </c>
      <c r="BI181" s="159" t="s">
        <v>41</v>
      </c>
      <c r="BJ181" s="156">
        <v>1</v>
      </c>
      <c r="BK181" s="156"/>
      <c r="BL181" s="156"/>
    </row>
    <row r="182" spans="1:70">
      <c r="A182" s="184" t="str">
        <f t="shared" si="2"/>
        <v>41806178</v>
      </c>
      <c r="B182" s="158" t="s">
        <v>1836</v>
      </c>
      <c r="C182" s="158" t="s">
        <v>3028</v>
      </c>
      <c r="D182" s="159" t="s">
        <v>1835</v>
      </c>
      <c r="E182" s="159"/>
      <c r="F182" s="158" t="s">
        <v>1838</v>
      </c>
      <c r="G182" s="167">
        <v>28970</v>
      </c>
      <c r="H182" s="167"/>
      <c r="I182" s="159" t="s">
        <v>2570</v>
      </c>
      <c r="J182" s="159" t="s">
        <v>2619</v>
      </c>
      <c r="K182" s="159" t="s">
        <v>35</v>
      </c>
      <c r="L182" s="159" t="s">
        <v>1837</v>
      </c>
      <c r="M182" s="158" t="s">
        <v>2631</v>
      </c>
      <c r="N182" s="158" t="s">
        <v>2626</v>
      </c>
      <c r="O182" s="159" t="s">
        <v>2660</v>
      </c>
      <c r="P182" s="159" t="s">
        <v>2662</v>
      </c>
      <c r="Q182" s="159" t="s">
        <v>2840</v>
      </c>
      <c r="R182" s="159" t="s">
        <v>2863</v>
      </c>
      <c r="S182" s="159"/>
      <c r="T182" s="159"/>
      <c r="U182" s="158"/>
      <c r="V182" s="158"/>
      <c r="W182" s="159"/>
      <c r="X182" s="159"/>
      <c r="Y182" s="159"/>
      <c r="Z182" s="159"/>
      <c r="AA182" s="159"/>
      <c r="AB182" s="167">
        <v>43252</v>
      </c>
      <c r="AC182" s="159" t="s">
        <v>129</v>
      </c>
      <c r="AD182" s="158"/>
      <c r="AE182" s="159"/>
      <c r="AF182" s="159"/>
      <c r="AG182" s="159"/>
      <c r="AH182" s="159"/>
      <c r="AI182" s="159"/>
      <c r="AJ182" s="159"/>
      <c r="AK182" s="159" t="s">
        <v>2600</v>
      </c>
      <c r="AL182" s="159"/>
      <c r="AM182" s="159"/>
      <c r="AN182" s="159" t="s">
        <v>786</v>
      </c>
      <c r="AO182" s="172" t="s">
        <v>115</v>
      </c>
      <c r="AP182" s="172"/>
      <c r="AQ182" s="172"/>
      <c r="AR182" s="178" t="s">
        <v>2618</v>
      </c>
      <c r="AS182" s="178" t="s">
        <v>2618</v>
      </c>
      <c r="BD182" s="185" t="s">
        <v>1442</v>
      </c>
      <c r="BE182" s="156" t="s">
        <v>1758</v>
      </c>
      <c r="BF182" s="159" t="s">
        <v>1508</v>
      </c>
      <c r="BG182" s="159" t="s">
        <v>129</v>
      </c>
      <c r="BH182" s="159" t="s">
        <v>121</v>
      </c>
      <c r="BI182" s="159" t="s">
        <v>41</v>
      </c>
      <c r="BJ182" s="156">
        <v>1</v>
      </c>
      <c r="BK182" s="156"/>
      <c r="BL182" s="156"/>
    </row>
    <row r="183" spans="1:70">
      <c r="A183" s="184" t="str">
        <f t="shared" si="2"/>
        <v>41806179</v>
      </c>
      <c r="B183" s="158" t="s">
        <v>983</v>
      </c>
      <c r="C183" s="158" t="s">
        <v>3029</v>
      </c>
      <c r="D183" s="159" t="s">
        <v>982</v>
      </c>
      <c r="E183" s="159"/>
      <c r="F183" s="158" t="s">
        <v>985</v>
      </c>
      <c r="G183" s="167">
        <v>33393</v>
      </c>
      <c r="H183" s="167"/>
      <c r="I183" s="159" t="s">
        <v>2569</v>
      </c>
      <c r="J183" s="159" t="s">
        <v>2619</v>
      </c>
      <c r="K183" s="159" t="s">
        <v>35</v>
      </c>
      <c r="L183" s="158" t="s">
        <v>984</v>
      </c>
      <c r="M183" s="158" t="s">
        <v>2640</v>
      </c>
      <c r="N183" s="158" t="s">
        <v>2630</v>
      </c>
      <c r="O183" s="159" t="s">
        <v>2716</v>
      </c>
      <c r="P183" s="159" t="s">
        <v>2662</v>
      </c>
      <c r="Q183" s="159" t="s">
        <v>2840</v>
      </c>
      <c r="R183" s="159" t="s">
        <v>2863</v>
      </c>
      <c r="S183" s="159"/>
      <c r="T183" s="159"/>
      <c r="U183" s="158"/>
      <c r="V183" s="158"/>
      <c r="W183" s="159"/>
      <c r="X183" s="159"/>
      <c r="Y183" s="159"/>
      <c r="Z183" s="159"/>
      <c r="AA183" s="159"/>
      <c r="AB183" s="167">
        <v>43257</v>
      </c>
      <c r="AC183" s="159" t="s">
        <v>129</v>
      </c>
      <c r="AD183" s="158"/>
      <c r="AE183" s="159"/>
      <c r="AF183" s="159"/>
      <c r="AG183" s="159"/>
      <c r="AH183" s="159"/>
      <c r="AI183" s="159"/>
      <c r="AJ183" s="159"/>
      <c r="AK183" s="159" t="s">
        <v>2600</v>
      </c>
      <c r="AL183" s="159"/>
      <c r="AM183" s="159"/>
      <c r="AN183" s="159" t="s">
        <v>786</v>
      </c>
      <c r="AO183" s="162" t="s">
        <v>115</v>
      </c>
      <c r="AR183" s="178" t="s">
        <v>2618</v>
      </c>
      <c r="AS183" s="178" t="s">
        <v>2618</v>
      </c>
      <c r="BD183" s="185" t="s">
        <v>787</v>
      </c>
      <c r="BE183" s="156" t="s">
        <v>959</v>
      </c>
      <c r="BF183" s="159" t="s">
        <v>855</v>
      </c>
      <c r="BG183" s="159" t="s">
        <v>129</v>
      </c>
      <c r="BH183" s="159" t="s">
        <v>46</v>
      </c>
      <c r="BI183" s="159" t="s">
        <v>41</v>
      </c>
      <c r="BJ183" s="156">
        <v>1</v>
      </c>
      <c r="BK183" s="156"/>
      <c r="BL183" s="156"/>
    </row>
    <row r="184" spans="1:70">
      <c r="A184" s="184" t="str">
        <f t="shared" si="2"/>
        <v>31812180</v>
      </c>
      <c r="B184" s="158" t="s">
        <v>1247</v>
      </c>
      <c r="C184" s="158" t="s">
        <v>3030</v>
      </c>
      <c r="D184" s="159" t="s">
        <v>1246</v>
      </c>
      <c r="E184" s="159"/>
      <c r="F184" s="158" t="s">
        <v>1249</v>
      </c>
      <c r="G184" s="167">
        <v>36430</v>
      </c>
      <c r="H184" s="167"/>
      <c r="I184" s="159" t="s">
        <v>2569</v>
      </c>
      <c r="J184" s="159" t="s">
        <v>2619</v>
      </c>
      <c r="K184" s="159" t="s">
        <v>165</v>
      </c>
      <c r="L184" s="159" t="s">
        <v>1248</v>
      </c>
      <c r="M184" s="158" t="s">
        <v>2642</v>
      </c>
      <c r="N184" s="158" t="s">
        <v>2626</v>
      </c>
      <c r="O184" s="159" t="s">
        <v>2717</v>
      </c>
      <c r="P184" s="159" t="s">
        <v>2751</v>
      </c>
      <c r="Q184" s="159" t="s">
        <v>2840</v>
      </c>
      <c r="R184" s="159" t="s">
        <v>2863</v>
      </c>
      <c r="S184" s="159"/>
      <c r="T184" s="159"/>
      <c r="U184" s="158"/>
      <c r="V184" s="158"/>
      <c r="W184" s="159"/>
      <c r="X184" s="159"/>
      <c r="Y184" s="159"/>
      <c r="Z184" s="159"/>
      <c r="AA184" s="159"/>
      <c r="AB184" s="167">
        <v>43445</v>
      </c>
      <c r="AC184" s="159" t="s">
        <v>71</v>
      </c>
      <c r="AD184" s="158"/>
      <c r="AE184" s="159"/>
      <c r="AF184" s="159"/>
      <c r="AG184" s="159"/>
      <c r="AH184" s="159"/>
      <c r="AI184" s="159"/>
      <c r="AJ184" s="159"/>
      <c r="AK184" s="159" t="s">
        <v>2600</v>
      </c>
      <c r="AL184" s="159"/>
      <c r="AM184" s="159"/>
      <c r="AN184" s="159" t="s">
        <v>786</v>
      </c>
      <c r="AO184" s="172" t="s">
        <v>937</v>
      </c>
      <c r="AP184" s="172"/>
      <c r="AQ184" s="172"/>
      <c r="AR184" s="178" t="s">
        <v>2618</v>
      </c>
      <c r="AS184" s="178" t="s">
        <v>2618</v>
      </c>
      <c r="BD184" s="185" t="s">
        <v>1002</v>
      </c>
      <c r="BE184" s="156" t="s">
        <v>1127</v>
      </c>
      <c r="BF184" s="185" t="s">
        <v>1042</v>
      </c>
      <c r="BG184" s="159" t="s">
        <v>71</v>
      </c>
      <c r="BH184" s="159" t="s">
        <v>46</v>
      </c>
      <c r="BI184" s="159" t="s">
        <v>41</v>
      </c>
      <c r="BJ184" s="156">
        <v>1</v>
      </c>
      <c r="BK184" s="156"/>
      <c r="BL184" s="156"/>
    </row>
    <row r="185" spans="1:70">
      <c r="A185" s="184" t="str">
        <f t="shared" si="2"/>
        <v>21903181</v>
      </c>
      <c r="B185" s="158" t="s">
        <v>1146</v>
      </c>
      <c r="C185" s="158" t="s">
        <v>3031</v>
      </c>
      <c r="D185" s="159" t="s">
        <v>1144</v>
      </c>
      <c r="E185" s="159"/>
      <c r="F185" s="158" t="s">
        <v>1148</v>
      </c>
      <c r="G185" s="167">
        <v>35903</v>
      </c>
      <c r="H185" s="167"/>
      <c r="I185" s="159" t="s">
        <v>2569</v>
      </c>
      <c r="J185" s="159" t="s">
        <v>2619</v>
      </c>
      <c r="K185" s="159" t="s">
        <v>35</v>
      </c>
      <c r="L185" s="159" t="s">
        <v>1147</v>
      </c>
      <c r="M185" s="158" t="s">
        <v>2623</v>
      </c>
      <c r="N185" s="158" t="s">
        <v>2629</v>
      </c>
      <c r="O185" s="159" t="s">
        <v>2699</v>
      </c>
      <c r="P185" s="159" t="s">
        <v>2659</v>
      </c>
      <c r="Q185" s="159" t="s">
        <v>2840</v>
      </c>
      <c r="R185" s="159" t="s">
        <v>2863</v>
      </c>
      <c r="S185" s="159"/>
      <c r="T185" s="159"/>
      <c r="U185" s="158"/>
      <c r="V185" s="158"/>
      <c r="W185" s="159"/>
      <c r="X185" s="159"/>
      <c r="Y185" s="159"/>
      <c r="Z185" s="159"/>
      <c r="AA185" s="159"/>
      <c r="AB185" s="167">
        <v>43540</v>
      </c>
      <c r="AC185" s="159" t="s">
        <v>45</v>
      </c>
      <c r="AD185" s="158"/>
      <c r="AE185" s="159"/>
      <c r="AF185" s="159"/>
      <c r="AG185" s="159"/>
      <c r="AH185" s="159"/>
      <c r="AI185" s="159"/>
      <c r="AJ185" s="159"/>
      <c r="AK185" s="159" t="s">
        <v>2600</v>
      </c>
      <c r="AL185" s="159"/>
      <c r="AM185" s="159"/>
      <c r="AN185" s="159" t="s">
        <v>786</v>
      </c>
      <c r="AO185" s="172" t="s">
        <v>78</v>
      </c>
      <c r="AP185" s="172"/>
      <c r="AQ185" s="172"/>
      <c r="AR185" s="178" t="s">
        <v>2618</v>
      </c>
      <c r="AS185" s="178" t="s">
        <v>2618</v>
      </c>
      <c r="BD185" s="185" t="s">
        <v>1002</v>
      </c>
      <c r="BE185" s="156" t="s">
        <v>1145</v>
      </c>
      <c r="BF185" s="185" t="s">
        <v>1049</v>
      </c>
      <c r="BG185" s="159" t="s">
        <v>45</v>
      </c>
      <c r="BH185" s="159" t="s">
        <v>46</v>
      </c>
      <c r="BI185" s="159" t="s">
        <v>41</v>
      </c>
      <c r="BJ185" s="156">
        <v>1</v>
      </c>
      <c r="BK185" s="156"/>
      <c r="BL185" s="156"/>
    </row>
    <row r="186" spans="1:70">
      <c r="A186" s="184" t="str">
        <f t="shared" si="2"/>
        <v>31906182</v>
      </c>
      <c r="B186" s="158" t="s">
        <v>1167</v>
      </c>
      <c r="C186" s="158" t="s">
        <v>3032</v>
      </c>
      <c r="D186" s="159" t="s">
        <v>1166</v>
      </c>
      <c r="E186" s="159"/>
      <c r="F186" s="158" t="s">
        <v>1169</v>
      </c>
      <c r="G186" s="167">
        <v>36224</v>
      </c>
      <c r="H186" s="167"/>
      <c r="I186" s="159" t="s">
        <v>2569</v>
      </c>
      <c r="J186" s="159" t="s">
        <v>2619</v>
      </c>
      <c r="K186" s="159" t="s">
        <v>35</v>
      </c>
      <c r="L186" s="159" t="s">
        <v>1168</v>
      </c>
      <c r="M186" s="158" t="s">
        <v>2623</v>
      </c>
      <c r="N186" s="158" t="s">
        <v>2622</v>
      </c>
      <c r="O186" s="159" t="s">
        <v>2718</v>
      </c>
      <c r="P186" s="159" t="s">
        <v>2659</v>
      </c>
      <c r="Q186" s="159" t="s">
        <v>2840</v>
      </c>
      <c r="R186" s="159" t="s">
        <v>2863</v>
      </c>
      <c r="S186" s="159"/>
      <c r="T186" s="159"/>
      <c r="U186" s="158"/>
      <c r="V186" s="158"/>
      <c r="W186" s="159"/>
      <c r="X186" s="159"/>
      <c r="Y186" s="159"/>
      <c r="Z186" s="159"/>
      <c r="AA186" s="159"/>
      <c r="AB186" s="167">
        <v>43617</v>
      </c>
      <c r="AC186" s="159" t="s">
        <v>71</v>
      </c>
      <c r="AD186" s="158"/>
      <c r="AE186" s="159"/>
      <c r="AF186" s="159"/>
      <c r="AG186" s="159"/>
      <c r="AH186" s="159"/>
      <c r="AI186" s="159"/>
      <c r="AJ186" s="159"/>
      <c r="AK186" s="159" t="s">
        <v>2600</v>
      </c>
      <c r="AL186" s="159"/>
      <c r="AM186" s="159"/>
      <c r="AN186" s="185" t="s">
        <v>786</v>
      </c>
      <c r="AO186" s="172" t="s">
        <v>937</v>
      </c>
      <c r="AP186" s="172"/>
      <c r="AQ186" s="172"/>
      <c r="AR186" s="178" t="s">
        <v>2618</v>
      </c>
      <c r="AS186" s="178" t="s">
        <v>2618</v>
      </c>
      <c r="BD186" s="185" t="s">
        <v>1002</v>
      </c>
      <c r="BE186" s="156" t="s">
        <v>1033</v>
      </c>
      <c r="BF186" s="185" t="s">
        <v>1042</v>
      </c>
      <c r="BG186" s="159" t="s">
        <v>71</v>
      </c>
      <c r="BH186" s="159" t="s">
        <v>46</v>
      </c>
      <c r="BI186" s="159" t="s">
        <v>41</v>
      </c>
      <c r="BJ186" s="156">
        <v>1</v>
      </c>
      <c r="BK186" s="156"/>
      <c r="BL186" s="156"/>
      <c r="BM186" s="193"/>
      <c r="BN186" s="193"/>
      <c r="BO186" s="193"/>
      <c r="BP186" s="193"/>
      <c r="BQ186" s="193"/>
      <c r="BR186" s="193"/>
    </row>
    <row r="187" spans="1:70">
      <c r="A187" s="184" t="str">
        <f t="shared" si="2"/>
        <v>31906183</v>
      </c>
      <c r="B187" s="158" t="s">
        <v>1172</v>
      </c>
      <c r="C187" s="158" t="s">
        <v>3033</v>
      </c>
      <c r="D187" s="159" t="s">
        <v>1171</v>
      </c>
      <c r="E187" s="159"/>
      <c r="F187" s="158" t="s">
        <v>1173</v>
      </c>
      <c r="G187" s="167">
        <v>36307</v>
      </c>
      <c r="H187" s="167"/>
      <c r="I187" s="159" t="s">
        <v>2569</v>
      </c>
      <c r="J187" s="159" t="s">
        <v>2619</v>
      </c>
      <c r="K187" s="159" t="s">
        <v>165</v>
      </c>
      <c r="L187" s="159" t="s">
        <v>360</v>
      </c>
      <c r="M187" s="158" t="s">
        <v>2623</v>
      </c>
      <c r="N187" s="158" t="s">
        <v>2626</v>
      </c>
      <c r="O187" s="159" t="s">
        <v>2659</v>
      </c>
      <c r="P187" s="159" t="s">
        <v>2659</v>
      </c>
      <c r="Q187" s="159" t="s">
        <v>2840</v>
      </c>
      <c r="R187" s="159" t="s">
        <v>2863</v>
      </c>
      <c r="S187" s="159"/>
      <c r="T187" s="159"/>
      <c r="U187" s="158"/>
      <c r="V187" s="158"/>
      <c r="W187" s="159"/>
      <c r="X187" s="159"/>
      <c r="Y187" s="159"/>
      <c r="Z187" s="159"/>
      <c r="AA187" s="159"/>
      <c r="AB187" s="167">
        <v>43617</v>
      </c>
      <c r="AC187" s="159" t="s">
        <v>71</v>
      </c>
      <c r="AD187" s="158"/>
      <c r="AE187" s="159"/>
      <c r="AF187" s="159"/>
      <c r="AG187" s="159"/>
      <c r="AH187" s="159"/>
      <c r="AI187" s="159"/>
      <c r="AJ187" s="159"/>
      <c r="AK187" s="159" t="s">
        <v>2600</v>
      </c>
      <c r="AL187" s="159"/>
      <c r="AM187" s="159"/>
      <c r="AN187" s="159" t="s">
        <v>786</v>
      </c>
      <c r="AO187" s="172" t="s">
        <v>937</v>
      </c>
      <c r="AP187" s="172"/>
      <c r="AQ187" s="172"/>
      <c r="AR187" s="178" t="s">
        <v>2618</v>
      </c>
      <c r="AS187" s="178" t="s">
        <v>2618</v>
      </c>
      <c r="BD187" s="185" t="s">
        <v>1002</v>
      </c>
      <c r="BE187" s="156" t="s">
        <v>1033</v>
      </c>
      <c r="BF187" s="185" t="s">
        <v>2333</v>
      </c>
      <c r="BG187" s="159" t="s">
        <v>71</v>
      </c>
      <c r="BH187" s="159" t="s">
        <v>46</v>
      </c>
      <c r="BI187" s="159" t="s">
        <v>41</v>
      </c>
      <c r="BJ187" s="156">
        <v>1</v>
      </c>
      <c r="BK187" s="156"/>
      <c r="BL187" s="156"/>
    </row>
    <row r="188" spans="1:70">
      <c r="A188" s="184" t="str">
        <f t="shared" si="2"/>
        <v>41906184</v>
      </c>
      <c r="B188" s="158" t="s">
        <v>1324</v>
      </c>
      <c r="C188" s="158" t="s">
        <v>3034</v>
      </c>
      <c r="D188" s="159" t="s">
        <v>1323</v>
      </c>
      <c r="E188" s="159"/>
      <c r="F188" s="158" t="s">
        <v>1325</v>
      </c>
      <c r="G188" s="167">
        <v>36776</v>
      </c>
      <c r="H188" s="167"/>
      <c r="I188" s="159" t="s">
        <v>2569</v>
      </c>
      <c r="J188" s="159" t="s">
        <v>2619</v>
      </c>
      <c r="K188" s="159" t="s">
        <v>165</v>
      </c>
      <c r="L188" s="159" t="s">
        <v>141</v>
      </c>
      <c r="M188" s="158" t="s">
        <v>2626</v>
      </c>
      <c r="N188" s="158" t="s">
        <v>2625</v>
      </c>
      <c r="O188" s="159" t="s">
        <v>2659</v>
      </c>
      <c r="P188" s="159" t="s">
        <v>2659</v>
      </c>
      <c r="Q188" s="159" t="s">
        <v>2840</v>
      </c>
      <c r="R188" s="159" t="s">
        <v>2863</v>
      </c>
      <c r="S188" s="159"/>
      <c r="T188" s="159"/>
      <c r="U188" s="158"/>
      <c r="V188" s="158"/>
      <c r="W188" s="159"/>
      <c r="X188" s="159"/>
      <c r="Y188" s="159"/>
      <c r="Z188" s="159"/>
      <c r="AA188" s="159"/>
      <c r="AB188" s="167">
        <v>43617</v>
      </c>
      <c r="AC188" s="159" t="s">
        <v>129</v>
      </c>
      <c r="AD188" s="158"/>
      <c r="AE188" s="159"/>
      <c r="AF188" s="159"/>
      <c r="AG188" s="159"/>
      <c r="AH188" s="159"/>
      <c r="AI188" s="159"/>
      <c r="AJ188" s="159"/>
      <c r="AK188" s="159" t="s">
        <v>2600</v>
      </c>
      <c r="AL188" s="159"/>
      <c r="AM188" s="159"/>
      <c r="AN188" s="159" t="s">
        <v>786</v>
      </c>
      <c r="AO188" s="172" t="s">
        <v>115</v>
      </c>
      <c r="AP188" s="172"/>
      <c r="AQ188" s="172"/>
      <c r="AR188" s="178" t="s">
        <v>2618</v>
      </c>
      <c r="AS188" s="178" t="s">
        <v>2618</v>
      </c>
      <c r="BD188" s="185" t="s">
        <v>1002</v>
      </c>
      <c r="BE188" s="156" t="s">
        <v>1075</v>
      </c>
      <c r="BF188" s="185" t="s">
        <v>2333</v>
      </c>
      <c r="BG188" s="159" t="s">
        <v>129</v>
      </c>
      <c r="BH188" s="159" t="s">
        <v>46</v>
      </c>
      <c r="BI188" s="159" t="s">
        <v>41</v>
      </c>
      <c r="BJ188" s="156">
        <v>1</v>
      </c>
      <c r="BK188" s="156"/>
      <c r="BL188" s="156"/>
    </row>
    <row r="189" spans="1:70">
      <c r="A189" s="184" t="str">
        <f t="shared" si="2"/>
        <v>41906185</v>
      </c>
      <c r="B189" s="158" t="s">
        <v>1646</v>
      </c>
      <c r="C189" s="158" t="s">
        <v>3035</v>
      </c>
      <c r="D189" s="159" t="s">
        <v>1645</v>
      </c>
      <c r="E189" s="159"/>
      <c r="F189" s="158" t="s">
        <v>1648</v>
      </c>
      <c r="G189" s="167">
        <v>34663</v>
      </c>
      <c r="H189" s="167"/>
      <c r="I189" s="159" t="s">
        <v>2569</v>
      </c>
      <c r="J189" s="159" t="s">
        <v>2619</v>
      </c>
      <c r="K189" s="159" t="s">
        <v>35</v>
      </c>
      <c r="L189" s="159" t="s">
        <v>1647</v>
      </c>
      <c r="M189" s="158" t="s">
        <v>2623</v>
      </c>
      <c r="N189" s="158" t="s">
        <v>2621</v>
      </c>
      <c r="O189" s="159" t="s">
        <v>2719</v>
      </c>
      <c r="P189" s="159" t="s">
        <v>2659</v>
      </c>
      <c r="Q189" s="159" t="s">
        <v>2840</v>
      </c>
      <c r="R189" s="159" t="s">
        <v>2863</v>
      </c>
      <c r="S189" s="159"/>
      <c r="T189" s="159"/>
      <c r="U189" s="158"/>
      <c r="V189" s="158"/>
      <c r="W189" s="159"/>
      <c r="X189" s="159"/>
      <c r="Y189" s="159"/>
      <c r="Z189" s="159"/>
      <c r="AA189" s="159"/>
      <c r="AB189" s="167">
        <v>43617</v>
      </c>
      <c r="AC189" s="159" t="s">
        <v>129</v>
      </c>
      <c r="AD189" s="158"/>
      <c r="AE189" s="159"/>
      <c r="AF189" s="159"/>
      <c r="AG189" s="159"/>
      <c r="AH189" s="159"/>
      <c r="AI189" s="159"/>
      <c r="AJ189" s="159"/>
      <c r="AK189" s="159" t="s">
        <v>2600</v>
      </c>
      <c r="AL189" s="159"/>
      <c r="AM189" s="159"/>
      <c r="AN189" s="159" t="s">
        <v>786</v>
      </c>
      <c r="AO189" s="172" t="s">
        <v>115</v>
      </c>
      <c r="AP189" s="172"/>
      <c r="AQ189" s="172"/>
      <c r="AR189" s="178" t="s">
        <v>2618</v>
      </c>
      <c r="AS189" s="178" t="s">
        <v>2618</v>
      </c>
      <c r="BD189" s="185" t="s">
        <v>1442</v>
      </c>
      <c r="BE189" s="156" t="s">
        <v>1499</v>
      </c>
      <c r="BF189" s="159" t="s">
        <v>1482</v>
      </c>
      <c r="BG189" s="159" t="s">
        <v>129</v>
      </c>
      <c r="BH189" s="159" t="s">
        <v>46</v>
      </c>
      <c r="BI189" s="159" t="s">
        <v>41</v>
      </c>
      <c r="BJ189" s="156">
        <v>1</v>
      </c>
      <c r="BK189" s="156"/>
      <c r="BL189" s="156"/>
    </row>
    <row r="190" spans="1:70">
      <c r="A190" s="184" t="str">
        <f t="shared" si="2"/>
        <v>41906186</v>
      </c>
      <c r="B190" s="158" t="s">
        <v>1700</v>
      </c>
      <c r="C190" s="158" t="s">
        <v>3036</v>
      </c>
      <c r="D190" s="159" t="s">
        <v>1699</v>
      </c>
      <c r="E190" s="159"/>
      <c r="F190" s="158" t="s">
        <v>1701</v>
      </c>
      <c r="G190" s="167">
        <v>36727</v>
      </c>
      <c r="H190" s="167"/>
      <c r="I190" s="159" t="s">
        <v>2569</v>
      </c>
      <c r="J190" s="159" t="s">
        <v>2619</v>
      </c>
      <c r="K190" s="159" t="s">
        <v>165</v>
      </c>
      <c r="L190" s="159" t="s">
        <v>360</v>
      </c>
      <c r="M190" s="158" t="s">
        <v>2623</v>
      </c>
      <c r="N190" s="158" t="s">
        <v>2626</v>
      </c>
      <c r="O190" s="159" t="s">
        <v>2659</v>
      </c>
      <c r="P190" s="159" t="s">
        <v>2659</v>
      </c>
      <c r="Q190" s="159" t="s">
        <v>2840</v>
      </c>
      <c r="R190" s="159" t="s">
        <v>2863</v>
      </c>
      <c r="S190" s="159"/>
      <c r="T190" s="159"/>
      <c r="U190" s="158"/>
      <c r="V190" s="158"/>
      <c r="W190" s="159"/>
      <c r="X190" s="159"/>
      <c r="Y190" s="159"/>
      <c r="Z190" s="159"/>
      <c r="AA190" s="159"/>
      <c r="AB190" s="167">
        <v>43617</v>
      </c>
      <c r="AC190" s="159" t="s">
        <v>129</v>
      </c>
      <c r="AD190" s="158"/>
      <c r="AE190" s="159"/>
      <c r="AF190" s="159"/>
      <c r="AG190" s="159"/>
      <c r="AH190" s="159"/>
      <c r="AI190" s="159"/>
      <c r="AJ190" s="159"/>
      <c r="AK190" s="159" t="s">
        <v>2600</v>
      </c>
      <c r="AL190" s="159"/>
      <c r="AM190" s="159"/>
      <c r="AN190" s="159" t="s">
        <v>786</v>
      </c>
      <c r="AO190" s="172" t="s">
        <v>115</v>
      </c>
      <c r="AP190" s="172"/>
      <c r="AQ190" s="172"/>
      <c r="AR190" s="178" t="s">
        <v>2618</v>
      </c>
      <c r="AS190" s="178" t="s">
        <v>2618</v>
      </c>
      <c r="BD190" s="185" t="s">
        <v>1442</v>
      </c>
      <c r="BE190" s="156" t="s">
        <v>1481</v>
      </c>
      <c r="BF190" s="159" t="s">
        <v>1508</v>
      </c>
      <c r="BG190" s="159" t="s">
        <v>129</v>
      </c>
      <c r="BH190" s="159" t="s">
        <v>46</v>
      </c>
      <c r="BI190" s="159" t="s">
        <v>41</v>
      </c>
      <c r="BJ190" s="156">
        <v>1</v>
      </c>
      <c r="BK190" s="156"/>
      <c r="BL190" s="156"/>
    </row>
    <row r="191" spans="1:70">
      <c r="A191" s="184" t="str">
        <f t="shared" si="2"/>
        <v>41906187</v>
      </c>
      <c r="B191" s="158" t="s">
        <v>1671</v>
      </c>
      <c r="C191" s="158" t="s">
        <v>3037</v>
      </c>
      <c r="D191" s="159" t="s">
        <v>1670</v>
      </c>
      <c r="E191" s="159"/>
      <c r="F191" s="158" t="s">
        <v>1673</v>
      </c>
      <c r="G191" s="167">
        <v>36527</v>
      </c>
      <c r="H191" s="167"/>
      <c r="I191" s="159" t="s">
        <v>2569</v>
      </c>
      <c r="J191" s="159" t="s">
        <v>2619</v>
      </c>
      <c r="K191" s="159" t="s">
        <v>35</v>
      </c>
      <c r="L191" s="159" t="s">
        <v>1672</v>
      </c>
      <c r="M191" s="158" t="s">
        <v>2629</v>
      </c>
      <c r="N191" s="158" t="s">
        <v>2627</v>
      </c>
      <c r="O191" s="159" t="s">
        <v>2720</v>
      </c>
      <c r="P191" s="159" t="s">
        <v>2811</v>
      </c>
      <c r="Q191" s="159" t="s">
        <v>2846</v>
      </c>
      <c r="R191" s="159" t="s">
        <v>2863</v>
      </c>
      <c r="S191" s="159"/>
      <c r="T191" s="159"/>
      <c r="U191" s="158"/>
      <c r="V191" s="158"/>
      <c r="W191" s="159"/>
      <c r="X191" s="159"/>
      <c r="Y191" s="159"/>
      <c r="Z191" s="159"/>
      <c r="AA191" s="159"/>
      <c r="AB191" s="167">
        <v>43639</v>
      </c>
      <c r="AC191" s="159" t="s">
        <v>129</v>
      </c>
      <c r="AD191" s="158"/>
      <c r="AE191" s="159"/>
      <c r="AF191" s="159"/>
      <c r="AG191" s="159"/>
      <c r="AH191" s="159"/>
      <c r="AI191" s="159"/>
      <c r="AJ191" s="159"/>
      <c r="AK191" s="159" t="s">
        <v>2600</v>
      </c>
      <c r="AL191" s="159"/>
      <c r="AM191" s="159"/>
      <c r="AN191" s="159" t="s">
        <v>786</v>
      </c>
      <c r="AO191" s="172" t="s">
        <v>115</v>
      </c>
      <c r="AP191" s="172"/>
      <c r="AQ191" s="172"/>
      <c r="AR191" s="178" t="s">
        <v>2618</v>
      </c>
      <c r="AS191" s="178" t="s">
        <v>2618</v>
      </c>
      <c r="BD191" s="185" t="s">
        <v>1442</v>
      </c>
      <c r="BE191" s="156" t="s">
        <v>1481</v>
      </c>
      <c r="BF191" s="159" t="s">
        <v>1482</v>
      </c>
      <c r="BG191" s="159" t="s">
        <v>129</v>
      </c>
      <c r="BH191" s="159" t="s">
        <v>32</v>
      </c>
      <c r="BI191" s="159" t="s">
        <v>41</v>
      </c>
      <c r="BJ191" s="156">
        <v>1</v>
      </c>
      <c r="BK191" s="156"/>
      <c r="BL191" s="156"/>
    </row>
    <row r="192" spans="1:70">
      <c r="A192" s="184" t="str">
        <f t="shared" si="2"/>
        <v>21907188</v>
      </c>
      <c r="B192" s="158" t="s">
        <v>2092</v>
      </c>
      <c r="C192" s="158" t="s">
        <v>3038</v>
      </c>
      <c r="D192" s="159" t="s">
        <v>2091</v>
      </c>
      <c r="E192" s="159"/>
      <c r="F192" s="158" t="s">
        <v>2094</v>
      </c>
      <c r="G192" s="167">
        <v>35624</v>
      </c>
      <c r="H192" s="167"/>
      <c r="I192" s="159" t="s">
        <v>2570</v>
      </c>
      <c r="J192" s="159" t="s">
        <v>2619</v>
      </c>
      <c r="K192" s="159" t="s">
        <v>165</v>
      </c>
      <c r="L192" s="159" t="s">
        <v>2093</v>
      </c>
      <c r="M192" s="158" t="s">
        <v>2631</v>
      </c>
      <c r="N192" s="158" t="s">
        <v>2626</v>
      </c>
      <c r="O192" s="159" t="s">
        <v>2721</v>
      </c>
      <c r="P192" s="159" t="s">
        <v>2659</v>
      </c>
      <c r="Q192" s="159" t="s">
        <v>2840</v>
      </c>
      <c r="R192" s="159" t="s">
        <v>2863</v>
      </c>
      <c r="S192" s="159"/>
      <c r="T192" s="159"/>
      <c r="U192" s="158"/>
      <c r="V192" s="158"/>
      <c r="W192" s="159"/>
      <c r="X192" s="159"/>
      <c r="Y192" s="159"/>
      <c r="Z192" s="159"/>
      <c r="AA192" s="159"/>
      <c r="AB192" s="167">
        <v>43652</v>
      </c>
      <c r="AC192" s="159" t="s">
        <v>45</v>
      </c>
      <c r="AD192" s="158"/>
      <c r="AE192" s="159"/>
      <c r="AF192" s="159"/>
      <c r="AG192" s="159"/>
      <c r="AH192" s="159"/>
      <c r="AI192" s="159"/>
      <c r="AJ192" s="159"/>
      <c r="AK192" s="159" t="s">
        <v>2600</v>
      </c>
      <c r="AL192" s="159"/>
      <c r="AM192" s="159"/>
      <c r="AN192" s="185" t="s">
        <v>2065</v>
      </c>
      <c r="AO192" s="162" t="s">
        <v>2104</v>
      </c>
      <c r="AR192" s="178" t="s">
        <v>2618</v>
      </c>
      <c r="AS192" s="178" t="s">
        <v>2618</v>
      </c>
      <c r="BD192" s="156"/>
      <c r="BE192" s="156" t="s">
        <v>2248</v>
      </c>
      <c r="BF192" s="159"/>
      <c r="BG192" s="159" t="s">
        <v>45</v>
      </c>
      <c r="BH192" s="159" t="s">
        <v>46</v>
      </c>
      <c r="BI192" s="159" t="s">
        <v>41</v>
      </c>
      <c r="BJ192" s="156">
        <v>1</v>
      </c>
      <c r="BK192" s="156"/>
      <c r="BL192" s="156"/>
    </row>
    <row r="193" spans="1:70">
      <c r="A193" s="184" t="str">
        <f t="shared" si="2"/>
        <v>32006189</v>
      </c>
      <c r="B193" s="158" t="s">
        <v>359</v>
      </c>
      <c r="C193" s="158" t="s">
        <v>3039</v>
      </c>
      <c r="D193" s="159" t="s">
        <v>358</v>
      </c>
      <c r="E193" s="159"/>
      <c r="F193" s="158" t="s">
        <v>361</v>
      </c>
      <c r="G193" s="167">
        <v>36558</v>
      </c>
      <c r="H193" s="167"/>
      <c r="I193" s="159" t="s">
        <v>2569</v>
      </c>
      <c r="J193" s="159" t="s">
        <v>2619</v>
      </c>
      <c r="K193" s="159" t="s">
        <v>35</v>
      </c>
      <c r="L193" s="159" t="s">
        <v>360</v>
      </c>
      <c r="M193" s="158" t="s">
        <v>2623</v>
      </c>
      <c r="N193" s="158" t="s">
        <v>2626</v>
      </c>
      <c r="O193" s="159" t="s">
        <v>2659</v>
      </c>
      <c r="P193" s="159" t="s">
        <v>2659</v>
      </c>
      <c r="Q193" s="159" t="s">
        <v>2840</v>
      </c>
      <c r="R193" s="159" t="s">
        <v>2863</v>
      </c>
      <c r="S193" s="159"/>
      <c r="T193" s="159"/>
      <c r="U193" s="158"/>
      <c r="V193" s="158"/>
      <c r="W193" s="159"/>
      <c r="X193" s="159"/>
      <c r="Y193" s="159"/>
      <c r="Z193" s="159"/>
      <c r="AA193" s="159"/>
      <c r="AB193" s="167">
        <v>43983</v>
      </c>
      <c r="AC193" s="159" t="s">
        <v>71</v>
      </c>
      <c r="AD193" s="158"/>
      <c r="AE193" s="159"/>
      <c r="AF193" s="159"/>
      <c r="AG193" s="159"/>
      <c r="AH193" s="159"/>
      <c r="AI193" s="159"/>
      <c r="AJ193" s="159"/>
      <c r="AK193" s="159" t="s">
        <v>2600</v>
      </c>
      <c r="AL193" s="159"/>
      <c r="AM193" s="159"/>
      <c r="AN193" s="185" t="s">
        <v>298</v>
      </c>
      <c r="AO193" s="172" t="s">
        <v>78</v>
      </c>
      <c r="AP193" s="172"/>
      <c r="AQ193" s="172"/>
      <c r="AR193" s="178" t="s">
        <v>2618</v>
      </c>
      <c r="AS193" s="178" t="s">
        <v>2618</v>
      </c>
      <c r="BD193" s="156"/>
      <c r="BF193" s="159"/>
      <c r="BG193" s="159" t="s">
        <v>71</v>
      </c>
      <c r="BH193" s="159" t="s">
        <v>46</v>
      </c>
      <c r="BI193" s="159" t="s">
        <v>41</v>
      </c>
      <c r="BJ193" s="156">
        <v>1</v>
      </c>
      <c r="BK193" s="156"/>
      <c r="BL193" s="156"/>
    </row>
    <row r="194" spans="1:70">
      <c r="A194" s="184" t="str">
        <f t="shared" si="2"/>
        <v>32006190</v>
      </c>
      <c r="B194" s="158" t="s">
        <v>988</v>
      </c>
      <c r="C194" s="158" t="s">
        <v>3040</v>
      </c>
      <c r="D194" s="159" t="s">
        <v>986</v>
      </c>
      <c r="E194" s="159"/>
      <c r="F194" s="158" t="s">
        <v>990</v>
      </c>
      <c r="G194" s="167">
        <v>34235</v>
      </c>
      <c r="H194" s="167"/>
      <c r="I194" s="159" t="s">
        <v>2569</v>
      </c>
      <c r="J194" s="159" t="s">
        <v>2619</v>
      </c>
      <c r="K194" s="159" t="s">
        <v>35</v>
      </c>
      <c r="L194" s="159" t="s">
        <v>989</v>
      </c>
      <c r="M194" s="158" t="s">
        <v>2626</v>
      </c>
      <c r="N194" s="158" t="s">
        <v>2625</v>
      </c>
      <c r="O194" s="159" t="s">
        <v>2659</v>
      </c>
      <c r="P194" s="159" t="s">
        <v>2659</v>
      </c>
      <c r="Q194" s="159" t="s">
        <v>2840</v>
      </c>
      <c r="R194" s="159" t="s">
        <v>2863</v>
      </c>
      <c r="S194" s="159"/>
      <c r="T194" s="159"/>
      <c r="U194" s="158"/>
      <c r="V194" s="158"/>
      <c r="W194" s="159"/>
      <c r="X194" s="159"/>
      <c r="Y194" s="159"/>
      <c r="Z194" s="159"/>
      <c r="AA194" s="159"/>
      <c r="AB194" s="167">
        <v>43983</v>
      </c>
      <c r="AC194" s="159" t="s">
        <v>71</v>
      </c>
      <c r="AD194" s="158"/>
      <c r="AE194" s="159"/>
      <c r="AF194" s="159"/>
      <c r="AG194" s="159"/>
      <c r="AH194" s="159"/>
      <c r="AI194" s="159"/>
      <c r="AJ194" s="159"/>
      <c r="AK194" s="159" t="s">
        <v>2600</v>
      </c>
      <c r="AL194" s="159"/>
      <c r="AM194" s="159"/>
      <c r="AN194" s="159" t="s">
        <v>786</v>
      </c>
      <c r="AO194" s="172" t="s">
        <v>54</v>
      </c>
      <c r="AP194" s="172"/>
      <c r="AQ194" s="172"/>
      <c r="AR194" s="178" t="s">
        <v>2618</v>
      </c>
      <c r="AS194" s="178" t="s">
        <v>2618</v>
      </c>
      <c r="BD194" s="185" t="s">
        <v>787</v>
      </c>
      <c r="BF194" s="159"/>
      <c r="BG194" s="159" t="s">
        <v>71</v>
      </c>
      <c r="BH194" s="159" t="s">
        <v>299</v>
      </c>
      <c r="BI194" s="159" t="s">
        <v>41</v>
      </c>
      <c r="BJ194" s="156">
        <v>3</v>
      </c>
      <c r="BK194" s="156"/>
      <c r="BL194" s="156"/>
    </row>
    <row r="195" spans="1:70">
      <c r="A195" s="184" t="str">
        <f t="shared" si="2"/>
        <v>22106191</v>
      </c>
      <c r="B195" s="158" t="s">
        <v>283</v>
      </c>
      <c r="C195" s="158" t="s">
        <v>3041</v>
      </c>
      <c r="D195" s="159" t="s">
        <v>281</v>
      </c>
      <c r="E195" s="159"/>
      <c r="F195" s="158" t="s">
        <v>285</v>
      </c>
      <c r="G195" s="167">
        <v>29833</v>
      </c>
      <c r="H195" s="167"/>
      <c r="I195" s="159" t="s">
        <v>2569</v>
      </c>
      <c r="J195" s="159" t="s">
        <v>2619</v>
      </c>
      <c r="K195" s="159" t="s">
        <v>35</v>
      </c>
      <c r="L195" s="159" t="s">
        <v>284</v>
      </c>
      <c r="M195" s="158" t="s">
        <v>2626</v>
      </c>
      <c r="N195" s="158" t="s">
        <v>2621</v>
      </c>
      <c r="O195" s="159" t="s">
        <v>2657</v>
      </c>
      <c r="P195" s="159" t="s">
        <v>2662</v>
      </c>
      <c r="Q195" s="159" t="s">
        <v>2840</v>
      </c>
      <c r="R195" s="159" t="s">
        <v>2863</v>
      </c>
      <c r="S195" s="159"/>
      <c r="T195" s="159"/>
      <c r="U195" s="158"/>
      <c r="V195" s="158"/>
      <c r="W195" s="159"/>
      <c r="X195" s="159"/>
      <c r="Y195" s="159"/>
      <c r="Z195" s="159"/>
      <c r="AA195" s="159"/>
      <c r="AB195" s="167">
        <v>44348</v>
      </c>
      <c r="AC195" s="159" t="s">
        <v>45</v>
      </c>
      <c r="AD195" s="158"/>
      <c r="AE195" s="159"/>
      <c r="AF195" s="159"/>
      <c r="AG195" s="159"/>
      <c r="AH195" s="159"/>
      <c r="AI195" s="159"/>
      <c r="AJ195" s="159"/>
      <c r="AK195" s="159" t="s">
        <v>2600</v>
      </c>
      <c r="AL195" s="159"/>
      <c r="AM195" s="159"/>
      <c r="AN195" s="185" t="s">
        <v>275</v>
      </c>
      <c r="AO195" s="172" t="s">
        <v>78</v>
      </c>
      <c r="AP195" s="172"/>
      <c r="AQ195" s="172"/>
      <c r="AR195" s="178" t="s">
        <v>2618</v>
      </c>
      <c r="AS195" s="178" t="s">
        <v>2618</v>
      </c>
      <c r="BD195" s="156"/>
      <c r="BF195" s="159"/>
      <c r="BG195" s="159" t="s">
        <v>45</v>
      </c>
      <c r="BH195" s="159" t="s">
        <v>32</v>
      </c>
      <c r="BI195" s="159" t="s">
        <v>41</v>
      </c>
      <c r="BJ195" s="156">
        <v>3</v>
      </c>
      <c r="BK195" s="156"/>
      <c r="BL195" s="156"/>
    </row>
    <row r="196" spans="1:70">
      <c r="A196" s="184" t="str">
        <f t="shared" si="2"/>
        <v>22106192</v>
      </c>
      <c r="B196" s="189" t="s">
        <v>652</v>
      </c>
      <c r="C196" s="158" t="s">
        <v>3042</v>
      </c>
      <c r="D196" s="159" t="s">
        <v>651</v>
      </c>
      <c r="E196" s="159"/>
      <c r="F196" s="158" t="s">
        <v>654</v>
      </c>
      <c r="G196" s="167">
        <v>34624</v>
      </c>
      <c r="H196" s="167"/>
      <c r="I196" s="159" t="s">
        <v>2569</v>
      </c>
      <c r="J196" s="159" t="s">
        <v>2619</v>
      </c>
      <c r="K196" s="159" t="s">
        <v>35</v>
      </c>
      <c r="L196" s="159" t="s">
        <v>653</v>
      </c>
      <c r="M196" s="158" t="s">
        <v>2624</v>
      </c>
      <c r="N196" s="158" t="s">
        <v>2630</v>
      </c>
      <c r="O196" s="159" t="s">
        <v>2722</v>
      </c>
      <c r="P196" s="159" t="s">
        <v>2812</v>
      </c>
      <c r="Q196" s="159" t="s">
        <v>2842</v>
      </c>
      <c r="R196" s="159" t="s">
        <v>2863</v>
      </c>
      <c r="S196" s="159"/>
      <c r="T196" s="159"/>
      <c r="U196" s="158"/>
      <c r="V196" s="158"/>
      <c r="W196" s="159"/>
      <c r="X196" s="159"/>
      <c r="Y196" s="159"/>
      <c r="Z196" s="159"/>
      <c r="AA196" s="159"/>
      <c r="AB196" s="167">
        <v>44348</v>
      </c>
      <c r="AC196" s="159" t="s">
        <v>45</v>
      </c>
      <c r="AD196" s="158"/>
      <c r="AE196" s="159"/>
      <c r="AF196" s="159"/>
      <c r="AG196" s="159"/>
      <c r="AH196" s="159"/>
      <c r="AI196" s="159"/>
      <c r="AJ196" s="159"/>
      <c r="AK196" s="159" t="s">
        <v>2600</v>
      </c>
      <c r="AL196" s="159"/>
      <c r="AM196" s="159"/>
      <c r="AN196" s="159" t="s">
        <v>553</v>
      </c>
      <c r="AO196" s="172" t="s">
        <v>564</v>
      </c>
      <c r="AP196" s="172"/>
      <c r="AQ196" s="172"/>
      <c r="AR196" s="178" t="s">
        <v>2618</v>
      </c>
      <c r="AS196" s="178" t="s">
        <v>2618</v>
      </c>
      <c r="BD196" s="156" t="s">
        <v>557</v>
      </c>
      <c r="BE196" s="156" t="s">
        <v>557</v>
      </c>
      <c r="BF196" s="159"/>
      <c r="BG196" s="159" t="s">
        <v>45</v>
      </c>
      <c r="BH196" s="159" t="s">
        <v>72</v>
      </c>
      <c r="BI196" s="159" t="s">
        <v>41</v>
      </c>
      <c r="BJ196" s="156">
        <v>1</v>
      </c>
      <c r="BK196" s="156"/>
      <c r="BL196" s="156"/>
    </row>
    <row r="197" spans="1:70">
      <c r="A197" s="184" t="str">
        <f t="shared" si="2"/>
        <v>32106193</v>
      </c>
      <c r="B197" s="195"/>
      <c r="C197" s="158" t="s">
        <v>3043</v>
      </c>
      <c r="D197" s="159" t="s">
        <v>778</v>
      </c>
      <c r="E197" s="159"/>
      <c r="F197" s="195"/>
      <c r="G197" s="167">
        <v>35908</v>
      </c>
      <c r="H197" s="167"/>
      <c r="I197" s="159" t="s">
        <v>2570</v>
      </c>
      <c r="J197" s="159" t="s">
        <v>2619</v>
      </c>
      <c r="K197" s="159"/>
      <c r="L197" s="159" t="s">
        <v>779</v>
      </c>
      <c r="M197" s="158" t="s">
        <v>2626</v>
      </c>
      <c r="N197" s="158" t="s">
        <v>2621</v>
      </c>
      <c r="O197" s="159" t="s">
        <v>2723</v>
      </c>
      <c r="P197" s="159" t="s">
        <v>2732</v>
      </c>
      <c r="Q197" s="159" t="s">
        <v>2840</v>
      </c>
      <c r="R197" s="159" t="s">
        <v>2863</v>
      </c>
      <c r="S197" s="159"/>
      <c r="T197" s="159"/>
      <c r="U197" s="158"/>
      <c r="V197" s="158"/>
      <c r="W197" s="159"/>
      <c r="X197" s="159"/>
      <c r="Y197" s="159"/>
      <c r="Z197" s="159"/>
      <c r="AA197" s="159"/>
      <c r="AB197" s="167">
        <v>44365</v>
      </c>
      <c r="AC197" s="159" t="s">
        <v>71</v>
      </c>
      <c r="AD197" s="158"/>
      <c r="AE197" s="159"/>
      <c r="AF197" s="159"/>
      <c r="AG197" s="159"/>
      <c r="AH197" s="159"/>
      <c r="AI197" s="159"/>
      <c r="AJ197" s="159"/>
      <c r="AK197" s="159" t="s">
        <v>2600</v>
      </c>
      <c r="AL197" s="159"/>
      <c r="AM197" s="159"/>
      <c r="AN197" s="185" t="s">
        <v>684</v>
      </c>
      <c r="AO197" s="172" t="s">
        <v>54</v>
      </c>
      <c r="AP197" s="172"/>
      <c r="AQ197" s="172"/>
      <c r="AR197" s="178" t="s">
        <v>2618</v>
      </c>
      <c r="AS197" s="178" t="s">
        <v>2618</v>
      </c>
      <c r="BD197" s="185" t="s">
        <v>684</v>
      </c>
      <c r="BF197" s="185"/>
      <c r="BG197" s="159" t="s">
        <v>71</v>
      </c>
      <c r="BH197" s="159" t="s">
        <v>72</v>
      </c>
      <c r="BI197" s="159" t="s">
        <v>41</v>
      </c>
      <c r="BJ197" s="156">
        <v>3</v>
      </c>
      <c r="BK197" s="156" t="s">
        <v>2237</v>
      </c>
      <c r="BL197" s="156"/>
    </row>
    <row r="198" spans="1:70">
      <c r="A198" s="184" t="str">
        <f t="shared" ref="A198:A261" si="3">IF(AC198="Tetap","1",IF(AC198="Kontrak","2",IF(AC198="Harian Lepas","3",IF(AC198="Borongan","4"))))&amp;TEXT(AB198,"YY")&amp;TEXT(AB198,"MM")&amp;TEXT(C198,"00")</f>
        <v>32110194</v>
      </c>
      <c r="B198" s="158" t="s">
        <v>2565</v>
      </c>
      <c r="C198" s="158" t="s">
        <v>3044</v>
      </c>
      <c r="D198" s="159" t="s">
        <v>994</v>
      </c>
      <c r="E198" s="159"/>
      <c r="F198" s="158" t="s">
        <v>997</v>
      </c>
      <c r="G198" s="167">
        <v>36619</v>
      </c>
      <c r="H198" s="167"/>
      <c r="I198" s="159" t="s">
        <v>2569</v>
      </c>
      <c r="J198" s="159" t="s">
        <v>2619</v>
      </c>
      <c r="K198" s="159" t="s">
        <v>165</v>
      </c>
      <c r="L198" s="159" t="s">
        <v>996</v>
      </c>
      <c r="M198" s="158" t="s">
        <v>2628</v>
      </c>
      <c r="N198" s="158" t="s">
        <v>2638</v>
      </c>
      <c r="O198" s="159" t="s">
        <v>2724</v>
      </c>
      <c r="P198" s="159" t="s">
        <v>2813</v>
      </c>
      <c r="Q198" s="159" t="s">
        <v>2840</v>
      </c>
      <c r="R198" s="159" t="s">
        <v>2863</v>
      </c>
      <c r="S198" s="159"/>
      <c r="T198" s="159"/>
      <c r="U198" s="158"/>
      <c r="V198" s="158"/>
      <c r="W198" s="159"/>
      <c r="X198" s="159"/>
      <c r="Y198" s="159"/>
      <c r="Z198" s="159"/>
      <c r="AA198" s="159"/>
      <c r="AB198" s="167">
        <v>44470</v>
      </c>
      <c r="AC198" s="159" t="s">
        <v>71</v>
      </c>
      <c r="AD198" s="158"/>
      <c r="AE198" s="159"/>
      <c r="AF198" s="159"/>
      <c r="AG198" s="159"/>
      <c r="AH198" s="159"/>
      <c r="AI198" s="159"/>
      <c r="AJ198" s="159"/>
      <c r="AK198" s="159" t="s">
        <v>2600</v>
      </c>
      <c r="AL198" s="159"/>
      <c r="AM198" s="159"/>
      <c r="AN198" s="159" t="s">
        <v>786</v>
      </c>
      <c r="AO198" s="172" t="s">
        <v>78</v>
      </c>
      <c r="AP198" s="172"/>
      <c r="AQ198" s="172"/>
      <c r="AR198" s="178" t="s">
        <v>2618</v>
      </c>
      <c r="AS198" s="178" t="s">
        <v>2618</v>
      </c>
      <c r="BD198" s="185" t="s">
        <v>787</v>
      </c>
      <c r="BE198" s="156" t="s">
        <v>987</v>
      </c>
      <c r="BF198" s="159" t="s">
        <v>833</v>
      </c>
      <c r="BG198" s="159" t="s">
        <v>71</v>
      </c>
      <c r="BH198" s="159" t="s">
        <v>32</v>
      </c>
      <c r="BI198" s="159" t="s">
        <v>41</v>
      </c>
      <c r="BJ198" s="156">
        <v>1</v>
      </c>
      <c r="BK198" s="156"/>
      <c r="BL198" s="156"/>
    </row>
    <row r="199" spans="1:70">
      <c r="A199" s="184" t="str">
        <f t="shared" si="3"/>
        <v>22111195</v>
      </c>
      <c r="B199" s="164"/>
      <c r="C199" s="158" t="s">
        <v>3045</v>
      </c>
      <c r="D199" s="156" t="s">
        <v>2301</v>
      </c>
      <c r="E199" s="156"/>
      <c r="F199" s="164"/>
      <c r="G199" s="170"/>
      <c r="H199" s="170"/>
      <c r="I199" s="159" t="s">
        <v>2570</v>
      </c>
      <c r="J199" s="159" t="s">
        <v>2620</v>
      </c>
      <c r="K199" s="159" t="s">
        <v>2372</v>
      </c>
      <c r="L199" s="159"/>
      <c r="M199" s="158"/>
      <c r="N199" s="158"/>
      <c r="O199" s="159"/>
      <c r="P199" s="159"/>
      <c r="Q199" s="159" t="s">
        <v>2840</v>
      </c>
      <c r="R199" s="159" t="s">
        <v>2863</v>
      </c>
      <c r="S199" s="159"/>
      <c r="T199" s="159"/>
      <c r="U199" s="158"/>
      <c r="V199" s="158"/>
      <c r="W199" s="159"/>
      <c r="X199" s="159"/>
      <c r="Y199" s="159"/>
      <c r="Z199" s="159"/>
      <c r="AA199" s="159"/>
      <c r="AB199" s="170">
        <v>44508</v>
      </c>
      <c r="AC199" s="159" t="s">
        <v>45</v>
      </c>
      <c r="AD199" s="158"/>
      <c r="AE199" s="159"/>
      <c r="AF199" s="159"/>
      <c r="AG199" s="159"/>
      <c r="AH199" s="159"/>
      <c r="AI199" s="159"/>
      <c r="AJ199" s="159"/>
      <c r="AK199" s="159" t="s">
        <v>2600</v>
      </c>
      <c r="AL199" s="159"/>
      <c r="AM199" s="159"/>
      <c r="AN199" s="156"/>
      <c r="AO199" s="162" t="s">
        <v>2302</v>
      </c>
      <c r="AR199" s="178" t="s">
        <v>2618</v>
      </c>
      <c r="AS199" s="178" t="s">
        <v>2618</v>
      </c>
      <c r="BD199" s="156"/>
      <c r="BF199" s="156"/>
      <c r="BG199" s="159" t="s">
        <v>45</v>
      </c>
      <c r="BH199" s="156" t="s">
        <v>72</v>
      </c>
      <c r="BI199" s="159" t="s">
        <v>41</v>
      </c>
      <c r="BJ199" s="156">
        <v>2</v>
      </c>
      <c r="BK199" s="156"/>
    </row>
    <row r="200" spans="1:70">
      <c r="A200" s="184" t="str">
        <f t="shared" si="3"/>
        <v>22112196</v>
      </c>
      <c r="B200" s="164"/>
      <c r="C200" s="158" t="s">
        <v>3046</v>
      </c>
      <c r="D200" s="156" t="s">
        <v>2288</v>
      </c>
      <c r="E200" s="156"/>
      <c r="F200" s="164"/>
      <c r="G200" s="170"/>
      <c r="H200" s="170"/>
      <c r="I200" s="159" t="s">
        <v>2570</v>
      </c>
      <c r="J200" s="159" t="s">
        <v>2619</v>
      </c>
      <c r="K200" s="159"/>
      <c r="L200" s="159"/>
      <c r="M200" s="158"/>
      <c r="N200" s="158"/>
      <c r="O200" s="159"/>
      <c r="P200" s="159"/>
      <c r="Q200" s="159" t="s">
        <v>2840</v>
      </c>
      <c r="R200" s="159" t="s">
        <v>2863</v>
      </c>
      <c r="S200" s="159"/>
      <c r="T200" s="159"/>
      <c r="U200" s="158"/>
      <c r="V200" s="158"/>
      <c r="W200" s="159"/>
      <c r="X200" s="159"/>
      <c r="Y200" s="159"/>
      <c r="Z200" s="159"/>
      <c r="AA200" s="159"/>
      <c r="AB200" s="170">
        <v>44543</v>
      </c>
      <c r="AC200" s="159" t="s">
        <v>45</v>
      </c>
      <c r="AD200" s="158"/>
      <c r="AE200" s="159"/>
      <c r="AF200" s="159"/>
      <c r="AG200" s="159"/>
      <c r="AH200" s="159"/>
      <c r="AI200" s="159"/>
      <c r="AJ200" s="159"/>
      <c r="AK200" s="159" t="s">
        <v>2600</v>
      </c>
      <c r="AL200" s="159"/>
      <c r="AM200" s="159"/>
      <c r="AN200" s="156" t="s">
        <v>543</v>
      </c>
      <c r="AO200" s="162" t="s">
        <v>54</v>
      </c>
      <c r="AR200" s="178" t="s">
        <v>2618</v>
      </c>
      <c r="AS200" s="178" t="s">
        <v>2618</v>
      </c>
      <c r="BD200" s="156" t="s">
        <v>2300</v>
      </c>
      <c r="BF200" s="156"/>
      <c r="BG200" s="159" t="s">
        <v>45</v>
      </c>
      <c r="BH200" s="156"/>
      <c r="BI200" s="159" t="s">
        <v>41</v>
      </c>
      <c r="BJ200" s="156">
        <v>2</v>
      </c>
      <c r="BK200" s="156"/>
      <c r="BL200" s="156"/>
    </row>
    <row r="201" spans="1:70">
      <c r="A201" s="184" t="str">
        <f t="shared" si="3"/>
        <v>22203197</v>
      </c>
      <c r="B201" s="158"/>
      <c r="C201" s="158" t="s">
        <v>3047</v>
      </c>
      <c r="D201" s="159" t="s">
        <v>692</v>
      </c>
      <c r="E201" s="159"/>
      <c r="F201" s="158"/>
      <c r="G201" s="167">
        <v>34923</v>
      </c>
      <c r="H201" s="167"/>
      <c r="I201" s="159" t="s">
        <v>2569</v>
      </c>
      <c r="J201" s="159" t="s">
        <v>2619</v>
      </c>
      <c r="K201" s="159" t="s">
        <v>302</v>
      </c>
      <c r="L201" s="159" t="s">
        <v>693</v>
      </c>
      <c r="M201" s="158"/>
      <c r="N201" s="158"/>
      <c r="O201" s="159"/>
      <c r="P201" s="159"/>
      <c r="Q201" s="159" t="s">
        <v>2840</v>
      </c>
      <c r="R201" s="159" t="s">
        <v>2863</v>
      </c>
      <c r="S201" s="159"/>
      <c r="T201" s="159"/>
      <c r="U201" s="158"/>
      <c r="V201" s="158"/>
      <c r="W201" s="159"/>
      <c r="X201" s="159"/>
      <c r="Y201" s="159"/>
      <c r="Z201" s="159"/>
      <c r="AA201" s="159"/>
      <c r="AB201" s="167">
        <v>44643</v>
      </c>
      <c r="AC201" s="159" t="s">
        <v>45</v>
      </c>
      <c r="AD201" s="158"/>
      <c r="AE201" s="159"/>
      <c r="AF201" s="159"/>
      <c r="AG201" s="159"/>
      <c r="AH201" s="159"/>
      <c r="AI201" s="159"/>
      <c r="AJ201" s="159"/>
      <c r="AK201" s="159" t="s">
        <v>2600</v>
      </c>
      <c r="AL201" s="159"/>
      <c r="AM201" s="159"/>
      <c r="AN201" s="159" t="s">
        <v>684</v>
      </c>
      <c r="AO201" s="172" t="s">
        <v>54</v>
      </c>
      <c r="AP201" s="172"/>
      <c r="AQ201" s="172"/>
      <c r="AR201" s="178" t="s">
        <v>2618</v>
      </c>
      <c r="AS201" s="178" t="s">
        <v>2618</v>
      </c>
      <c r="BD201" s="159" t="s">
        <v>689</v>
      </c>
      <c r="BF201" s="159"/>
      <c r="BG201" s="159" t="s">
        <v>45</v>
      </c>
      <c r="BH201" s="159" t="s">
        <v>72</v>
      </c>
      <c r="BI201" s="159" t="s">
        <v>41</v>
      </c>
      <c r="BJ201" s="156">
        <v>3</v>
      </c>
      <c r="BK201" s="156"/>
      <c r="BL201" s="156"/>
    </row>
    <row r="202" spans="1:70">
      <c r="A202" s="184" t="str">
        <f t="shared" si="3"/>
        <v>42206198</v>
      </c>
      <c r="B202" s="158" t="s">
        <v>1319</v>
      </c>
      <c r="C202" s="158" t="s">
        <v>3048</v>
      </c>
      <c r="D202" s="159" t="s">
        <v>1318</v>
      </c>
      <c r="E202" s="159"/>
      <c r="F202" s="158" t="s">
        <v>1321</v>
      </c>
      <c r="G202" s="167">
        <v>31031</v>
      </c>
      <c r="H202" s="167"/>
      <c r="I202" s="159" t="s">
        <v>2569</v>
      </c>
      <c r="J202" s="159" t="s">
        <v>2619</v>
      </c>
      <c r="K202" s="159" t="s">
        <v>35</v>
      </c>
      <c r="L202" s="159" t="s">
        <v>1320</v>
      </c>
      <c r="M202" s="158" t="s">
        <v>2626</v>
      </c>
      <c r="N202" s="158" t="s">
        <v>2623</v>
      </c>
      <c r="O202" s="159" t="s">
        <v>2725</v>
      </c>
      <c r="P202" s="159" t="s">
        <v>2662</v>
      </c>
      <c r="Q202" s="159" t="s">
        <v>2840</v>
      </c>
      <c r="R202" s="159" t="s">
        <v>2863</v>
      </c>
      <c r="S202" s="159"/>
      <c r="T202" s="159"/>
      <c r="U202" s="158"/>
      <c r="V202" s="158"/>
      <c r="W202" s="159"/>
      <c r="X202" s="159"/>
      <c r="Y202" s="159"/>
      <c r="Z202" s="159"/>
      <c r="AA202" s="159"/>
      <c r="AB202" s="167">
        <v>44713</v>
      </c>
      <c r="AC202" s="159" t="s">
        <v>129</v>
      </c>
      <c r="AD202" s="158"/>
      <c r="AE202" s="159"/>
      <c r="AF202" s="159"/>
      <c r="AG202" s="159"/>
      <c r="AH202" s="159"/>
      <c r="AI202" s="159"/>
      <c r="AJ202" s="159"/>
      <c r="AK202" s="159" t="s">
        <v>2600</v>
      </c>
      <c r="AL202" s="159"/>
      <c r="AM202" s="159"/>
      <c r="AN202" s="159" t="s">
        <v>786</v>
      </c>
      <c r="AO202" s="172" t="s">
        <v>115</v>
      </c>
      <c r="AP202" s="172"/>
      <c r="AQ202" s="172"/>
      <c r="AR202" s="178" t="s">
        <v>2618</v>
      </c>
      <c r="AS202" s="178" t="s">
        <v>2618</v>
      </c>
      <c r="BD202" s="185" t="s">
        <v>1002</v>
      </c>
      <c r="BE202" s="156" t="s">
        <v>1075</v>
      </c>
      <c r="BF202" s="185" t="s">
        <v>1042</v>
      </c>
      <c r="BG202" s="159" t="s">
        <v>129</v>
      </c>
      <c r="BH202" s="159" t="s">
        <v>32</v>
      </c>
      <c r="BI202" s="159" t="s">
        <v>41</v>
      </c>
      <c r="BJ202" s="156">
        <v>1</v>
      </c>
      <c r="BK202" s="156"/>
      <c r="BL202" s="156"/>
    </row>
    <row r="203" spans="1:70">
      <c r="A203" s="184" t="str">
        <f t="shared" si="3"/>
        <v>32206199</v>
      </c>
      <c r="B203" s="158"/>
      <c r="C203" s="158" t="s">
        <v>3049</v>
      </c>
      <c r="D203" s="159" t="s">
        <v>378</v>
      </c>
      <c r="E203" s="159"/>
      <c r="F203" s="158"/>
      <c r="G203" s="167"/>
      <c r="H203" s="167"/>
      <c r="I203" s="159" t="s">
        <v>2569</v>
      </c>
      <c r="J203" s="159" t="s">
        <v>2619</v>
      </c>
      <c r="K203" s="159"/>
      <c r="L203" s="159"/>
      <c r="M203" s="158"/>
      <c r="N203" s="158"/>
      <c r="O203" s="159"/>
      <c r="P203" s="159"/>
      <c r="Q203" s="159" t="s">
        <v>2840</v>
      </c>
      <c r="R203" s="159" t="s">
        <v>2863</v>
      </c>
      <c r="S203" s="159"/>
      <c r="T203" s="159"/>
      <c r="U203" s="158"/>
      <c r="V203" s="158"/>
      <c r="W203" s="159"/>
      <c r="X203" s="159"/>
      <c r="Y203" s="159"/>
      <c r="Z203" s="159"/>
      <c r="AA203" s="159"/>
      <c r="AB203" s="167">
        <v>44725</v>
      </c>
      <c r="AC203" s="159" t="s">
        <v>71</v>
      </c>
      <c r="AD203" s="158"/>
      <c r="AE203" s="159"/>
      <c r="AF203" s="159"/>
      <c r="AG203" s="159"/>
      <c r="AH203" s="159"/>
      <c r="AI203" s="159"/>
      <c r="AJ203" s="159"/>
      <c r="AK203" s="159" t="s">
        <v>2600</v>
      </c>
      <c r="AL203" s="159"/>
      <c r="AM203" s="159"/>
      <c r="AN203" s="185" t="s">
        <v>298</v>
      </c>
      <c r="AO203" s="172" t="s">
        <v>78</v>
      </c>
      <c r="AP203" s="172"/>
      <c r="AQ203" s="172"/>
      <c r="AR203" s="178" t="s">
        <v>2618</v>
      </c>
      <c r="AS203" s="178" t="s">
        <v>2618</v>
      </c>
      <c r="BD203" s="156"/>
      <c r="BF203" s="159"/>
      <c r="BG203" s="159" t="s">
        <v>71</v>
      </c>
      <c r="BH203" s="159"/>
      <c r="BI203" s="159" t="s">
        <v>41</v>
      </c>
      <c r="BJ203" s="156">
        <v>1</v>
      </c>
      <c r="BK203" s="156"/>
      <c r="BL203" s="156"/>
    </row>
    <row r="204" spans="1:70" s="165" customFormat="1">
      <c r="A204" s="184" t="str">
        <f t="shared" si="3"/>
        <v>22206200</v>
      </c>
      <c r="B204" s="164"/>
      <c r="C204" s="158" t="s">
        <v>3050</v>
      </c>
      <c r="D204" s="156" t="s">
        <v>2295</v>
      </c>
      <c r="E204" s="156"/>
      <c r="F204" s="164"/>
      <c r="G204" s="170"/>
      <c r="H204" s="170"/>
      <c r="I204" s="159" t="s">
        <v>2570</v>
      </c>
      <c r="J204" s="159" t="s">
        <v>2619</v>
      </c>
      <c r="K204" s="159" t="s">
        <v>302</v>
      </c>
      <c r="L204" s="159"/>
      <c r="M204" s="158"/>
      <c r="N204" s="158"/>
      <c r="O204" s="159"/>
      <c r="P204" s="159"/>
      <c r="Q204" s="159" t="s">
        <v>2840</v>
      </c>
      <c r="R204" s="159" t="s">
        <v>2863</v>
      </c>
      <c r="S204" s="159"/>
      <c r="T204" s="159"/>
      <c r="U204" s="158"/>
      <c r="V204" s="158"/>
      <c r="W204" s="159"/>
      <c r="X204" s="159"/>
      <c r="Y204" s="159"/>
      <c r="Z204" s="159"/>
      <c r="AA204" s="159"/>
      <c r="AB204" s="170">
        <v>44725</v>
      </c>
      <c r="AC204" s="159" t="s">
        <v>45</v>
      </c>
      <c r="AD204" s="158"/>
      <c r="AE204" s="159"/>
      <c r="AF204" s="159"/>
      <c r="AG204" s="159"/>
      <c r="AH204" s="159"/>
      <c r="AI204" s="159"/>
      <c r="AJ204" s="159"/>
      <c r="AK204" s="159" t="s">
        <v>2600</v>
      </c>
      <c r="AL204" s="159"/>
      <c r="AM204" s="159"/>
      <c r="AN204" s="156" t="s">
        <v>543</v>
      </c>
      <c r="AO204" s="162" t="s">
        <v>54</v>
      </c>
      <c r="AP204" s="162"/>
      <c r="AQ204" s="162"/>
      <c r="AR204" s="178" t="s">
        <v>2618</v>
      </c>
      <c r="AS204" s="178" t="s">
        <v>2618</v>
      </c>
      <c r="AT204" s="178"/>
      <c r="AU204" s="159"/>
      <c r="AV204" s="159"/>
      <c r="AW204" s="159"/>
      <c r="AX204" s="159"/>
      <c r="AY204" s="159"/>
      <c r="AZ204" s="159"/>
      <c r="BA204" s="159"/>
      <c r="BB204" s="159"/>
      <c r="BC204" s="159"/>
      <c r="BD204" s="156" t="s">
        <v>2300</v>
      </c>
      <c r="BE204" s="156"/>
      <c r="BF204" s="156"/>
      <c r="BG204" s="159" t="s">
        <v>45</v>
      </c>
      <c r="BH204" s="156"/>
      <c r="BI204" s="159" t="s">
        <v>41</v>
      </c>
      <c r="BJ204" s="156">
        <v>2</v>
      </c>
      <c r="BK204" s="156"/>
      <c r="BL204" s="156"/>
      <c r="BM204" s="162"/>
      <c r="BN204" s="162"/>
      <c r="BO204" s="162"/>
      <c r="BP204" s="162"/>
      <c r="BQ204" s="162"/>
      <c r="BR204" s="162"/>
    </row>
    <row r="205" spans="1:70" s="165" customFormat="1">
      <c r="A205" s="184" t="str">
        <f t="shared" si="3"/>
        <v>42206201</v>
      </c>
      <c r="B205" s="158" t="s">
        <v>1796</v>
      </c>
      <c r="C205" s="158" t="s">
        <v>3051</v>
      </c>
      <c r="D205" s="159" t="s">
        <v>1795</v>
      </c>
      <c r="E205" s="159"/>
      <c r="F205" s="158" t="s">
        <v>1797</v>
      </c>
      <c r="G205" s="167">
        <v>37222</v>
      </c>
      <c r="H205" s="167"/>
      <c r="I205" s="159" t="s">
        <v>2570</v>
      </c>
      <c r="J205" s="159" t="s">
        <v>2619</v>
      </c>
      <c r="K205" s="159" t="s">
        <v>165</v>
      </c>
      <c r="L205" s="159" t="s">
        <v>74</v>
      </c>
      <c r="M205" s="158" t="s">
        <v>2623</v>
      </c>
      <c r="N205" s="158" t="s">
        <v>2625</v>
      </c>
      <c r="O205" s="159" t="s">
        <v>2659</v>
      </c>
      <c r="P205" s="159" t="s">
        <v>2659</v>
      </c>
      <c r="Q205" s="159" t="s">
        <v>2840</v>
      </c>
      <c r="R205" s="159" t="s">
        <v>2863</v>
      </c>
      <c r="S205" s="159"/>
      <c r="T205" s="159"/>
      <c r="U205" s="158"/>
      <c r="V205" s="158"/>
      <c r="W205" s="159"/>
      <c r="X205" s="159"/>
      <c r="Y205" s="159"/>
      <c r="Z205" s="159"/>
      <c r="AA205" s="159"/>
      <c r="AB205" s="167">
        <v>44735</v>
      </c>
      <c r="AC205" s="159" t="s">
        <v>129</v>
      </c>
      <c r="AD205" s="158"/>
      <c r="AE205" s="159"/>
      <c r="AF205" s="159"/>
      <c r="AG205" s="159"/>
      <c r="AH205" s="159"/>
      <c r="AI205" s="159"/>
      <c r="AJ205" s="159"/>
      <c r="AK205" s="159" t="s">
        <v>2600</v>
      </c>
      <c r="AL205" s="159"/>
      <c r="AM205" s="159"/>
      <c r="AN205" s="159" t="s">
        <v>786</v>
      </c>
      <c r="AO205" s="172" t="s">
        <v>115</v>
      </c>
      <c r="AP205" s="172"/>
      <c r="AQ205" s="172"/>
      <c r="AR205" s="178" t="s">
        <v>2618</v>
      </c>
      <c r="AS205" s="178" t="s">
        <v>2618</v>
      </c>
      <c r="AT205" s="178"/>
      <c r="AU205" s="159"/>
      <c r="AV205" s="159"/>
      <c r="AW205" s="159"/>
      <c r="AX205" s="159"/>
      <c r="AY205" s="159"/>
      <c r="AZ205" s="159"/>
      <c r="BA205" s="159"/>
      <c r="BB205" s="159"/>
      <c r="BC205" s="159"/>
      <c r="BD205" s="185" t="s">
        <v>1442</v>
      </c>
      <c r="BE205" s="156" t="s">
        <v>1758</v>
      </c>
      <c r="BF205" s="159" t="s">
        <v>1482</v>
      </c>
      <c r="BG205" s="159" t="s">
        <v>129</v>
      </c>
      <c r="BH205" s="159" t="s">
        <v>46</v>
      </c>
      <c r="BI205" s="159" t="s">
        <v>41</v>
      </c>
      <c r="BJ205" s="156">
        <v>1</v>
      </c>
      <c r="BK205" s="156"/>
      <c r="BL205" s="156"/>
      <c r="BM205" s="162"/>
      <c r="BN205" s="162"/>
      <c r="BO205" s="162"/>
      <c r="BP205" s="162"/>
      <c r="BQ205" s="162"/>
      <c r="BR205" s="162"/>
    </row>
    <row r="206" spans="1:70">
      <c r="A206" s="184" t="str">
        <f t="shared" si="3"/>
        <v>32206202</v>
      </c>
      <c r="B206" s="158" t="s">
        <v>2130</v>
      </c>
      <c r="C206" s="158" t="s">
        <v>3052</v>
      </c>
      <c r="D206" s="159" t="s">
        <v>2129</v>
      </c>
      <c r="E206" s="159"/>
      <c r="F206" s="158"/>
      <c r="G206" s="167">
        <v>38087</v>
      </c>
      <c r="H206" s="167"/>
      <c r="I206" s="159" t="s">
        <v>2570</v>
      </c>
      <c r="J206" s="159" t="s">
        <v>2619</v>
      </c>
      <c r="K206" s="159" t="s">
        <v>35</v>
      </c>
      <c r="L206" s="159" t="s">
        <v>177</v>
      </c>
      <c r="M206" s="158" t="s">
        <v>2625</v>
      </c>
      <c r="N206" s="158" t="s">
        <v>2625</v>
      </c>
      <c r="O206" s="159" t="s">
        <v>2659</v>
      </c>
      <c r="P206" s="159" t="s">
        <v>2659</v>
      </c>
      <c r="Q206" s="159" t="s">
        <v>2840</v>
      </c>
      <c r="R206" s="159" t="s">
        <v>2863</v>
      </c>
      <c r="S206" s="159"/>
      <c r="T206" s="159"/>
      <c r="U206" s="158"/>
      <c r="V206" s="158"/>
      <c r="W206" s="159"/>
      <c r="X206" s="159"/>
      <c r="Y206" s="159"/>
      <c r="Z206" s="159"/>
      <c r="AA206" s="159"/>
      <c r="AB206" s="167">
        <v>44739</v>
      </c>
      <c r="AC206" s="159" t="s">
        <v>71</v>
      </c>
      <c r="AD206" s="158"/>
      <c r="AE206" s="159"/>
      <c r="AF206" s="159"/>
      <c r="AG206" s="159"/>
      <c r="AH206" s="159"/>
      <c r="AI206" s="159"/>
      <c r="AJ206" s="159"/>
      <c r="AK206" s="159" t="s">
        <v>2600</v>
      </c>
      <c r="AL206" s="159"/>
      <c r="AM206" s="159"/>
      <c r="AN206" s="185" t="s">
        <v>2065</v>
      </c>
      <c r="AO206" s="162" t="s">
        <v>2104</v>
      </c>
      <c r="AR206" s="178" t="s">
        <v>2618</v>
      </c>
      <c r="AS206" s="178" t="s">
        <v>2618</v>
      </c>
      <c r="BD206" s="159"/>
      <c r="BE206" s="159" t="s">
        <v>2468</v>
      </c>
      <c r="BF206" s="159"/>
      <c r="BG206" s="159" t="s">
        <v>71</v>
      </c>
      <c r="BH206" s="159" t="s">
        <v>46</v>
      </c>
      <c r="BI206" s="159" t="s">
        <v>41</v>
      </c>
      <c r="BJ206" s="156">
        <v>1</v>
      </c>
      <c r="BK206" s="156"/>
      <c r="BL206" s="156"/>
    </row>
    <row r="207" spans="1:70">
      <c r="A207" s="184" t="str">
        <f t="shared" si="3"/>
        <v>22207203</v>
      </c>
      <c r="B207" s="164"/>
      <c r="C207" s="158" t="s">
        <v>3053</v>
      </c>
      <c r="D207" s="156" t="s">
        <v>2296</v>
      </c>
      <c r="E207" s="156"/>
      <c r="F207" s="164"/>
      <c r="G207" s="170"/>
      <c r="H207" s="170"/>
      <c r="I207" s="159" t="s">
        <v>2570</v>
      </c>
      <c r="J207" s="159" t="s">
        <v>2619</v>
      </c>
      <c r="K207" s="159" t="s">
        <v>2372</v>
      </c>
      <c r="L207" s="159"/>
      <c r="M207" s="158"/>
      <c r="N207" s="158"/>
      <c r="O207" s="159"/>
      <c r="P207" s="159"/>
      <c r="Q207" s="159" t="s">
        <v>2840</v>
      </c>
      <c r="R207" s="159" t="s">
        <v>2863</v>
      </c>
      <c r="S207" s="159"/>
      <c r="T207" s="159"/>
      <c r="U207" s="158"/>
      <c r="V207" s="158"/>
      <c r="W207" s="159"/>
      <c r="X207" s="159"/>
      <c r="Y207" s="159"/>
      <c r="Z207" s="159"/>
      <c r="AA207" s="159"/>
      <c r="AB207" s="170">
        <v>44743</v>
      </c>
      <c r="AC207" s="159" t="s">
        <v>45</v>
      </c>
      <c r="AD207" s="158"/>
      <c r="AE207" s="159"/>
      <c r="AF207" s="159"/>
      <c r="AG207" s="159"/>
      <c r="AH207" s="159"/>
      <c r="AI207" s="159"/>
      <c r="AJ207" s="159"/>
      <c r="AK207" s="159" t="s">
        <v>2600</v>
      </c>
      <c r="AL207" s="159"/>
      <c r="AM207" s="159"/>
      <c r="AN207" s="156" t="s">
        <v>543</v>
      </c>
      <c r="AO207" s="162" t="s">
        <v>44</v>
      </c>
      <c r="AR207" s="178" t="s">
        <v>2618</v>
      </c>
      <c r="AS207" s="178" t="s">
        <v>2618</v>
      </c>
      <c r="BD207" s="156" t="s">
        <v>2300</v>
      </c>
      <c r="BF207" s="156"/>
      <c r="BG207" s="159" t="s">
        <v>45</v>
      </c>
      <c r="BH207" s="156"/>
      <c r="BI207" s="159" t="s">
        <v>41</v>
      </c>
      <c r="BJ207" s="156">
        <v>2</v>
      </c>
      <c r="BK207" s="156"/>
      <c r="BL207" s="156"/>
    </row>
    <row r="208" spans="1:70">
      <c r="A208" s="184" t="str">
        <f t="shared" si="3"/>
        <v>22305204</v>
      </c>
      <c r="B208" s="158"/>
      <c r="C208" s="158" t="s">
        <v>3054</v>
      </c>
      <c r="D208" s="159" t="s">
        <v>1440</v>
      </c>
      <c r="E208" s="159"/>
      <c r="F208" s="158"/>
      <c r="G208" s="167"/>
      <c r="H208" s="167"/>
      <c r="I208" s="159" t="s">
        <v>2569</v>
      </c>
      <c r="J208" s="159" t="s">
        <v>2619</v>
      </c>
      <c r="K208" s="159"/>
      <c r="L208" s="159"/>
      <c r="M208" s="158"/>
      <c r="N208" s="158"/>
      <c r="O208" s="159"/>
      <c r="P208" s="159"/>
      <c r="Q208" s="159" t="s">
        <v>2840</v>
      </c>
      <c r="R208" s="159" t="s">
        <v>2863</v>
      </c>
      <c r="S208" s="159"/>
      <c r="T208" s="159"/>
      <c r="U208" s="158"/>
      <c r="V208" s="158"/>
      <c r="W208" s="159"/>
      <c r="X208" s="159"/>
      <c r="Y208" s="159"/>
      <c r="Z208" s="159"/>
      <c r="AA208" s="159"/>
      <c r="AB208" s="167">
        <v>45062</v>
      </c>
      <c r="AC208" s="159" t="s">
        <v>45</v>
      </c>
      <c r="AD208" s="158"/>
      <c r="AE208" s="159"/>
      <c r="AF208" s="159"/>
      <c r="AG208" s="159"/>
      <c r="AH208" s="159"/>
      <c r="AI208" s="159"/>
      <c r="AJ208" s="159"/>
      <c r="AK208" s="159" t="s">
        <v>2600</v>
      </c>
      <c r="AL208" s="159"/>
      <c r="AM208" s="159"/>
      <c r="AN208" s="159" t="s">
        <v>786</v>
      </c>
      <c r="AO208" s="162" t="s">
        <v>78</v>
      </c>
      <c r="AR208" s="178" t="s">
        <v>2618</v>
      </c>
      <c r="AS208" s="178" t="s">
        <v>2618</v>
      </c>
      <c r="BD208" s="185" t="s">
        <v>1002</v>
      </c>
      <c r="BE208" s="156" t="s">
        <v>1434</v>
      </c>
      <c r="BF208" s="159"/>
      <c r="BG208" s="159" t="s">
        <v>45</v>
      </c>
      <c r="BH208" s="159"/>
      <c r="BI208" s="159" t="s">
        <v>41</v>
      </c>
      <c r="BJ208" s="156">
        <v>1</v>
      </c>
      <c r="BK208" s="156"/>
      <c r="BL208" s="156"/>
      <c r="BM208" s="186"/>
      <c r="BN208" s="186"/>
      <c r="BO208" s="186"/>
      <c r="BP208" s="186"/>
      <c r="BQ208" s="186"/>
      <c r="BR208" s="186"/>
    </row>
    <row r="209" spans="1:70">
      <c r="A209" s="184" t="str">
        <f t="shared" si="3"/>
        <v>32306205</v>
      </c>
      <c r="B209" s="158" t="s">
        <v>384</v>
      </c>
      <c r="C209" s="158" t="s">
        <v>3055</v>
      </c>
      <c r="D209" s="159" t="s">
        <v>383</v>
      </c>
      <c r="E209" s="159"/>
      <c r="F209" s="158" t="s">
        <v>386</v>
      </c>
      <c r="G209" s="167">
        <v>37265</v>
      </c>
      <c r="H209" s="167"/>
      <c r="I209" s="159" t="s">
        <v>2569</v>
      </c>
      <c r="J209" s="159" t="s">
        <v>2619</v>
      </c>
      <c r="K209" s="159" t="s">
        <v>165</v>
      </c>
      <c r="L209" s="159" t="s">
        <v>385</v>
      </c>
      <c r="M209" s="158" t="s">
        <v>2623</v>
      </c>
      <c r="N209" s="158" t="s">
        <v>2630</v>
      </c>
      <c r="O209" s="159" t="s">
        <v>2659</v>
      </c>
      <c r="P209" s="159" t="s">
        <v>2659</v>
      </c>
      <c r="Q209" s="159" t="s">
        <v>2840</v>
      </c>
      <c r="R209" s="159" t="s">
        <v>2863</v>
      </c>
      <c r="S209" s="159"/>
      <c r="T209" s="159"/>
      <c r="U209" s="158"/>
      <c r="V209" s="158"/>
      <c r="W209" s="159"/>
      <c r="X209" s="159"/>
      <c r="Y209" s="159"/>
      <c r="Z209" s="159"/>
      <c r="AA209" s="159"/>
      <c r="AB209" s="167">
        <v>45078</v>
      </c>
      <c r="AC209" s="159" t="s">
        <v>71</v>
      </c>
      <c r="AD209" s="158"/>
      <c r="AE209" s="159"/>
      <c r="AF209" s="159"/>
      <c r="AG209" s="159"/>
      <c r="AH209" s="159"/>
      <c r="AI209" s="159"/>
      <c r="AJ209" s="159"/>
      <c r="AK209" s="159" t="s">
        <v>2600</v>
      </c>
      <c r="AL209" s="159"/>
      <c r="AM209" s="159"/>
      <c r="AN209" s="185" t="s">
        <v>298</v>
      </c>
      <c r="AO209" s="172" t="s">
        <v>78</v>
      </c>
      <c r="AP209" s="172"/>
      <c r="AQ209" s="172"/>
      <c r="AR209" s="178" t="s">
        <v>2618</v>
      </c>
      <c r="AS209" s="178" t="s">
        <v>2618</v>
      </c>
      <c r="BD209" s="156"/>
      <c r="BF209" s="159"/>
      <c r="BG209" s="159" t="s">
        <v>71</v>
      </c>
      <c r="BH209" s="159" t="s">
        <v>46</v>
      </c>
      <c r="BI209" s="159" t="s">
        <v>41</v>
      </c>
      <c r="BJ209" s="156">
        <v>1</v>
      </c>
      <c r="BK209" s="156" t="s">
        <v>2235</v>
      </c>
      <c r="BL209" s="156"/>
    </row>
    <row r="210" spans="1:70">
      <c r="A210" s="184" t="str">
        <f t="shared" si="3"/>
        <v>22306206</v>
      </c>
      <c r="B210" s="158" t="s">
        <v>627</v>
      </c>
      <c r="C210" s="158" t="s">
        <v>3056</v>
      </c>
      <c r="D210" s="159" t="s">
        <v>626</v>
      </c>
      <c r="E210" s="159"/>
      <c r="F210" s="158" t="s">
        <v>629</v>
      </c>
      <c r="G210" s="167">
        <v>31287</v>
      </c>
      <c r="H210" s="167"/>
      <c r="I210" s="159" t="s">
        <v>2569</v>
      </c>
      <c r="J210" s="159" t="s">
        <v>2619</v>
      </c>
      <c r="K210" s="159" t="s">
        <v>35</v>
      </c>
      <c r="L210" s="159" t="s">
        <v>628</v>
      </c>
      <c r="M210" s="158" t="s">
        <v>2629</v>
      </c>
      <c r="N210" s="158" t="s">
        <v>2623</v>
      </c>
      <c r="O210" s="159" t="s">
        <v>2660</v>
      </c>
      <c r="P210" s="159" t="s">
        <v>2662</v>
      </c>
      <c r="Q210" s="159" t="s">
        <v>2840</v>
      </c>
      <c r="R210" s="159" t="s">
        <v>2863</v>
      </c>
      <c r="S210" s="159"/>
      <c r="T210" s="159"/>
      <c r="U210" s="158"/>
      <c r="V210" s="158"/>
      <c r="W210" s="159"/>
      <c r="X210" s="159"/>
      <c r="Y210" s="159"/>
      <c r="Z210" s="159"/>
      <c r="AA210" s="159"/>
      <c r="AB210" s="167">
        <v>45078</v>
      </c>
      <c r="AC210" s="159" t="s">
        <v>45</v>
      </c>
      <c r="AD210" s="158"/>
      <c r="AE210" s="159"/>
      <c r="AF210" s="159"/>
      <c r="AG210" s="159"/>
      <c r="AH210" s="159"/>
      <c r="AI210" s="159"/>
      <c r="AJ210" s="159"/>
      <c r="AK210" s="159" t="s">
        <v>2600</v>
      </c>
      <c r="AL210" s="159"/>
      <c r="AM210" s="159"/>
      <c r="AN210" s="159" t="s">
        <v>553</v>
      </c>
      <c r="AO210" s="172" t="s">
        <v>564</v>
      </c>
      <c r="AP210" s="172"/>
      <c r="AQ210" s="172"/>
      <c r="AR210" s="178" t="s">
        <v>2618</v>
      </c>
      <c r="AS210" s="178" t="s">
        <v>2618</v>
      </c>
      <c r="BD210" s="156" t="s">
        <v>584</v>
      </c>
      <c r="BE210" s="156" t="s">
        <v>584</v>
      </c>
      <c r="BF210" s="159"/>
      <c r="BG210" s="159" t="s">
        <v>45</v>
      </c>
      <c r="BH210" s="159" t="s">
        <v>46</v>
      </c>
      <c r="BI210" s="159" t="s">
        <v>41</v>
      </c>
      <c r="BJ210" s="156">
        <v>1</v>
      </c>
      <c r="BK210" s="156"/>
      <c r="BL210" s="156"/>
    </row>
    <row r="211" spans="1:70">
      <c r="A211" s="184" t="str">
        <f t="shared" si="3"/>
        <v>32306207</v>
      </c>
      <c r="B211" s="158" t="s">
        <v>760</v>
      </c>
      <c r="C211" s="158" t="s">
        <v>3057</v>
      </c>
      <c r="D211" s="159" t="s">
        <v>759</v>
      </c>
      <c r="E211" s="159"/>
      <c r="F211" s="158" t="s">
        <v>762</v>
      </c>
      <c r="G211" s="167">
        <v>37298</v>
      </c>
      <c r="H211" s="167"/>
      <c r="I211" s="159" t="s">
        <v>2569</v>
      </c>
      <c r="J211" s="159" t="s">
        <v>2619</v>
      </c>
      <c r="K211" s="159" t="s">
        <v>165</v>
      </c>
      <c r="L211" s="159" t="s">
        <v>761</v>
      </c>
      <c r="M211" s="158" t="s">
        <v>2623</v>
      </c>
      <c r="N211" s="158" t="s">
        <v>2621</v>
      </c>
      <c r="O211" s="159" t="s">
        <v>2726</v>
      </c>
      <c r="P211" s="159" t="s">
        <v>2814</v>
      </c>
      <c r="Q211" s="159" t="s">
        <v>2842</v>
      </c>
      <c r="R211" s="159" t="s">
        <v>2863</v>
      </c>
      <c r="S211" s="159"/>
      <c r="T211" s="159"/>
      <c r="U211" s="158"/>
      <c r="V211" s="158"/>
      <c r="W211" s="159"/>
      <c r="X211" s="159"/>
      <c r="Y211" s="159"/>
      <c r="Z211" s="159"/>
      <c r="AA211" s="159"/>
      <c r="AB211" s="167">
        <v>45078</v>
      </c>
      <c r="AC211" s="159" t="s">
        <v>71</v>
      </c>
      <c r="AD211" s="158"/>
      <c r="AE211" s="159"/>
      <c r="AF211" s="159"/>
      <c r="AG211" s="159"/>
      <c r="AH211" s="159"/>
      <c r="AI211" s="159"/>
      <c r="AJ211" s="159"/>
      <c r="AK211" s="159" t="s">
        <v>2600</v>
      </c>
      <c r="AL211" s="159"/>
      <c r="AM211" s="159"/>
      <c r="AN211" s="185" t="s">
        <v>684</v>
      </c>
      <c r="AO211" s="172" t="s">
        <v>78</v>
      </c>
      <c r="AP211" s="172"/>
      <c r="AQ211" s="172"/>
      <c r="AR211" s="178" t="s">
        <v>2618</v>
      </c>
      <c r="AS211" s="178" t="s">
        <v>2618</v>
      </c>
      <c r="BD211" s="159" t="s">
        <v>733</v>
      </c>
      <c r="BF211" s="159"/>
      <c r="BG211" s="159" t="s">
        <v>71</v>
      </c>
      <c r="BH211" s="159" t="s">
        <v>46</v>
      </c>
      <c r="BI211" s="159" t="s">
        <v>41</v>
      </c>
      <c r="BJ211" s="156">
        <v>3</v>
      </c>
      <c r="BK211" s="156"/>
      <c r="BL211" s="156"/>
      <c r="BM211" s="186"/>
      <c r="BN211" s="186"/>
      <c r="BO211" s="186"/>
      <c r="BP211" s="186"/>
      <c r="BQ211" s="186"/>
      <c r="BR211" s="186"/>
    </row>
    <row r="212" spans="1:70">
      <c r="A212" s="184" t="str">
        <f t="shared" si="3"/>
        <v>42306208</v>
      </c>
      <c r="B212" s="158" t="s">
        <v>1370</v>
      </c>
      <c r="C212" s="158" t="s">
        <v>3058</v>
      </c>
      <c r="D212" s="159" t="s">
        <v>1369</v>
      </c>
      <c r="E212" s="159"/>
      <c r="F212" s="158" t="s">
        <v>1371</v>
      </c>
      <c r="G212" s="167">
        <v>38295</v>
      </c>
      <c r="H212" s="167"/>
      <c r="I212" s="159" t="s">
        <v>2569</v>
      </c>
      <c r="J212" s="159" t="s">
        <v>2619</v>
      </c>
      <c r="K212" s="159" t="s">
        <v>35</v>
      </c>
      <c r="L212" s="159" t="s">
        <v>974</v>
      </c>
      <c r="M212" s="158" t="s">
        <v>2626</v>
      </c>
      <c r="N212" s="158" t="s">
        <v>2626</v>
      </c>
      <c r="O212" s="159" t="s">
        <v>2659</v>
      </c>
      <c r="P212" s="159" t="s">
        <v>2659</v>
      </c>
      <c r="Q212" s="159" t="s">
        <v>2840</v>
      </c>
      <c r="R212" s="159" t="s">
        <v>2863</v>
      </c>
      <c r="S212" s="159"/>
      <c r="T212" s="159"/>
      <c r="U212" s="158"/>
      <c r="V212" s="158"/>
      <c r="W212" s="159"/>
      <c r="X212" s="159"/>
      <c r="Y212" s="159"/>
      <c r="Z212" s="159"/>
      <c r="AA212" s="159"/>
      <c r="AB212" s="167">
        <v>45078</v>
      </c>
      <c r="AC212" s="159" t="s">
        <v>129</v>
      </c>
      <c r="AD212" s="158"/>
      <c r="AE212" s="159"/>
      <c r="AF212" s="159"/>
      <c r="AG212" s="159"/>
      <c r="AH212" s="159"/>
      <c r="AI212" s="159"/>
      <c r="AJ212" s="159"/>
      <c r="AK212" s="159" t="s">
        <v>2600</v>
      </c>
      <c r="AL212" s="159"/>
      <c r="AM212" s="159"/>
      <c r="AN212" s="159" t="s">
        <v>786</v>
      </c>
      <c r="AO212" s="172" t="s">
        <v>115</v>
      </c>
      <c r="AP212" s="172"/>
      <c r="AQ212" s="172"/>
      <c r="AR212" s="178" t="s">
        <v>2618</v>
      </c>
      <c r="AS212" s="178" t="s">
        <v>2618</v>
      </c>
      <c r="BD212" s="185" t="s">
        <v>1002</v>
      </c>
      <c r="BE212" s="156" t="s">
        <v>1127</v>
      </c>
      <c r="BF212" s="185" t="s">
        <v>2333</v>
      </c>
      <c r="BG212" s="159" t="s">
        <v>129</v>
      </c>
      <c r="BH212" s="159" t="s">
        <v>46</v>
      </c>
      <c r="BI212" s="159" t="s">
        <v>41</v>
      </c>
      <c r="BJ212" s="156">
        <v>1</v>
      </c>
      <c r="BK212" s="156"/>
      <c r="BL212" s="156"/>
    </row>
    <row r="213" spans="1:70">
      <c r="A213" s="184" t="str">
        <f t="shared" si="3"/>
        <v>42306209</v>
      </c>
      <c r="B213" s="158" t="s">
        <v>1396</v>
      </c>
      <c r="C213" s="158" t="s">
        <v>3059</v>
      </c>
      <c r="D213" s="159" t="s">
        <v>1395</v>
      </c>
      <c r="E213" s="159"/>
      <c r="F213" s="158" t="s">
        <v>1397</v>
      </c>
      <c r="G213" s="167">
        <v>35932</v>
      </c>
      <c r="H213" s="167"/>
      <c r="I213" s="159" t="s">
        <v>2569</v>
      </c>
      <c r="J213" s="159" t="s">
        <v>2619</v>
      </c>
      <c r="K213" s="159" t="s">
        <v>165</v>
      </c>
      <c r="L213" s="159" t="s">
        <v>445</v>
      </c>
      <c r="M213" s="158" t="s">
        <v>2622</v>
      </c>
      <c r="N213" s="158" t="s">
        <v>2625</v>
      </c>
      <c r="O213" s="159" t="s">
        <v>2659</v>
      </c>
      <c r="P213" s="159" t="s">
        <v>2659</v>
      </c>
      <c r="Q213" s="159" t="s">
        <v>2840</v>
      </c>
      <c r="R213" s="159" t="s">
        <v>2863</v>
      </c>
      <c r="S213" s="159"/>
      <c r="T213" s="159"/>
      <c r="U213" s="158"/>
      <c r="V213" s="158"/>
      <c r="W213" s="159"/>
      <c r="X213" s="159"/>
      <c r="Y213" s="159"/>
      <c r="Z213" s="159"/>
      <c r="AA213" s="159"/>
      <c r="AB213" s="167">
        <v>45078</v>
      </c>
      <c r="AC213" s="159" t="s">
        <v>129</v>
      </c>
      <c r="AD213" s="158"/>
      <c r="AE213" s="159"/>
      <c r="AF213" s="159"/>
      <c r="AG213" s="159"/>
      <c r="AH213" s="159"/>
      <c r="AI213" s="159"/>
      <c r="AJ213" s="159"/>
      <c r="AK213" s="159" t="s">
        <v>2600</v>
      </c>
      <c r="AL213" s="159"/>
      <c r="AM213" s="159"/>
      <c r="AN213" s="159" t="s">
        <v>786</v>
      </c>
      <c r="AO213" s="172" t="s">
        <v>115</v>
      </c>
      <c r="AP213" s="172"/>
      <c r="AQ213" s="172"/>
      <c r="AR213" s="178" t="s">
        <v>2618</v>
      </c>
      <c r="AS213" s="178" t="s">
        <v>2618</v>
      </c>
      <c r="BD213" s="185" t="s">
        <v>1002</v>
      </c>
      <c r="BE213" s="156" t="s">
        <v>2457</v>
      </c>
      <c r="BF213" s="159" t="s">
        <v>1049</v>
      </c>
      <c r="BG213" s="159" t="s">
        <v>129</v>
      </c>
      <c r="BH213" s="159" t="s">
        <v>46</v>
      </c>
      <c r="BI213" s="159" t="s">
        <v>41</v>
      </c>
      <c r="BJ213" s="156">
        <v>1</v>
      </c>
      <c r="BK213" s="156"/>
      <c r="BL213" s="156"/>
    </row>
    <row r="214" spans="1:70">
      <c r="A214" s="184" t="str">
        <f t="shared" si="3"/>
        <v>32306210</v>
      </c>
      <c r="B214" s="158" t="s">
        <v>1721</v>
      </c>
      <c r="C214" s="158" t="s">
        <v>3060</v>
      </c>
      <c r="D214" s="159" t="s">
        <v>1720</v>
      </c>
      <c r="E214" s="159"/>
      <c r="F214" s="158" t="s">
        <v>1722</v>
      </c>
      <c r="G214" s="167">
        <v>38228</v>
      </c>
      <c r="H214" s="167"/>
      <c r="I214" s="159" t="s">
        <v>2569</v>
      </c>
      <c r="J214" s="159" t="s">
        <v>2619</v>
      </c>
      <c r="K214" s="159" t="s">
        <v>35</v>
      </c>
      <c r="L214" s="159" t="s">
        <v>1709</v>
      </c>
      <c r="M214" s="158" t="s">
        <v>2623</v>
      </c>
      <c r="N214" s="158" t="s">
        <v>2630</v>
      </c>
      <c r="O214" s="159" t="s">
        <v>2699</v>
      </c>
      <c r="P214" s="159" t="s">
        <v>2659</v>
      </c>
      <c r="Q214" s="159" t="s">
        <v>2840</v>
      </c>
      <c r="R214" s="159" t="s">
        <v>2863</v>
      </c>
      <c r="S214" s="159"/>
      <c r="T214" s="159"/>
      <c r="U214" s="158"/>
      <c r="V214" s="158"/>
      <c r="W214" s="159"/>
      <c r="X214" s="159"/>
      <c r="Y214" s="159"/>
      <c r="Z214" s="159"/>
      <c r="AA214" s="159"/>
      <c r="AB214" s="167">
        <v>45078</v>
      </c>
      <c r="AC214" s="159" t="s">
        <v>71</v>
      </c>
      <c r="AD214" s="158"/>
      <c r="AE214" s="159"/>
      <c r="AF214" s="159"/>
      <c r="AG214" s="159"/>
      <c r="AH214" s="159"/>
      <c r="AI214" s="159"/>
      <c r="AJ214" s="159"/>
      <c r="AK214" s="159" t="s">
        <v>2600</v>
      </c>
      <c r="AL214" s="159"/>
      <c r="AM214" s="159"/>
      <c r="AN214" s="159" t="s">
        <v>786</v>
      </c>
      <c r="AO214" s="172" t="s">
        <v>937</v>
      </c>
      <c r="AP214" s="172"/>
      <c r="AQ214" s="172"/>
      <c r="AR214" s="178" t="s">
        <v>2618</v>
      </c>
      <c r="AS214" s="178" t="s">
        <v>2618</v>
      </c>
      <c r="BD214" s="185" t="s">
        <v>1002</v>
      </c>
      <c r="BE214" s="156" t="s">
        <v>1110</v>
      </c>
      <c r="BF214" s="159" t="s">
        <v>2333</v>
      </c>
      <c r="BG214" s="159" t="s">
        <v>71</v>
      </c>
      <c r="BH214" s="159" t="s">
        <v>46</v>
      </c>
      <c r="BI214" s="159" t="s">
        <v>41</v>
      </c>
      <c r="BJ214" s="156">
        <v>1</v>
      </c>
      <c r="BK214" s="156"/>
      <c r="BL214" s="156"/>
    </row>
    <row r="215" spans="1:70">
      <c r="A215" s="184" t="str">
        <f t="shared" si="3"/>
        <v>42306211</v>
      </c>
      <c r="B215" s="158" t="s">
        <v>1800</v>
      </c>
      <c r="C215" s="158" t="s">
        <v>3061</v>
      </c>
      <c r="D215" s="159" t="s">
        <v>1799</v>
      </c>
      <c r="E215" s="159"/>
      <c r="F215" s="158" t="s">
        <v>1802</v>
      </c>
      <c r="G215" s="167">
        <v>37866</v>
      </c>
      <c r="H215" s="167"/>
      <c r="I215" s="159" t="s">
        <v>2570</v>
      </c>
      <c r="J215" s="159" t="s">
        <v>2619</v>
      </c>
      <c r="K215" s="159" t="s">
        <v>165</v>
      </c>
      <c r="L215" s="159" t="s">
        <v>1801</v>
      </c>
      <c r="M215" s="158" t="s">
        <v>2626</v>
      </c>
      <c r="N215" s="158" t="s">
        <v>2625</v>
      </c>
      <c r="O215" s="159" t="s">
        <v>2684</v>
      </c>
      <c r="P215" s="159" t="s">
        <v>2711</v>
      </c>
      <c r="Q215" s="159" t="s">
        <v>2840</v>
      </c>
      <c r="R215" s="159" t="s">
        <v>2863</v>
      </c>
      <c r="S215" s="159"/>
      <c r="T215" s="159"/>
      <c r="U215" s="158"/>
      <c r="V215" s="158"/>
      <c r="W215" s="159"/>
      <c r="X215" s="159"/>
      <c r="Y215" s="159"/>
      <c r="Z215" s="159"/>
      <c r="AA215" s="159"/>
      <c r="AB215" s="167">
        <v>45078</v>
      </c>
      <c r="AC215" s="159" t="s">
        <v>129</v>
      </c>
      <c r="AD215" s="158"/>
      <c r="AE215" s="159"/>
      <c r="AF215" s="159"/>
      <c r="AG215" s="159"/>
      <c r="AH215" s="159"/>
      <c r="AI215" s="159"/>
      <c r="AJ215" s="159"/>
      <c r="AK215" s="159" t="s">
        <v>2600</v>
      </c>
      <c r="AL215" s="159"/>
      <c r="AM215" s="159"/>
      <c r="AN215" s="159" t="s">
        <v>786</v>
      </c>
      <c r="AO215" s="172" t="s">
        <v>115</v>
      </c>
      <c r="AP215" s="172"/>
      <c r="AQ215" s="172"/>
      <c r="AR215" s="178" t="s">
        <v>2618</v>
      </c>
      <c r="AS215" s="178" t="s">
        <v>2618</v>
      </c>
      <c r="BD215" s="185" t="s">
        <v>1442</v>
      </c>
      <c r="BE215" s="156" t="s">
        <v>1758</v>
      </c>
      <c r="BF215" s="159" t="s">
        <v>1482</v>
      </c>
      <c r="BG215" s="159" t="s">
        <v>129</v>
      </c>
      <c r="BH215" s="159" t="s">
        <v>46</v>
      </c>
      <c r="BI215" s="159" t="s">
        <v>41</v>
      </c>
      <c r="BJ215" s="156">
        <v>1</v>
      </c>
      <c r="BK215" s="156"/>
      <c r="BL215" s="156"/>
    </row>
    <row r="216" spans="1:70">
      <c r="A216" s="184" t="str">
        <f t="shared" si="3"/>
        <v>42306212</v>
      </c>
      <c r="B216" s="158" t="s">
        <v>1861</v>
      </c>
      <c r="C216" s="158" t="s">
        <v>3062</v>
      </c>
      <c r="D216" s="159" t="s">
        <v>1860</v>
      </c>
      <c r="E216" s="159"/>
      <c r="F216" s="158" t="s">
        <v>1862</v>
      </c>
      <c r="G216" s="167">
        <v>37872</v>
      </c>
      <c r="H216" s="167"/>
      <c r="I216" s="159" t="s">
        <v>2570</v>
      </c>
      <c r="J216" s="159" t="s">
        <v>2619</v>
      </c>
      <c r="K216" s="159" t="s">
        <v>165</v>
      </c>
      <c r="L216" s="159" t="s">
        <v>177</v>
      </c>
      <c r="M216" s="158" t="s">
        <v>2625</v>
      </c>
      <c r="N216" s="158" t="s">
        <v>2625</v>
      </c>
      <c r="O216" s="159" t="s">
        <v>2659</v>
      </c>
      <c r="P216" s="159" t="s">
        <v>2659</v>
      </c>
      <c r="Q216" s="159" t="s">
        <v>2840</v>
      </c>
      <c r="R216" s="159" t="s">
        <v>2863</v>
      </c>
      <c r="S216" s="159"/>
      <c r="T216" s="159"/>
      <c r="U216" s="158"/>
      <c r="V216" s="158"/>
      <c r="W216" s="159"/>
      <c r="X216" s="159"/>
      <c r="Y216" s="159"/>
      <c r="Z216" s="159"/>
      <c r="AA216" s="159"/>
      <c r="AB216" s="167">
        <v>45078</v>
      </c>
      <c r="AC216" s="159" t="s">
        <v>129</v>
      </c>
      <c r="AD216" s="158"/>
      <c r="AE216" s="159"/>
      <c r="AF216" s="159"/>
      <c r="AG216" s="159"/>
      <c r="AH216" s="159"/>
      <c r="AI216" s="159"/>
      <c r="AJ216" s="159"/>
      <c r="AK216" s="159" t="s">
        <v>2600</v>
      </c>
      <c r="AL216" s="159"/>
      <c r="AM216" s="159"/>
      <c r="AN216" s="159" t="s">
        <v>786</v>
      </c>
      <c r="AO216" s="172" t="s">
        <v>115</v>
      </c>
      <c r="AP216" s="172"/>
      <c r="AQ216" s="172"/>
      <c r="AR216" s="178" t="s">
        <v>2618</v>
      </c>
      <c r="AS216" s="178" t="s">
        <v>2618</v>
      </c>
      <c r="BD216" s="185" t="s">
        <v>1442</v>
      </c>
      <c r="BE216" s="156" t="s">
        <v>1758</v>
      </c>
      <c r="BF216" s="159" t="s">
        <v>1508</v>
      </c>
      <c r="BG216" s="159" t="s">
        <v>129</v>
      </c>
      <c r="BH216" s="159" t="s">
        <v>46</v>
      </c>
      <c r="BI216" s="159" t="s">
        <v>41</v>
      </c>
      <c r="BJ216" s="156">
        <v>1</v>
      </c>
      <c r="BK216" s="156"/>
      <c r="BL216" s="156"/>
    </row>
    <row r="217" spans="1:70">
      <c r="A217" s="184" t="str">
        <f t="shared" si="3"/>
        <v>42306213</v>
      </c>
      <c r="B217" s="158" t="s">
        <v>1384</v>
      </c>
      <c r="C217" s="158" t="s">
        <v>3063</v>
      </c>
      <c r="D217" s="159" t="s">
        <v>1383</v>
      </c>
      <c r="E217" s="159"/>
      <c r="F217" s="158" t="s">
        <v>1385</v>
      </c>
      <c r="G217" s="167">
        <v>36959</v>
      </c>
      <c r="H217" s="167"/>
      <c r="I217" s="159" t="s">
        <v>2569</v>
      </c>
      <c r="J217" s="159" t="s">
        <v>2619</v>
      </c>
      <c r="K217" s="159" t="s">
        <v>165</v>
      </c>
      <c r="L217" s="159" t="s">
        <v>74</v>
      </c>
      <c r="M217" s="158" t="s">
        <v>2623</v>
      </c>
      <c r="N217" s="158" t="s">
        <v>2625</v>
      </c>
      <c r="O217" s="159" t="s">
        <v>2659</v>
      </c>
      <c r="P217" s="159" t="s">
        <v>2659</v>
      </c>
      <c r="Q217" s="159" t="s">
        <v>2840</v>
      </c>
      <c r="R217" s="159" t="s">
        <v>2863</v>
      </c>
      <c r="S217" s="159"/>
      <c r="T217" s="159"/>
      <c r="U217" s="158"/>
      <c r="V217" s="158"/>
      <c r="W217" s="159"/>
      <c r="X217" s="159"/>
      <c r="Y217" s="159"/>
      <c r="Z217" s="159"/>
      <c r="AA217" s="159"/>
      <c r="AB217" s="167">
        <v>45094</v>
      </c>
      <c r="AC217" s="159" t="s">
        <v>129</v>
      </c>
      <c r="AD217" s="158"/>
      <c r="AE217" s="159"/>
      <c r="AF217" s="159"/>
      <c r="AG217" s="159"/>
      <c r="AH217" s="159"/>
      <c r="AI217" s="159"/>
      <c r="AJ217" s="159"/>
      <c r="AK217" s="159" t="s">
        <v>2600</v>
      </c>
      <c r="AL217" s="159"/>
      <c r="AM217" s="159"/>
      <c r="AN217" s="159" t="s">
        <v>786</v>
      </c>
      <c r="AO217" s="172" t="s">
        <v>115</v>
      </c>
      <c r="AP217" s="172"/>
      <c r="AQ217" s="172"/>
      <c r="AR217" s="178" t="s">
        <v>2618</v>
      </c>
      <c r="AS217" s="178" t="s">
        <v>2618</v>
      </c>
      <c r="BD217" s="185" t="s">
        <v>1002</v>
      </c>
      <c r="BE217" s="156" t="s">
        <v>1127</v>
      </c>
      <c r="BF217" s="185" t="s">
        <v>1042</v>
      </c>
      <c r="BG217" s="159" t="s">
        <v>129</v>
      </c>
      <c r="BH217" s="159" t="s">
        <v>46</v>
      </c>
      <c r="BI217" s="159" t="s">
        <v>41</v>
      </c>
      <c r="BJ217" s="156">
        <v>1</v>
      </c>
      <c r="BK217" s="156"/>
      <c r="BL217" s="156"/>
    </row>
    <row r="218" spans="1:70">
      <c r="A218" s="184" t="str">
        <f t="shared" si="3"/>
        <v>42307214</v>
      </c>
      <c r="B218" s="158" t="s">
        <v>1336</v>
      </c>
      <c r="C218" s="158" t="s">
        <v>3064</v>
      </c>
      <c r="D218" s="159" t="s">
        <v>1335</v>
      </c>
      <c r="E218" s="159"/>
      <c r="F218" s="158" t="s">
        <v>1337</v>
      </c>
      <c r="G218" s="167">
        <v>38380</v>
      </c>
      <c r="H218" s="167"/>
      <c r="I218" s="159" t="s">
        <v>2569</v>
      </c>
      <c r="J218" s="159" t="s">
        <v>2619</v>
      </c>
      <c r="K218" s="159" t="s">
        <v>165</v>
      </c>
      <c r="L218" s="159" t="s">
        <v>611</v>
      </c>
      <c r="M218" s="158" t="s">
        <v>2626</v>
      </c>
      <c r="N218" s="158" t="s">
        <v>2622</v>
      </c>
      <c r="O218" s="159" t="s">
        <v>2659</v>
      </c>
      <c r="P218" s="159" t="s">
        <v>2659</v>
      </c>
      <c r="Q218" s="159" t="s">
        <v>2840</v>
      </c>
      <c r="R218" s="159" t="s">
        <v>2863</v>
      </c>
      <c r="S218" s="159"/>
      <c r="T218" s="159"/>
      <c r="U218" s="158"/>
      <c r="V218" s="158"/>
      <c r="W218" s="159"/>
      <c r="X218" s="159"/>
      <c r="Y218" s="159"/>
      <c r="Z218" s="159"/>
      <c r="AA218" s="159"/>
      <c r="AB218" s="167">
        <v>45130</v>
      </c>
      <c r="AC218" s="159" t="s">
        <v>129</v>
      </c>
      <c r="AD218" s="158"/>
      <c r="AE218" s="159"/>
      <c r="AF218" s="159"/>
      <c r="AG218" s="159"/>
      <c r="AH218" s="159"/>
      <c r="AI218" s="159"/>
      <c r="AJ218" s="159"/>
      <c r="AK218" s="159" t="s">
        <v>2600</v>
      </c>
      <c r="AL218" s="159"/>
      <c r="AM218" s="159"/>
      <c r="AN218" s="159" t="s">
        <v>786</v>
      </c>
      <c r="AO218" s="172" t="s">
        <v>115</v>
      </c>
      <c r="AP218" s="172"/>
      <c r="AQ218" s="172"/>
      <c r="AR218" s="178" t="s">
        <v>2618</v>
      </c>
      <c r="AS218" s="178" t="s">
        <v>2618</v>
      </c>
      <c r="BD218" s="185" t="s">
        <v>1002</v>
      </c>
      <c r="BE218" s="156" t="s">
        <v>1075</v>
      </c>
      <c r="BF218" s="185" t="s">
        <v>1049</v>
      </c>
      <c r="BG218" s="159" t="s">
        <v>129</v>
      </c>
      <c r="BH218" s="159" t="s">
        <v>46</v>
      </c>
      <c r="BI218" s="159" t="s">
        <v>41</v>
      </c>
      <c r="BJ218" s="156">
        <v>1</v>
      </c>
      <c r="BK218" s="156"/>
      <c r="BL218" s="156"/>
    </row>
    <row r="219" spans="1:70">
      <c r="A219" s="184" t="str">
        <f t="shared" si="3"/>
        <v>42308215</v>
      </c>
      <c r="B219" s="158" t="s">
        <v>1275</v>
      </c>
      <c r="C219" s="158" t="s">
        <v>3065</v>
      </c>
      <c r="D219" s="159" t="s">
        <v>1274</v>
      </c>
      <c r="E219" s="159"/>
      <c r="F219" s="158" t="s">
        <v>1276</v>
      </c>
      <c r="G219" s="167">
        <v>38551</v>
      </c>
      <c r="H219" s="167"/>
      <c r="I219" s="159" t="s">
        <v>2569</v>
      </c>
      <c r="J219" s="159" t="s">
        <v>2619</v>
      </c>
      <c r="K219" s="159" t="s">
        <v>165</v>
      </c>
      <c r="L219" s="159" t="s">
        <v>974</v>
      </c>
      <c r="M219" s="158" t="s">
        <v>2626</v>
      </c>
      <c r="N219" s="158" t="s">
        <v>2626</v>
      </c>
      <c r="O219" s="159" t="s">
        <v>2659</v>
      </c>
      <c r="P219" s="159" t="s">
        <v>2659</v>
      </c>
      <c r="Q219" s="159" t="s">
        <v>2840</v>
      </c>
      <c r="R219" s="159" t="s">
        <v>2863</v>
      </c>
      <c r="S219" s="159"/>
      <c r="T219" s="159"/>
      <c r="U219" s="158"/>
      <c r="V219" s="158"/>
      <c r="W219" s="159"/>
      <c r="X219" s="159"/>
      <c r="Y219" s="159"/>
      <c r="Z219" s="159"/>
      <c r="AA219" s="159"/>
      <c r="AB219" s="167">
        <v>45139</v>
      </c>
      <c r="AC219" s="159" t="s">
        <v>129</v>
      </c>
      <c r="AD219" s="158"/>
      <c r="AE219" s="159"/>
      <c r="AF219" s="159"/>
      <c r="AG219" s="159"/>
      <c r="AH219" s="159"/>
      <c r="AI219" s="159"/>
      <c r="AJ219" s="159"/>
      <c r="AK219" s="159" t="s">
        <v>2600</v>
      </c>
      <c r="AL219" s="159"/>
      <c r="AM219" s="159"/>
      <c r="AN219" s="159" t="s">
        <v>786</v>
      </c>
      <c r="AO219" s="172" t="s">
        <v>115</v>
      </c>
      <c r="AP219" s="172"/>
      <c r="AQ219" s="172"/>
      <c r="AR219" s="178" t="s">
        <v>2618</v>
      </c>
      <c r="AS219" s="178" t="s">
        <v>2618</v>
      </c>
      <c r="BD219" s="185" t="s">
        <v>1002</v>
      </c>
      <c r="BE219" s="156" t="s">
        <v>1033</v>
      </c>
      <c r="BF219" s="185" t="s">
        <v>2333</v>
      </c>
      <c r="BG219" s="159" t="s">
        <v>129</v>
      </c>
      <c r="BH219" s="159" t="s">
        <v>46</v>
      </c>
      <c r="BI219" s="159" t="s">
        <v>41</v>
      </c>
      <c r="BJ219" s="156">
        <v>1</v>
      </c>
      <c r="BK219" s="156"/>
      <c r="BL219" s="156"/>
    </row>
    <row r="220" spans="1:70">
      <c r="A220" s="184" t="str">
        <f t="shared" si="3"/>
        <v>32308216</v>
      </c>
      <c r="B220" s="158" t="s">
        <v>1568</v>
      </c>
      <c r="C220" s="158" t="s">
        <v>3066</v>
      </c>
      <c r="D220" s="159" t="s">
        <v>1567</v>
      </c>
      <c r="E220" s="159"/>
      <c r="F220" s="158" t="s">
        <v>1569</v>
      </c>
      <c r="G220" s="167">
        <v>38204</v>
      </c>
      <c r="H220" s="167"/>
      <c r="I220" s="159" t="s">
        <v>2569</v>
      </c>
      <c r="J220" s="159" t="s">
        <v>2619</v>
      </c>
      <c r="K220" s="159" t="s">
        <v>165</v>
      </c>
      <c r="L220" s="159" t="s">
        <v>343</v>
      </c>
      <c r="M220" s="158" t="s">
        <v>2627</v>
      </c>
      <c r="N220" s="158" t="s">
        <v>2625</v>
      </c>
      <c r="O220" s="159" t="s">
        <v>2659</v>
      </c>
      <c r="P220" s="159" t="s">
        <v>2659</v>
      </c>
      <c r="Q220" s="159" t="s">
        <v>2840</v>
      </c>
      <c r="R220" s="159" t="s">
        <v>2863</v>
      </c>
      <c r="S220" s="159"/>
      <c r="T220" s="159"/>
      <c r="U220" s="158"/>
      <c r="V220" s="158"/>
      <c r="W220" s="159"/>
      <c r="X220" s="159"/>
      <c r="Y220" s="159"/>
      <c r="Z220" s="159"/>
      <c r="AA220" s="159"/>
      <c r="AB220" s="167">
        <v>45145</v>
      </c>
      <c r="AC220" s="159" t="s">
        <v>71</v>
      </c>
      <c r="AD220" s="158"/>
      <c r="AE220" s="159"/>
      <c r="AF220" s="159"/>
      <c r="AG220" s="159"/>
      <c r="AH220" s="159"/>
      <c r="AI220" s="159"/>
      <c r="AJ220" s="159"/>
      <c r="AK220" s="159" t="s">
        <v>2600</v>
      </c>
      <c r="AL220" s="159"/>
      <c r="AM220" s="159"/>
      <c r="AN220" s="159" t="s">
        <v>786</v>
      </c>
      <c r="AO220" s="172" t="s">
        <v>115</v>
      </c>
      <c r="AP220" s="172"/>
      <c r="AQ220" s="172"/>
      <c r="AR220" s="178" t="s">
        <v>2618</v>
      </c>
      <c r="AS220" s="178" t="s">
        <v>2618</v>
      </c>
      <c r="BD220" s="185" t="s">
        <v>1442</v>
      </c>
      <c r="BE220" s="156" t="s">
        <v>1526</v>
      </c>
      <c r="BF220" s="187" t="s">
        <v>1539</v>
      </c>
      <c r="BG220" s="159" t="s">
        <v>71</v>
      </c>
      <c r="BH220" s="159" t="s">
        <v>46</v>
      </c>
      <c r="BI220" s="159" t="s">
        <v>41</v>
      </c>
      <c r="BJ220" s="156">
        <v>1</v>
      </c>
      <c r="BK220" s="156"/>
      <c r="BL220" s="156"/>
    </row>
    <row r="221" spans="1:70">
      <c r="A221" s="184" t="str">
        <f t="shared" si="3"/>
        <v>22309217</v>
      </c>
      <c r="B221" s="158" t="s">
        <v>2099</v>
      </c>
      <c r="C221" s="158" t="s">
        <v>3067</v>
      </c>
      <c r="D221" s="159" t="s">
        <v>2098</v>
      </c>
      <c r="E221" s="159"/>
      <c r="F221" s="158" t="s">
        <v>2101</v>
      </c>
      <c r="G221" s="167">
        <v>35916</v>
      </c>
      <c r="H221" s="167"/>
      <c r="I221" s="159" t="s">
        <v>2570</v>
      </c>
      <c r="J221" s="159" t="s">
        <v>2619</v>
      </c>
      <c r="K221" s="159" t="s">
        <v>35</v>
      </c>
      <c r="L221" s="159" t="s">
        <v>2100</v>
      </c>
      <c r="M221" s="158" t="s">
        <v>2625</v>
      </c>
      <c r="N221" s="158" t="s">
        <v>2621</v>
      </c>
      <c r="O221" s="159" t="s">
        <v>2727</v>
      </c>
      <c r="P221" s="159" t="s">
        <v>2659</v>
      </c>
      <c r="Q221" s="159" t="s">
        <v>2840</v>
      </c>
      <c r="R221" s="159" t="s">
        <v>2863</v>
      </c>
      <c r="S221" s="159"/>
      <c r="T221" s="159"/>
      <c r="U221" s="158"/>
      <c r="V221" s="158"/>
      <c r="W221" s="159"/>
      <c r="X221" s="159"/>
      <c r="Y221" s="159"/>
      <c r="Z221" s="159"/>
      <c r="AA221" s="159"/>
      <c r="AB221" s="167">
        <v>45176</v>
      </c>
      <c r="AC221" s="159" t="s">
        <v>45</v>
      </c>
      <c r="AD221" s="158"/>
      <c r="AE221" s="159"/>
      <c r="AF221" s="159"/>
      <c r="AG221" s="159"/>
      <c r="AH221" s="159"/>
      <c r="AI221" s="159"/>
      <c r="AJ221" s="159"/>
      <c r="AK221" s="159" t="s">
        <v>2600</v>
      </c>
      <c r="AL221" s="159"/>
      <c r="AM221" s="159"/>
      <c r="AN221" s="185" t="s">
        <v>2065</v>
      </c>
      <c r="AO221" s="162" t="s">
        <v>2104</v>
      </c>
      <c r="AR221" s="178" t="s">
        <v>2618</v>
      </c>
      <c r="AS221" s="178" t="s">
        <v>2618</v>
      </c>
      <c r="BD221" s="156"/>
      <c r="BE221" s="156" t="s">
        <v>2248</v>
      </c>
      <c r="BF221" s="159"/>
      <c r="BG221" s="159" t="s">
        <v>45</v>
      </c>
      <c r="BH221" s="159" t="s">
        <v>46</v>
      </c>
      <c r="BI221" s="159" t="s">
        <v>41</v>
      </c>
      <c r="BJ221" s="156">
        <v>1</v>
      </c>
      <c r="BK221" s="156"/>
      <c r="BL221" s="156"/>
    </row>
    <row r="222" spans="1:70">
      <c r="A222" s="184" t="str">
        <f t="shared" si="3"/>
        <v>22310218</v>
      </c>
      <c r="B222" s="158" t="s">
        <v>565</v>
      </c>
      <c r="C222" s="158" t="s">
        <v>3068</v>
      </c>
      <c r="D222" s="159" t="s">
        <v>563</v>
      </c>
      <c r="E222" s="159"/>
      <c r="F222" s="158" t="s">
        <v>567</v>
      </c>
      <c r="G222" s="167">
        <v>38084</v>
      </c>
      <c r="H222" s="167"/>
      <c r="I222" s="159" t="s">
        <v>2569</v>
      </c>
      <c r="J222" s="159" t="s">
        <v>2619</v>
      </c>
      <c r="K222" s="159" t="s">
        <v>165</v>
      </c>
      <c r="L222" s="159" t="s">
        <v>566</v>
      </c>
      <c r="M222" s="158" t="s">
        <v>2621</v>
      </c>
      <c r="N222" s="158" t="s">
        <v>2621</v>
      </c>
      <c r="O222" s="159" t="s">
        <v>2728</v>
      </c>
      <c r="P222" s="159" t="s">
        <v>2815</v>
      </c>
      <c r="Q222" s="159" t="s">
        <v>2840</v>
      </c>
      <c r="R222" s="159" t="s">
        <v>2863</v>
      </c>
      <c r="S222" s="159"/>
      <c r="T222" s="159"/>
      <c r="U222" s="158"/>
      <c r="V222" s="158"/>
      <c r="W222" s="159"/>
      <c r="X222" s="159"/>
      <c r="Y222" s="159"/>
      <c r="Z222" s="159"/>
      <c r="AA222" s="159"/>
      <c r="AB222" s="167">
        <v>45200</v>
      </c>
      <c r="AC222" s="159" t="s">
        <v>45</v>
      </c>
      <c r="AD222" s="158"/>
      <c r="AE222" s="159"/>
      <c r="AF222" s="159"/>
      <c r="AG222" s="159"/>
      <c r="AH222" s="159"/>
      <c r="AI222" s="159"/>
      <c r="AJ222" s="159"/>
      <c r="AK222" s="159" t="s">
        <v>2600</v>
      </c>
      <c r="AL222" s="159"/>
      <c r="AM222" s="159"/>
      <c r="AN222" s="159" t="s">
        <v>553</v>
      </c>
      <c r="AO222" s="172" t="s">
        <v>564</v>
      </c>
      <c r="AP222" s="172"/>
      <c r="AQ222" s="172"/>
      <c r="AR222" s="178" t="s">
        <v>2618</v>
      </c>
      <c r="AS222" s="178" t="s">
        <v>2618</v>
      </c>
      <c r="BD222" s="156" t="s">
        <v>557</v>
      </c>
      <c r="BE222" s="156" t="s">
        <v>557</v>
      </c>
      <c r="BF222" s="159"/>
      <c r="BG222" s="159" t="s">
        <v>45</v>
      </c>
      <c r="BH222" s="159" t="s">
        <v>46</v>
      </c>
      <c r="BI222" s="159" t="s">
        <v>41</v>
      </c>
      <c r="BJ222" s="156">
        <v>1</v>
      </c>
      <c r="BK222" s="156"/>
      <c r="BL222" s="156"/>
    </row>
    <row r="223" spans="1:70">
      <c r="A223" s="184" t="str">
        <f t="shared" si="3"/>
        <v>42310219</v>
      </c>
      <c r="B223" s="158" t="s">
        <v>1906</v>
      </c>
      <c r="C223" s="158" t="s">
        <v>3069</v>
      </c>
      <c r="D223" s="159" t="s">
        <v>1904</v>
      </c>
      <c r="E223" s="159"/>
      <c r="F223" s="158" t="s">
        <v>1908</v>
      </c>
      <c r="G223" s="167">
        <v>33612</v>
      </c>
      <c r="H223" s="167"/>
      <c r="I223" s="159" t="s">
        <v>2570</v>
      </c>
      <c r="J223" s="159" t="s">
        <v>2619</v>
      </c>
      <c r="K223" s="159" t="s">
        <v>35</v>
      </c>
      <c r="L223" s="159" t="s">
        <v>1907</v>
      </c>
      <c r="M223" s="158" t="s">
        <v>2621</v>
      </c>
      <c r="N223" s="158" t="s">
        <v>2639</v>
      </c>
      <c r="O223" s="159" t="s">
        <v>2699</v>
      </c>
      <c r="P223" s="159" t="s">
        <v>2659</v>
      </c>
      <c r="Q223" s="159" t="s">
        <v>2840</v>
      </c>
      <c r="R223" s="159" t="s">
        <v>2863</v>
      </c>
      <c r="S223" s="159"/>
      <c r="T223" s="159"/>
      <c r="U223" s="158"/>
      <c r="V223" s="158"/>
      <c r="W223" s="159"/>
      <c r="X223" s="159"/>
      <c r="Y223" s="159"/>
      <c r="Z223" s="159"/>
      <c r="AA223" s="159"/>
      <c r="AB223" s="167">
        <v>45223</v>
      </c>
      <c r="AC223" s="159" t="s">
        <v>129</v>
      </c>
      <c r="AD223" s="158"/>
      <c r="AE223" s="159"/>
      <c r="AF223" s="159"/>
      <c r="AG223" s="159"/>
      <c r="AH223" s="159"/>
      <c r="AI223" s="159"/>
      <c r="AJ223" s="159"/>
      <c r="AK223" s="159" t="s">
        <v>2600</v>
      </c>
      <c r="AL223" s="159"/>
      <c r="AM223" s="159"/>
      <c r="AN223" s="159" t="s">
        <v>786</v>
      </c>
      <c r="AO223" s="172" t="s">
        <v>115</v>
      </c>
      <c r="AP223" s="172"/>
      <c r="AQ223" s="172"/>
      <c r="AR223" s="178" t="s">
        <v>2618</v>
      </c>
      <c r="AS223" s="178" t="s">
        <v>2618</v>
      </c>
      <c r="BD223" s="185" t="s">
        <v>1442</v>
      </c>
      <c r="BE223" s="156" t="s">
        <v>1758</v>
      </c>
      <c r="BF223" s="159" t="s">
        <v>1539</v>
      </c>
      <c r="BG223" s="159" t="s">
        <v>129</v>
      </c>
      <c r="BH223" s="159" t="s">
        <v>1905</v>
      </c>
      <c r="BI223" s="159" t="s">
        <v>41</v>
      </c>
      <c r="BJ223" s="156">
        <v>1</v>
      </c>
      <c r="BK223" s="156"/>
      <c r="BL223" s="156"/>
    </row>
    <row r="224" spans="1:70">
      <c r="A224" s="184" t="str">
        <f t="shared" si="3"/>
        <v>42311220</v>
      </c>
      <c r="B224" s="158" t="s">
        <v>969</v>
      </c>
      <c r="C224" s="158" t="s">
        <v>3070</v>
      </c>
      <c r="D224" s="159" t="s">
        <v>968</v>
      </c>
      <c r="E224" s="159"/>
      <c r="F224" s="158" t="s">
        <v>970</v>
      </c>
      <c r="G224" s="167">
        <v>38005</v>
      </c>
      <c r="H224" s="167"/>
      <c r="I224" s="159" t="s">
        <v>2569</v>
      </c>
      <c r="J224" s="159" t="s">
        <v>2619</v>
      </c>
      <c r="K224" s="159" t="s">
        <v>35</v>
      </c>
      <c r="L224" s="159" t="s">
        <v>445</v>
      </c>
      <c r="M224" s="158" t="s">
        <v>2622</v>
      </c>
      <c r="N224" s="158" t="s">
        <v>2625</v>
      </c>
      <c r="O224" s="159" t="s">
        <v>2659</v>
      </c>
      <c r="P224" s="159" t="s">
        <v>2659</v>
      </c>
      <c r="Q224" s="159" t="s">
        <v>2840</v>
      </c>
      <c r="R224" s="159" t="s">
        <v>2863</v>
      </c>
      <c r="S224" s="159"/>
      <c r="T224" s="159"/>
      <c r="U224" s="158"/>
      <c r="V224" s="158"/>
      <c r="W224" s="159"/>
      <c r="X224" s="159"/>
      <c r="Y224" s="159"/>
      <c r="Z224" s="159"/>
      <c r="AA224" s="159"/>
      <c r="AB224" s="167">
        <v>45231</v>
      </c>
      <c r="AC224" s="159" t="s">
        <v>129</v>
      </c>
      <c r="AD224" s="158"/>
      <c r="AE224" s="159"/>
      <c r="AF224" s="159"/>
      <c r="AG224" s="159"/>
      <c r="AH224" s="159"/>
      <c r="AI224" s="159"/>
      <c r="AJ224" s="159"/>
      <c r="AK224" s="159" t="s">
        <v>2600</v>
      </c>
      <c r="AL224" s="159"/>
      <c r="AM224" s="159"/>
      <c r="AN224" s="159" t="s">
        <v>786</v>
      </c>
      <c r="AO224" s="162" t="s">
        <v>115</v>
      </c>
      <c r="AR224" s="178" t="s">
        <v>2618</v>
      </c>
      <c r="AS224" s="178" t="s">
        <v>2618</v>
      </c>
      <c r="BD224" s="185" t="s">
        <v>787</v>
      </c>
      <c r="BE224" s="156" t="s">
        <v>959</v>
      </c>
      <c r="BF224" s="159" t="s">
        <v>855</v>
      </c>
      <c r="BG224" s="159" t="s">
        <v>129</v>
      </c>
      <c r="BH224" s="159" t="s">
        <v>46</v>
      </c>
      <c r="BI224" s="159" t="s">
        <v>41</v>
      </c>
      <c r="BJ224" s="156">
        <v>1</v>
      </c>
      <c r="BK224" s="156"/>
      <c r="BL224" s="156"/>
    </row>
    <row r="225" spans="1:70">
      <c r="A225" s="184" t="str">
        <f t="shared" si="3"/>
        <v>42311221</v>
      </c>
      <c r="B225" s="158" t="s">
        <v>978</v>
      </c>
      <c r="C225" s="158" t="s">
        <v>3071</v>
      </c>
      <c r="D225" s="159" t="s">
        <v>977</v>
      </c>
      <c r="E225" s="159"/>
      <c r="F225" s="158" t="s">
        <v>980</v>
      </c>
      <c r="G225" s="167">
        <v>34523</v>
      </c>
      <c r="H225" s="167"/>
      <c r="I225" s="159" t="s">
        <v>2569</v>
      </c>
      <c r="J225" s="159" t="s">
        <v>2619</v>
      </c>
      <c r="K225" s="159" t="s">
        <v>165</v>
      </c>
      <c r="L225" s="159" t="s">
        <v>979</v>
      </c>
      <c r="M225" s="158" t="s">
        <v>2621</v>
      </c>
      <c r="N225" s="158" t="s">
        <v>2621</v>
      </c>
      <c r="O225" s="159" t="s">
        <v>2657</v>
      </c>
      <c r="P225" s="159" t="s">
        <v>2662</v>
      </c>
      <c r="Q225" s="159" t="s">
        <v>2840</v>
      </c>
      <c r="R225" s="159" t="s">
        <v>2863</v>
      </c>
      <c r="S225" s="159"/>
      <c r="T225" s="159"/>
      <c r="U225" s="158"/>
      <c r="V225" s="158"/>
      <c r="W225" s="159"/>
      <c r="X225" s="159"/>
      <c r="Y225" s="159"/>
      <c r="Z225" s="159"/>
      <c r="AA225" s="159"/>
      <c r="AB225" s="167">
        <v>45231</v>
      </c>
      <c r="AC225" s="159" t="s">
        <v>129</v>
      </c>
      <c r="AD225" s="158"/>
      <c r="AE225" s="159"/>
      <c r="AF225" s="159"/>
      <c r="AG225" s="159"/>
      <c r="AH225" s="159"/>
      <c r="AI225" s="159"/>
      <c r="AJ225" s="159"/>
      <c r="AK225" s="159" t="s">
        <v>2600</v>
      </c>
      <c r="AL225" s="159"/>
      <c r="AM225" s="159"/>
      <c r="AN225" s="159" t="s">
        <v>786</v>
      </c>
      <c r="AO225" s="162" t="s">
        <v>115</v>
      </c>
      <c r="AR225" s="178" t="s">
        <v>2618</v>
      </c>
      <c r="AS225" s="178" t="s">
        <v>2618</v>
      </c>
      <c r="BD225" s="185" t="s">
        <v>787</v>
      </c>
      <c r="BE225" s="156" t="s">
        <v>959</v>
      </c>
      <c r="BF225" s="159" t="s">
        <v>841</v>
      </c>
      <c r="BG225" s="159" t="s">
        <v>129</v>
      </c>
      <c r="BH225" s="159" t="s">
        <v>32</v>
      </c>
      <c r="BI225" s="159" t="s">
        <v>41</v>
      </c>
      <c r="BJ225" s="156">
        <v>1</v>
      </c>
      <c r="BK225" s="156"/>
      <c r="BL225" s="156"/>
    </row>
    <row r="226" spans="1:70">
      <c r="A226" s="184" t="str">
        <f t="shared" si="3"/>
        <v>42311222</v>
      </c>
      <c r="B226" s="158" t="s">
        <v>1740</v>
      </c>
      <c r="C226" s="158" t="s">
        <v>3072</v>
      </c>
      <c r="D226" s="159" t="s">
        <v>1739</v>
      </c>
      <c r="E226" s="159"/>
      <c r="F226" s="158" t="s">
        <v>1742</v>
      </c>
      <c r="G226" s="167">
        <v>38427</v>
      </c>
      <c r="H226" s="167"/>
      <c r="I226" s="159" t="s">
        <v>2569</v>
      </c>
      <c r="J226" s="159" t="s">
        <v>2619</v>
      </c>
      <c r="K226" s="159" t="s">
        <v>165</v>
      </c>
      <c r="L226" s="159" t="s">
        <v>1741</v>
      </c>
      <c r="M226" s="158" t="s">
        <v>2626</v>
      </c>
      <c r="N226" s="158" t="s">
        <v>2621</v>
      </c>
      <c r="O226" s="159" t="s">
        <v>2729</v>
      </c>
      <c r="P226" s="159" t="s">
        <v>2659</v>
      </c>
      <c r="Q226" s="159" t="s">
        <v>2840</v>
      </c>
      <c r="R226" s="159" t="s">
        <v>2863</v>
      </c>
      <c r="S226" s="159"/>
      <c r="T226" s="159"/>
      <c r="U226" s="158"/>
      <c r="V226" s="158"/>
      <c r="W226" s="159"/>
      <c r="X226" s="159"/>
      <c r="Y226" s="159"/>
      <c r="Z226" s="159"/>
      <c r="AA226" s="159"/>
      <c r="AB226" s="167">
        <v>45240</v>
      </c>
      <c r="AC226" s="159" t="s">
        <v>129</v>
      </c>
      <c r="AD226" s="158"/>
      <c r="AE226" s="159"/>
      <c r="AF226" s="159"/>
      <c r="AG226" s="159"/>
      <c r="AH226" s="159"/>
      <c r="AI226" s="159"/>
      <c r="AJ226" s="159"/>
      <c r="AK226" s="159" t="s">
        <v>2600</v>
      </c>
      <c r="AL226" s="159"/>
      <c r="AM226" s="159"/>
      <c r="AN226" s="159" t="s">
        <v>786</v>
      </c>
      <c r="AO226" s="172" t="s">
        <v>115</v>
      </c>
      <c r="AP226" s="172"/>
      <c r="AQ226" s="172"/>
      <c r="AR226" s="178" t="s">
        <v>2618</v>
      </c>
      <c r="AS226" s="178" t="s">
        <v>2618</v>
      </c>
      <c r="BD226" s="185" t="s">
        <v>1442</v>
      </c>
      <c r="BE226" s="156" t="s">
        <v>1481</v>
      </c>
      <c r="BF226" s="159" t="s">
        <v>1539</v>
      </c>
      <c r="BG226" s="159" t="s">
        <v>129</v>
      </c>
      <c r="BH226" s="159" t="s">
        <v>46</v>
      </c>
      <c r="BI226" s="159" t="s">
        <v>41</v>
      </c>
      <c r="BJ226" s="156">
        <v>1</v>
      </c>
      <c r="BK226" s="156"/>
      <c r="BL226" s="156"/>
    </row>
    <row r="227" spans="1:70">
      <c r="A227" s="184" t="str">
        <f t="shared" si="3"/>
        <v>42311223</v>
      </c>
      <c r="B227" s="158" t="s">
        <v>1857</v>
      </c>
      <c r="C227" s="158" t="s">
        <v>3073</v>
      </c>
      <c r="D227" s="159" t="s">
        <v>1856</v>
      </c>
      <c r="E227" s="159"/>
      <c r="F227" s="158" t="s">
        <v>1858</v>
      </c>
      <c r="G227" s="167">
        <v>37374</v>
      </c>
      <c r="H227" s="167"/>
      <c r="I227" s="159" t="s">
        <v>2570</v>
      </c>
      <c r="J227" s="159" t="s">
        <v>2619</v>
      </c>
      <c r="K227" s="159" t="s">
        <v>165</v>
      </c>
      <c r="L227" s="159" t="s">
        <v>177</v>
      </c>
      <c r="M227" s="158" t="s">
        <v>2625</v>
      </c>
      <c r="N227" s="158" t="s">
        <v>2625</v>
      </c>
      <c r="O227" s="159" t="s">
        <v>2659</v>
      </c>
      <c r="P227" s="159" t="s">
        <v>2659</v>
      </c>
      <c r="Q227" s="159" t="s">
        <v>2840</v>
      </c>
      <c r="R227" s="159" t="s">
        <v>2863</v>
      </c>
      <c r="S227" s="159"/>
      <c r="T227" s="159"/>
      <c r="U227" s="158"/>
      <c r="V227" s="158"/>
      <c r="W227" s="159"/>
      <c r="X227" s="159"/>
      <c r="Y227" s="159"/>
      <c r="Z227" s="159"/>
      <c r="AA227" s="159"/>
      <c r="AB227" s="167">
        <v>45255</v>
      </c>
      <c r="AC227" s="159" t="s">
        <v>129</v>
      </c>
      <c r="AD227" s="158"/>
      <c r="AE227" s="159"/>
      <c r="AF227" s="159"/>
      <c r="AG227" s="159"/>
      <c r="AH227" s="159"/>
      <c r="AI227" s="159"/>
      <c r="AJ227" s="159"/>
      <c r="AK227" s="159" t="s">
        <v>2600</v>
      </c>
      <c r="AL227" s="159"/>
      <c r="AM227" s="159"/>
      <c r="AN227" s="159" t="s">
        <v>786</v>
      </c>
      <c r="AO227" s="172" t="s">
        <v>115</v>
      </c>
      <c r="AP227" s="172"/>
      <c r="AQ227" s="172"/>
      <c r="AR227" s="178" t="s">
        <v>2618</v>
      </c>
      <c r="AS227" s="178" t="s">
        <v>2618</v>
      </c>
      <c r="BD227" s="185" t="s">
        <v>1442</v>
      </c>
      <c r="BE227" s="156" t="s">
        <v>1758</v>
      </c>
      <c r="BF227" s="159" t="s">
        <v>1508</v>
      </c>
      <c r="BG227" s="159" t="s">
        <v>129</v>
      </c>
      <c r="BH227" s="159" t="s">
        <v>46</v>
      </c>
      <c r="BI227" s="159" t="s">
        <v>41</v>
      </c>
      <c r="BJ227" s="156">
        <v>1</v>
      </c>
      <c r="BK227" s="156"/>
      <c r="BL227" s="156"/>
    </row>
    <row r="228" spans="1:70">
      <c r="A228" s="184" t="str">
        <f t="shared" si="3"/>
        <v>42402224</v>
      </c>
      <c r="B228" s="158" t="s">
        <v>1420</v>
      </c>
      <c r="C228" s="158" t="s">
        <v>3074</v>
      </c>
      <c r="D228" s="159" t="s">
        <v>1419</v>
      </c>
      <c r="E228" s="159"/>
      <c r="F228" s="158" t="s">
        <v>1421</v>
      </c>
      <c r="G228" s="167">
        <v>38235</v>
      </c>
      <c r="H228" s="167"/>
      <c r="I228" s="159" t="s">
        <v>2569</v>
      </c>
      <c r="J228" s="159" t="s">
        <v>2619</v>
      </c>
      <c r="K228" s="159" t="s">
        <v>165</v>
      </c>
      <c r="L228" s="159" t="s">
        <v>100</v>
      </c>
      <c r="M228" s="158" t="s">
        <v>2627</v>
      </c>
      <c r="N228" s="158" t="s">
        <v>2622</v>
      </c>
      <c r="O228" s="159" t="s">
        <v>2659</v>
      </c>
      <c r="P228" s="159" t="s">
        <v>2659</v>
      </c>
      <c r="Q228" s="159" t="s">
        <v>2840</v>
      </c>
      <c r="R228" s="159" t="s">
        <v>2863</v>
      </c>
      <c r="S228" s="159"/>
      <c r="T228" s="159"/>
      <c r="U228" s="158"/>
      <c r="V228" s="158"/>
      <c r="W228" s="159"/>
      <c r="X228" s="159"/>
      <c r="Y228" s="159"/>
      <c r="Z228" s="159"/>
      <c r="AA228" s="159"/>
      <c r="AB228" s="167">
        <v>45327</v>
      </c>
      <c r="AC228" s="159" t="s">
        <v>129</v>
      </c>
      <c r="AD228" s="158"/>
      <c r="AE228" s="159"/>
      <c r="AF228" s="159"/>
      <c r="AG228" s="159"/>
      <c r="AH228" s="159"/>
      <c r="AI228" s="159"/>
      <c r="AJ228" s="159"/>
      <c r="AK228" s="159" t="s">
        <v>2600</v>
      </c>
      <c r="AL228" s="159"/>
      <c r="AM228" s="159"/>
      <c r="AN228" s="159" t="s">
        <v>786</v>
      </c>
      <c r="AO228" s="172" t="s">
        <v>115</v>
      </c>
      <c r="AP228" s="172"/>
      <c r="AQ228" s="172"/>
      <c r="AR228" s="178" t="s">
        <v>2618</v>
      </c>
      <c r="AS228" s="178" t="s">
        <v>2618</v>
      </c>
      <c r="BD228" s="185" t="s">
        <v>1002</v>
      </c>
      <c r="BE228" s="156" t="s">
        <v>704</v>
      </c>
      <c r="BF228" s="159" t="s">
        <v>2333</v>
      </c>
      <c r="BG228" s="159" t="s">
        <v>129</v>
      </c>
      <c r="BH228" s="159" t="s">
        <v>46</v>
      </c>
      <c r="BI228" s="159" t="s">
        <v>41</v>
      </c>
      <c r="BJ228" s="156">
        <v>1</v>
      </c>
      <c r="BK228" s="156"/>
      <c r="BL228" s="156"/>
    </row>
    <row r="229" spans="1:70">
      <c r="A229" s="184" t="str">
        <f t="shared" si="3"/>
        <v>42404225</v>
      </c>
      <c r="B229" s="158" t="s">
        <v>1704</v>
      </c>
      <c r="C229" s="158" t="s">
        <v>3075</v>
      </c>
      <c r="D229" s="159" t="s">
        <v>1703</v>
      </c>
      <c r="E229" s="159"/>
      <c r="F229" s="158" t="s">
        <v>1705</v>
      </c>
      <c r="G229" s="167">
        <v>32340</v>
      </c>
      <c r="H229" s="167"/>
      <c r="I229" s="159" t="s">
        <v>2569</v>
      </c>
      <c r="J229" s="159" t="s">
        <v>2619</v>
      </c>
      <c r="K229" s="159" t="s">
        <v>35</v>
      </c>
      <c r="L229" s="159" t="s">
        <v>1514</v>
      </c>
      <c r="M229" s="158" t="s">
        <v>2626</v>
      </c>
      <c r="N229" s="158" t="s">
        <v>2625</v>
      </c>
      <c r="O229" s="159" t="s">
        <v>2657</v>
      </c>
      <c r="P229" s="159" t="s">
        <v>2662</v>
      </c>
      <c r="Q229" s="159" t="s">
        <v>2840</v>
      </c>
      <c r="R229" s="159" t="s">
        <v>2863</v>
      </c>
      <c r="S229" s="159"/>
      <c r="T229" s="159"/>
      <c r="U229" s="158"/>
      <c r="V229" s="158"/>
      <c r="W229" s="159"/>
      <c r="X229" s="159"/>
      <c r="Y229" s="159"/>
      <c r="Z229" s="159"/>
      <c r="AA229" s="159"/>
      <c r="AB229" s="167">
        <v>45390</v>
      </c>
      <c r="AC229" s="159" t="s">
        <v>129</v>
      </c>
      <c r="AD229" s="158"/>
      <c r="AE229" s="159"/>
      <c r="AF229" s="159"/>
      <c r="AG229" s="159"/>
      <c r="AH229" s="159"/>
      <c r="AI229" s="159"/>
      <c r="AJ229" s="159"/>
      <c r="AK229" s="159" t="s">
        <v>2600</v>
      </c>
      <c r="AL229" s="159"/>
      <c r="AM229" s="159"/>
      <c r="AN229" s="159" t="s">
        <v>786</v>
      </c>
      <c r="AO229" s="172" t="s">
        <v>115</v>
      </c>
      <c r="AP229" s="172"/>
      <c r="AQ229" s="172"/>
      <c r="AR229" s="178" t="s">
        <v>2618</v>
      </c>
      <c r="AS229" s="178" t="s">
        <v>2618</v>
      </c>
      <c r="BD229" s="185" t="s">
        <v>1442</v>
      </c>
      <c r="BE229" s="156" t="s">
        <v>1481</v>
      </c>
      <c r="BF229" s="159" t="s">
        <v>1508</v>
      </c>
      <c r="BG229" s="159" t="s">
        <v>129</v>
      </c>
      <c r="BH229" s="159" t="s">
        <v>32</v>
      </c>
      <c r="BI229" s="159" t="s">
        <v>41</v>
      </c>
      <c r="BJ229" s="156">
        <v>1</v>
      </c>
      <c r="BK229" s="156"/>
      <c r="BL229" s="156"/>
    </row>
    <row r="230" spans="1:70">
      <c r="A230" s="184" t="str">
        <f t="shared" si="3"/>
        <v>42404226</v>
      </c>
      <c r="B230" s="158" t="s">
        <v>179</v>
      </c>
      <c r="C230" s="158" t="s">
        <v>3076</v>
      </c>
      <c r="D230" s="159" t="s">
        <v>178</v>
      </c>
      <c r="E230" s="159"/>
      <c r="F230" s="158" t="s">
        <v>181</v>
      </c>
      <c r="G230" s="167">
        <v>36502</v>
      </c>
      <c r="H230" s="167"/>
      <c r="I230" s="159" t="s">
        <v>2569</v>
      </c>
      <c r="J230" s="159" t="s">
        <v>2619</v>
      </c>
      <c r="K230" s="159" t="s">
        <v>35</v>
      </c>
      <c r="L230" s="159" t="s">
        <v>180</v>
      </c>
      <c r="M230" s="158" t="s">
        <v>2623</v>
      </c>
      <c r="N230" s="158" t="s">
        <v>2622</v>
      </c>
      <c r="O230" s="159" t="s">
        <v>2730</v>
      </c>
      <c r="P230" s="159" t="s">
        <v>2807</v>
      </c>
      <c r="Q230" s="159" t="s">
        <v>2846</v>
      </c>
      <c r="R230" s="159" t="s">
        <v>2863</v>
      </c>
      <c r="S230" s="159"/>
      <c r="T230" s="159"/>
      <c r="U230" s="158"/>
      <c r="V230" s="158"/>
      <c r="W230" s="159"/>
      <c r="X230" s="159"/>
      <c r="Y230" s="159"/>
      <c r="Z230" s="159"/>
      <c r="AA230" s="159"/>
      <c r="AB230" s="167">
        <v>45405</v>
      </c>
      <c r="AC230" s="159" t="s">
        <v>129</v>
      </c>
      <c r="AD230" s="158"/>
      <c r="AE230" s="159"/>
      <c r="AF230" s="159"/>
      <c r="AG230" s="159"/>
      <c r="AH230" s="159"/>
      <c r="AI230" s="159"/>
      <c r="AJ230" s="159"/>
      <c r="AK230" s="159" t="s">
        <v>2600</v>
      </c>
      <c r="AL230" s="159"/>
      <c r="AM230" s="159"/>
      <c r="AN230" s="159" t="s">
        <v>29</v>
      </c>
      <c r="AO230" s="172" t="s">
        <v>115</v>
      </c>
      <c r="AP230" s="172"/>
      <c r="AQ230" s="172"/>
      <c r="AR230" s="178" t="s">
        <v>2618</v>
      </c>
      <c r="AS230" s="178" t="s">
        <v>2618</v>
      </c>
      <c r="BD230" s="156"/>
      <c r="BE230" s="185" t="s">
        <v>128</v>
      </c>
      <c r="BF230" s="159"/>
      <c r="BG230" s="159" t="s">
        <v>129</v>
      </c>
      <c r="BH230" s="159" t="s">
        <v>32</v>
      </c>
      <c r="BI230" s="159" t="s">
        <v>41</v>
      </c>
      <c r="BJ230" s="156">
        <v>1</v>
      </c>
      <c r="BK230" s="156"/>
      <c r="BL230" s="156"/>
    </row>
    <row r="231" spans="1:70">
      <c r="A231" s="184" t="str">
        <f t="shared" si="3"/>
        <v>32405227</v>
      </c>
      <c r="B231" s="158" t="s">
        <v>2126</v>
      </c>
      <c r="C231" s="158" t="s">
        <v>3077</v>
      </c>
      <c r="D231" s="159" t="s">
        <v>2125</v>
      </c>
      <c r="E231" s="159"/>
      <c r="F231" s="158" t="s">
        <v>2128</v>
      </c>
      <c r="G231" s="167">
        <v>38125</v>
      </c>
      <c r="H231" s="167"/>
      <c r="I231" s="159" t="s">
        <v>2570</v>
      </c>
      <c r="J231" s="159" t="s">
        <v>2619</v>
      </c>
      <c r="K231" s="159" t="s">
        <v>165</v>
      </c>
      <c r="L231" s="159" t="s">
        <v>2127</v>
      </c>
      <c r="M231" s="158" t="s">
        <v>2643</v>
      </c>
      <c r="N231" s="158" t="s">
        <v>2628</v>
      </c>
      <c r="O231" s="159" t="s">
        <v>2731</v>
      </c>
      <c r="P231" s="159" t="s">
        <v>2816</v>
      </c>
      <c r="Q231" s="159" t="s">
        <v>2840</v>
      </c>
      <c r="R231" s="159" t="s">
        <v>2863</v>
      </c>
      <c r="S231" s="159"/>
      <c r="T231" s="159"/>
      <c r="U231" s="158"/>
      <c r="V231" s="158"/>
      <c r="W231" s="159"/>
      <c r="X231" s="159"/>
      <c r="Y231" s="159"/>
      <c r="Z231" s="159"/>
      <c r="AA231" s="159"/>
      <c r="AB231" s="167">
        <v>45418</v>
      </c>
      <c r="AC231" s="159" t="s">
        <v>71</v>
      </c>
      <c r="AD231" s="158"/>
      <c r="AE231" s="159"/>
      <c r="AF231" s="159"/>
      <c r="AG231" s="159"/>
      <c r="AH231" s="159"/>
      <c r="AI231" s="159"/>
      <c r="AJ231" s="159"/>
      <c r="AK231" s="159" t="s">
        <v>2600</v>
      </c>
      <c r="AL231" s="159"/>
      <c r="AM231" s="159"/>
      <c r="AN231" s="185" t="s">
        <v>2065</v>
      </c>
      <c r="AO231" s="162" t="s">
        <v>2104</v>
      </c>
      <c r="AR231" s="178" t="s">
        <v>2618</v>
      </c>
      <c r="AS231" s="178" t="s">
        <v>2618</v>
      </c>
      <c r="BD231" s="159"/>
      <c r="BE231" s="159" t="s">
        <v>2468</v>
      </c>
      <c r="BF231" s="159"/>
      <c r="BG231" s="159" t="s">
        <v>71</v>
      </c>
      <c r="BH231" s="159" t="s">
        <v>46</v>
      </c>
      <c r="BI231" s="159" t="s">
        <v>41</v>
      </c>
      <c r="BJ231" s="156">
        <v>1</v>
      </c>
      <c r="BK231" s="156"/>
      <c r="BL231" s="156"/>
      <c r="BM231" s="193"/>
      <c r="BN231" s="193"/>
      <c r="BO231" s="193"/>
      <c r="BP231" s="193"/>
      <c r="BQ231" s="193"/>
      <c r="BR231" s="193"/>
    </row>
    <row r="232" spans="1:70">
      <c r="A232" s="184" t="str">
        <f t="shared" si="3"/>
        <v>42405228</v>
      </c>
      <c r="B232" s="158" t="s">
        <v>205</v>
      </c>
      <c r="C232" s="158" t="s">
        <v>3078</v>
      </c>
      <c r="D232" s="159" t="s">
        <v>204</v>
      </c>
      <c r="E232" s="159"/>
      <c r="F232" s="158" t="s">
        <v>207</v>
      </c>
      <c r="G232" s="167">
        <v>29392</v>
      </c>
      <c r="H232" s="167"/>
      <c r="I232" s="159" t="s">
        <v>2569</v>
      </c>
      <c r="J232" s="159" t="s">
        <v>2619</v>
      </c>
      <c r="K232" s="159" t="s">
        <v>35</v>
      </c>
      <c r="L232" s="159" t="s">
        <v>206</v>
      </c>
      <c r="M232" s="158" t="s">
        <v>2644</v>
      </c>
      <c r="N232" s="158" t="s">
        <v>2629</v>
      </c>
      <c r="O232" s="159" t="s">
        <v>2732</v>
      </c>
      <c r="P232" s="159" t="s">
        <v>2732</v>
      </c>
      <c r="Q232" s="159" t="s">
        <v>2840</v>
      </c>
      <c r="R232" s="159" t="s">
        <v>2863</v>
      </c>
      <c r="S232" s="159"/>
      <c r="T232" s="159"/>
      <c r="U232" s="158"/>
      <c r="V232" s="158"/>
      <c r="W232" s="159"/>
      <c r="X232" s="159"/>
      <c r="Y232" s="159"/>
      <c r="Z232" s="159"/>
      <c r="AA232" s="159"/>
      <c r="AB232" s="167">
        <v>45419</v>
      </c>
      <c r="AC232" s="159" t="s">
        <v>129</v>
      </c>
      <c r="AD232" s="158"/>
      <c r="AE232" s="159"/>
      <c r="AF232" s="159"/>
      <c r="AG232" s="159"/>
      <c r="AH232" s="159"/>
      <c r="AI232" s="159"/>
      <c r="AJ232" s="159"/>
      <c r="AK232" s="159" t="s">
        <v>2600</v>
      </c>
      <c r="AL232" s="159"/>
      <c r="AM232" s="159"/>
      <c r="AN232" s="159" t="s">
        <v>29</v>
      </c>
      <c r="AO232" s="172" t="s">
        <v>115</v>
      </c>
      <c r="AP232" s="172"/>
      <c r="AQ232" s="172"/>
      <c r="AR232" s="178" t="s">
        <v>2618</v>
      </c>
      <c r="AS232" s="178" t="s">
        <v>2618</v>
      </c>
      <c r="BD232" s="156"/>
      <c r="BE232" s="185" t="s">
        <v>128</v>
      </c>
      <c r="BF232" s="159"/>
      <c r="BG232" s="159" t="s">
        <v>129</v>
      </c>
      <c r="BH232" s="159" t="s">
        <v>121</v>
      </c>
      <c r="BI232" s="159" t="s">
        <v>41</v>
      </c>
      <c r="BJ232" s="156">
        <v>1</v>
      </c>
      <c r="BK232" s="156"/>
      <c r="BL232" s="156"/>
    </row>
    <row r="233" spans="1:70">
      <c r="A233" s="184" t="str">
        <f t="shared" si="3"/>
        <v>22405229</v>
      </c>
      <c r="B233" s="164"/>
      <c r="C233" s="158" t="s">
        <v>3079</v>
      </c>
      <c r="D233" s="159" t="s">
        <v>785</v>
      </c>
      <c r="E233" s="159"/>
      <c r="F233" s="158"/>
      <c r="G233" s="167"/>
      <c r="H233" s="167"/>
      <c r="I233" s="159" t="s">
        <v>2569</v>
      </c>
      <c r="J233" s="159" t="s">
        <v>2619</v>
      </c>
      <c r="K233" s="159"/>
      <c r="L233" s="159"/>
      <c r="M233" s="158"/>
      <c r="N233" s="158"/>
      <c r="O233" s="159"/>
      <c r="P233" s="159"/>
      <c r="Q233" s="159" t="s">
        <v>2840</v>
      </c>
      <c r="R233" s="159" t="s">
        <v>2863</v>
      </c>
      <c r="S233" s="159"/>
      <c r="T233" s="159"/>
      <c r="U233" s="158"/>
      <c r="V233" s="158"/>
      <c r="W233" s="159"/>
      <c r="X233" s="159"/>
      <c r="Y233" s="159"/>
      <c r="Z233" s="159"/>
      <c r="AA233" s="159"/>
      <c r="AB233" s="167">
        <v>45432</v>
      </c>
      <c r="AC233" s="159" t="s">
        <v>45</v>
      </c>
      <c r="AD233" s="158"/>
      <c r="AE233" s="159"/>
      <c r="AF233" s="159"/>
      <c r="AG233" s="159"/>
      <c r="AH233" s="159"/>
      <c r="AI233" s="159"/>
      <c r="AJ233" s="159"/>
      <c r="AK233" s="159" t="s">
        <v>2600</v>
      </c>
      <c r="AL233" s="159"/>
      <c r="AM233" s="159"/>
      <c r="AN233" s="185" t="s">
        <v>786</v>
      </c>
      <c r="AO233" s="172" t="s">
        <v>683</v>
      </c>
      <c r="AP233" s="172"/>
      <c r="AQ233" s="172"/>
      <c r="AR233" s="178" t="s">
        <v>2618</v>
      </c>
      <c r="AS233" s="178" t="s">
        <v>2618</v>
      </c>
      <c r="BD233" s="185" t="s">
        <v>787</v>
      </c>
      <c r="BF233" s="156"/>
      <c r="BG233" s="159" t="s">
        <v>45</v>
      </c>
      <c r="BH233" s="159"/>
      <c r="BI233" s="159" t="s">
        <v>41</v>
      </c>
      <c r="BJ233" s="156">
        <v>3</v>
      </c>
      <c r="BK233" s="156"/>
      <c r="BL233" s="156"/>
    </row>
    <row r="234" spans="1:70">
      <c r="A234" s="184" t="str">
        <f t="shared" si="3"/>
        <v>32406230</v>
      </c>
      <c r="B234" s="158" t="s">
        <v>91</v>
      </c>
      <c r="C234" s="158" t="s">
        <v>3080</v>
      </c>
      <c r="D234" s="159" t="s">
        <v>90</v>
      </c>
      <c r="E234" s="159"/>
      <c r="F234" s="158" t="s">
        <v>93</v>
      </c>
      <c r="G234" s="167">
        <v>34735</v>
      </c>
      <c r="H234" s="167"/>
      <c r="I234" s="159" t="s">
        <v>2569</v>
      </c>
      <c r="J234" s="159" t="s">
        <v>2619</v>
      </c>
      <c r="K234" s="159" t="s">
        <v>35</v>
      </c>
      <c r="L234" s="159" t="s">
        <v>92</v>
      </c>
      <c r="M234" s="158" t="s">
        <v>2623</v>
      </c>
      <c r="N234" s="158" t="s">
        <v>2625</v>
      </c>
      <c r="O234" s="159" t="s">
        <v>2678</v>
      </c>
      <c r="P234" s="159" t="s">
        <v>2662</v>
      </c>
      <c r="Q234" s="159" t="s">
        <v>2840</v>
      </c>
      <c r="R234" s="159" t="s">
        <v>2863</v>
      </c>
      <c r="S234" s="159"/>
      <c r="T234" s="159"/>
      <c r="U234" s="158"/>
      <c r="V234" s="158"/>
      <c r="W234" s="159"/>
      <c r="X234" s="159"/>
      <c r="Y234" s="159"/>
      <c r="Z234" s="159"/>
      <c r="AA234" s="159"/>
      <c r="AB234" s="167">
        <v>45444</v>
      </c>
      <c r="AC234" s="159" t="s">
        <v>71</v>
      </c>
      <c r="AD234" s="158"/>
      <c r="AE234" s="159"/>
      <c r="AF234" s="159"/>
      <c r="AG234" s="159"/>
      <c r="AH234" s="159"/>
      <c r="AI234" s="159"/>
      <c r="AJ234" s="159"/>
      <c r="AK234" s="159" t="s">
        <v>2600</v>
      </c>
      <c r="AL234" s="159"/>
      <c r="AM234" s="159"/>
      <c r="AN234" s="159" t="s">
        <v>29</v>
      </c>
      <c r="AO234" s="172" t="s">
        <v>78</v>
      </c>
      <c r="AP234" s="172"/>
      <c r="AQ234" s="172"/>
      <c r="AR234" s="178" t="s">
        <v>2618</v>
      </c>
      <c r="AS234" s="178" t="s">
        <v>2618</v>
      </c>
      <c r="BD234" s="156"/>
      <c r="BF234" s="159"/>
      <c r="BG234" s="159" t="s">
        <v>71</v>
      </c>
      <c r="BH234" s="159" t="s">
        <v>32</v>
      </c>
      <c r="BI234" s="159" t="s">
        <v>41</v>
      </c>
      <c r="BJ234" s="156">
        <v>1</v>
      </c>
      <c r="BK234" s="156"/>
      <c r="BL234" s="156"/>
    </row>
    <row r="235" spans="1:70">
      <c r="A235" s="184" t="str">
        <f t="shared" si="3"/>
        <v>32406231</v>
      </c>
      <c r="B235" s="158" t="s">
        <v>673</v>
      </c>
      <c r="C235" s="158" t="s">
        <v>3081</v>
      </c>
      <c r="D235" s="159" t="s">
        <v>672</v>
      </c>
      <c r="E235" s="159"/>
      <c r="F235" s="158" t="s">
        <v>675</v>
      </c>
      <c r="G235" s="167">
        <v>35663</v>
      </c>
      <c r="H235" s="167"/>
      <c r="I235" s="159" t="s">
        <v>2569</v>
      </c>
      <c r="J235" s="159" t="s">
        <v>2619</v>
      </c>
      <c r="K235" s="159" t="s">
        <v>35</v>
      </c>
      <c r="L235" s="159" t="s">
        <v>674</v>
      </c>
      <c r="M235" s="158" t="s">
        <v>2626</v>
      </c>
      <c r="N235" s="158" t="s">
        <v>2621</v>
      </c>
      <c r="O235" s="159" t="s">
        <v>2733</v>
      </c>
      <c r="P235" s="159" t="s">
        <v>2711</v>
      </c>
      <c r="Q235" s="159" t="s">
        <v>2840</v>
      </c>
      <c r="R235" s="159" t="s">
        <v>2863</v>
      </c>
      <c r="S235" s="159"/>
      <c r="T235" s="159"/>
      <c r="U235" s="158"/>
      <c r="V235" s="158"/>
      <c r="W235" s="159"/>
      <c r="X235" s="159"/>
      <c r="Y235" s="159"/>
      <c r="Z235" s="159"/>
      <c r="AA235" s="159"/>
      <c r="AB235" s="167">
        <v>45444</v>
      </c>
      <c r="AC235" s="159" t="s">
        <v>71</v>
      </c>
      <c r="AD235" s="158"/>
      <c r="AE235" s="159"/>
      <c r="AF235" s="159"/>
      <c r="AG235" s="159"/>
      <c r="AH235" s="159"/>
      <c r="AI235" s="159"/>
      <c r="AJ235" s="159"/>
      <c r="AK235" s="159" t="s">
        <v>2600</v>
      </c>
      <c r="AL235" s="159"/>
      <c r="AM235" s="159"/>
      <c r="AN235" s="159" t="s">
        <v>553</v>
      </c>
      <c r="AO235" s="172" t="s">
        <v>564</v>
      </c>
      <c r="AP235" s="172"/>
      <c r="AQ235" s="172"/>
      <c r="AR235" s="178" t="s">
        <v>2618</v>
      </c>
      <c r="AS235" s="178" t="s">
        <v>2618</v>
      </c>
      <c r="BD235" s="156" t="s">
        <v>584</v>
      </c>
      <c r="BE235" s="156" t="s">
        <v>584</v>
      </c>
      <c r="BF235" s="159"/>
      <c r="BG235" s="159" t="s">
        <v>71</v>
      </c>
      <c r="BH235" s="159" t="s">
        <v>299</v>
      </c>
      <c r="BI235" s="159" t="s">
        <v>41</v>
      </c>
      <c r="BJ235" s="156">
        <v>1</v>
      </c>
      <c r="BK235" s="156"/>
      <c r="BL235" s="156"/>
    </row>
    <row r="236" spans="1:70">
      <c r="A236" s="184" t="str">
        <f t="shared" si="3"/>
        <v>42406232</v>
      </c>
      <c r="B236" s="158" t="s">
        <v>1625</v>
      </c>
      <c r="C236" s="158" t="s">
        <v>3082</v>
      </c>
      <c r="D236" s="159" t="s">
        <v>1624</v>
      </c>
      <c r="E236" s="159"/>
      <c r="F236" s="158" t="s">
        <v>1626</v>
      </c>
      <c r="G236" s="167">
        <v>38669</v>
      </c>
      <c r="H236" s="167"/>
      <c r="I236" s="159" t="s">
        <v>2569</v>
      </c>
      <c r="J236" s="159" t="s">
        <v>2619</v>
      </c>
      <c r="K236" s="159" t="s">
        <v>165</v>
      </c>
      <c r="L236" s="159" t="s">
        <v>974</v>
      </c>
      <c r="M236" s="158" t="s">
        <v>2626</v>
      </c>
      <c r="N236" s="158" t="s">
        <v>2626</v>
      </c>
      <c r="O236" s="159" t="s">
        <v>2659</v>
      </c>
      <c r="P236" s="159" t="s">
        <v>2659</v>
      </c>
      <c r="Q236" s="159" t="s">
        <v>2840</v>
      </c>
      <c r="R236" s="159" t="s">
        <v>2863</v>
      </c>
      <c r="S236" s="159"/>
      <c r="T236" s="159"/>
      <c r="U236" s="158"/>
      <c r="V236" s="158"/>
      <c r="W236" s="159"/>
      <c r="X236" s="159"/>
      <c r="Y236" s="159"/>
      <c r="Z236" s="159"/>
      <c r="AA236" s="159"/>
      <c r="AB236" s="167">
        <v>45444</v>
      </c>
      <c r="AC236" s="159" t="s">
        <v>129</v>
      </c>
      <c r="AD236" s="158"/>
      <c r="AE236" s="159"/>
      <c r="AF236" s="159"/>
      <c r="AG236" s="159"/>
      <c r="AH236" s="159"/>
      <c r="AI236" s="159"/>
      <c r="AJ236" s="159"/>
      <c r="AK236" s="159" t="s">
        <v>2600</v>
      </c>
      <c r="AL236" s="159"/>
      <c r="AM236" s="159"/>
      <c r="AN236" s="159" t="s">
        <v>786</v>
      </c>
      <c r="AO236" s="172" t="s">
        <v>115</v>
      </c>
      <c r="AP236" s="172"/>
      <c r="AQ236" s="172"/>
      <c r="AR236" s="178" t="s">
        <v>2618</v>
      </c>
      <c r="AS236" s="178" t="s">
        <v>2618</v>
      </c>
      <c r="BD236" s="185" t="s">
        <v>1442</v>
      </c>
      <c r="BE236" s="156" t="s">
        <v>1488</v>
      </c>
      <c r="BF236" s="159" t="s">
        <v>1508</v>
      </c>
      <c r="BG236" s="159" t="s">
        <v>129</v>
      </c>
      <c r="BH236" s="159" t="s">
        <v>46</v>
      </c>
      <c r="BI236" s="159" t="s">
        <v>41</v>
      </c>
      <c r="BJ236" s="156">
        <v>1</v>
      </c>
      <c r="BK236" s="156"/>
      <c r="BL236" s="156"/>
    </row>
    <row r="237" spans="1:70">
      <c r="A237" s="184" t="str">
        <f t="shared" si="3"/>
        <v>42406233</v>
      </c>
      <c r="B237" s="158" t="s">
        <v>1655</v>
      </c>
      <c r="C237" s="158" t="s">
        <v>3083</v>
      </c>
      <c r="D237" s="159" t="s">
        <v>1654</v>
      </c>
      <c r="E237" s="159"/>
      <c r="F237" s="158" t="s">
        <v>1657</v>
      </c>
      <c r="G237" s="167">
        <v>38609</v>
      </c>
      <c r="H237" s="167"/>
      <c r="I237" s="159" t="s">
        <v>2569</v>
      </c>
      <c r="J237" s="159" t="s">
        <v>2619</v>
      </c>
      <c r="K237" s="159" t="s">
        <v>165</v>
      </c>
      <c r="L237" s="159" t="s">
        <v>1656</v>
      </c>
      <c r="M237" s="158" t="s">
        <v>2626</v>
      </c>
      <c r="N237" s="158" t="s">
        <v>2622</v>
      </c>
      <c r="O237" s="159" t="s">
        <v>2699</v>
      </c>
      <c r="P237" s="159" t="s">
        <v>2659</v>
      </c>
      <c r="Q237" s="159" t="s">
        <v>2840</v>
      </c>
      <c r="R237" s="159" t="s">
        <v>2863</v>
      </c>
      <c r="S237" s="159"/>
      <c r="T237" s="159"/>
      <c r="U237" s="158"/>
      <c r="V237" s="158"/>
      <c r="W237" s="159"/>
      <c r="X237" s="159"/>
      <c r="Y237" s="159"/>
      <c r="Z237" s="159"/>
      <c r="AA237" s="159"/>
      <c r="AB237" s="167">
        <v>45444</v>
      </c>
      <c r="AC237" s="159" t="s">
        <v>129</v>
      </c>
      <c r="AD237" s="158"/>
      <c r="AE237" s="159"/>
      <c r="AF237" s="159"/>
      <c r="AG237" s="159"/>
      <c r="AH237" s="159"/>
      <c r="AI237" s="159"/>
      <c r="AJ237" s="159"/>
      <c r="AK237" s="159" t="s">
        <v>2600</v>
      </c>
      <c r="AL237" s="159"/>
      <c r="AM237" s="159"/>
      <c r="AN237" s="159" t="s">
        <v>786</v>
      </c>
      <c r="AO237" s="172" t="s">
        <v>115</v>
      </c>
      <c r="AP237" s="172"/>
      <c r="AQ237" s="172"/>
      <c r="AR237" s="178" t="s">
        <v>2618</v>
      </c>
      <c r="AS237" s="178" t="s">
        <v>2618</v>
      </c>
      <c r="BD237" s="185" t="s">
        <v>1442</v>
      </c>
      <c r="BE237" s="156" t="s">
        <v>1488</v>
      </c>
      <c r="BF237" s="159" t="s">
        <v>1539</v>
      </c>
      <c r="BG237" s="159" t="s">
        <v>129</v>
      </c>
      <c r="BH237" s="159" t="s">
        <v>46</v>
      </c>
      <c r="BI237" s="159" t="s">
        <v>41</v>
      </c>
      <c r="BJ237" s="156">
        <v>1</v>
      </c>
      <c r="BK237" s="156"/>
      <c r="BL237" s="156"/>
    </row>
    <row r="238" spans="1:70">
      <c r="A238" s="184" t="str">
        <f t="shared" si="3"/>
        <v>42406234</v>
      </c>
      <c r="B238" s="158" t="s">
        <v>1663</v>
      </c>
      <c r="C238" s="158" t="s">
        <v>3084</v>
      </c>
      <c r="D238" s="159" t="s">
        <v>1662</v>
      </c>
      <c r="E238" s="159"/>
      <c r="F238" s="158" t="s">
        <v>1664</v>
      </c>
      <c r="G238" s="167">
        <v>31990</v>
      </c>
      <c r="H238" s="167"/>
      <c r="I238" s="159" t="s">
        <v>2569</v>
      </c>
      <c r="J238" s="159" t="s">
        <v>2619</v>
      </c>
      <c r="K238" s="159" t="s">
        <v>35</v>
      </c>
      <c r="L238" s="159" t="s">
        <v>1153</v>
      </c>
      <c r="M238" s="158" t="s">
        <v>2622</v>
      </c>
      <c r="N238" s="158" t="s">
        <v>2622</v>
      </c>
      <c r="O238" s="159" t="s">
        <v>2659</v>
      </c>
      <c r="P238" s="159" t="s">
        <v>2659</v>
      </c>
      <c r="Q238" s="159" t="s">
        <v>2840</v>
      </c>
      <c r="R238" s="159" t="s">
        <v>2863</v>
      </c>
      <c r="S238" s="159"/>
      <c r="T238" s="159"/>
      <c r="U238" s="158"/>
      <c r="V238" s="158"/>
      <c r="W238" s="159"/>
      <c r="X238" s="159"/>
      <c r="Y238" s="159"/>
      <c r="Z238" s="159"/>
      <c r="AA238" s="159"/>
      <c r="AB238" s="167">
        <v>45444</v>
      </c>
      <c r="AC238" s="159" t="s">
        <v>129</v>
      </c>
      <c r="AD238" s="158"/>
      <c r="AE238" s="159"/>
      <c r="AF238" s="159"/>
      <c r="AG238" s="159"/>
      <c r="AH238" s="159"/>
      <c r="AI238" s="159"/>
      <c r="AJ238" s="159"/>
      <c r="AK238" s="159" t="s">
        <v>2600</v>
      </c>
      <c r="AL238" s="159"/>
      <c r="AM238" s="159"/>
      <c r="AN238" s="159" t="s">
        <v>786</v>
      </c>
      <c r="AO238" s="172" t="s">
        <v>115</v>
      </c>
      <c r="AP238" s="172"/>
      <c r="AQ238" s="172"/>
      <c r="AR238" s="178" t="s">
        <v>2618</v>
      </c>
      <c r="AS238" s="178" t="s">
        <v>2618</v>
      </c>
      <c r="BD238" s="185" t="s">
        <v>1442</v>
      </c>
      <c r="BE238" s="156" t="s">
        <v>1499</v>
      </c>
      <c r="BF238" s="159" t="s">
        <v>1482</v>
      </c>
      <c r="BG238" s="159" t="s">
        <v>129</v>
      </c>
      <c r="BH238" s="159" t="s">
        <v>32</v>
      </c>
      <c r="BI238" s="159" t="s">
        <v>41</v>
      </c>
      <c r="BJ238" s="156">
        <v>1</v>
      </c>
      <c r="BK238" s="156"/>
      <c r="BL238" s="156"/>
    </row>
    <row r="239" spans="1:70">
      <c r="A239" s="184" t="str">
        <f t="shared" si="3"/>
        <v>42406235</v>
      </c>
      <c r="B239" s="158" t="s">
        <v>1853</v>
      </c>
      <c r="C239" s="158" t="s">
        <v>3085</v>
      </c>
      <c r="D239" s="159" t="s">
        <v>1852</v>
      </c>
      <c r="E239" s="159"/>
      <c r="F239" s="158" t="s">
        <v>1854</v>
      </c>
      <c r="G239" s="167">
        <v>33349</v>
      </c>
      <c r="H239" s="167"/>
      <c r="I239" s="159" t="s">
        <v>2570</v>
      </c>
      <c r="J239" s="159" t="s">
        <v>2619</v>
      </c>
      <c r="K239" s="159" t="s">
        <v>35</v>
      </c>
      <c r="L239" s="159" t="s">
        <v>100</v>
      </c>
      <c r="M239" s="158" t="s">
        <v>2627</v>
      </c>
      <c r="N239" s="158" t="s">
        <v>2622</v>
      </c>
      <c r="O239" s="159" t="s">
        <v>2659</v>
      </c>
      <c r="P239" s="159" t="s">
        <v>2659</v>
      </c>
      <c r="Q239" s="159" t="s">
        <v>2840</v>
      </c>
      <c r="R239" s="159" t="s">
        <v>2863</v>
      </c>
      <c r="S239" s="159"/>
      <c r="T239" s="159"/>
      <c r="U239" s="158"/>
      <c r="V239" s="158"/>
      <c r="W239" s="159"/>
      <c r="X239" s="159"/>
      <c r="Y239" s="159"/>
      <c r="Z239" s="159"/>
      <c r="AA239" s="159"/>
      <c r="AB239" s="167">
        <v>45444</v>
      </c>
      <c r="AC239" s="159" t="s">
        <v>129</v>
      </c>
      <c r="AD239" s="158"/>
      <c r="AE239" s="159"/>
      <c r="AF239" s="159"/>
      <c r="AG239" s="159"/>
      <c r="AH239" s="159"/>
      <c r="AI239" s="159"/>
      <c r="AJ239" s="159"/>
      <c r="AK239" s="159" t="s">
        <v>2600</v>
      </c>
      <c r="AL239" s="159"/>
      <c r="AM239" s="159"/>
      <c r="AN239" s="159" t="s">
        <v>786</v>
      </c>
      <c r="AO239" s="172" t="s">
        <v>115</v>
      </c>
      <c r="AP239" s="172"/>
      <c r="AQ239" s="172"/>
      <c r="AR239" s="178" t="s">
        <v>2618</v>
      </c>
      <c r="AS239" s="178" t="s">
        <v>2618</v>
      </c>
      <c r="BD239" s="185" t="s">
        <v>1442</v>
      </c>
      <c r="BE239" s="156" t="s">
        <v>1758</v>
      </c>
      <c r="BF239" s="159" t="s">
        <v>1508</v>
      </c>
      <c r="BG239" s="159" t="s">
        <v>129</v>
      </c>
      <c r="BH239" s="159" t="s">
        <v>46</v>
      </c>
      <c r="BI239" s="159" t="s">
        <v>41</v>
      </c>
      <c r="BJ239" s="156">
        <v>1</v>
      </c>
      <c r="BK239" s="156"/>
      <c r="BL239" s="156"/>
    </row>
    <row r="240" spans="1:70">
      <c r="A240" s="184" t="str">
        <f t="shared" si="3"/>
        <v>42406236</v>
      </c>
      <c r="B240" s="158" t="s">
        <v>1871</v>
      </c>
      <c r="C240" s="158" t="s">
        <v>3086</v>
      </c>
      <c r="D240" s="159" t="s">
        <v>1870</v>
      </c>
      <c r="E240" s="159"/>
      <c r="F240" s="158" t="s">
        <v>1839</v>
      </c>
      <c r="G240" s="167">
        <v>38562</v>
      </c>
      <c r="H240" s="167"/>
      <c r="I240" s="159" t="s">
        <v>2570</v>
      </c>
      <c r="J240" s="159" t="s">
        <v>2619</v>
      </c>
      <c r="K240" s="159" t="s">
        <v>165</v>
      </c>
      <c r="L240" s="159" t="s">
        <v>1837</v>
      </c>
      <c r="M240" s="158" t="s">
        <v>2631</v>
      </c>
      <c r="N240" s="158" t="s">
        <v>2626</v>
      </c>
      <c r="O240" s="159" t="s">
        <v>2660</v>
      </c>
      <c r="P240" s="159" t="s">
        <v>2662</v>
      </c>
      <c r="Q240" s="159" t="s">
        <v>2840</v>
      </c>
      <c r="R240" s="159" t="s">
        <v>2863</v>
      </c>
      <c r="S240" s="159"/>
      <c r="T240" s="159"/>
      <c r="U240" s="158"/>
      <c r="V240" s="158"/>
      <c r="W240" s="159"/>
      <c r="X240" s="159"/>
      <c r="Y240" s="159"/>
      <c r="Z240" s="159"/>
      <c r="AA240" s="159"/>
      <c r="AB240" s="167">
        <v>45444</v>
      </c>
      <c r="AC240" s="159" t="s">
        <v>129</v>
      </c>
      <c r="AD240" s="158"/>
      <c r="AE240" s="159"/>
      <c r="AF240" s="159"/>
      <c r="AG240" s="159"/>
      <c r="AH240" s="159"/>
      <c r="AI240" s="159"/>
      <c r="AJ240" s="159"/>
      <c r="AK240" s="159" t="s">
        <v>2600</v>
      </c>
      <c r="AL240" s="159"/>
      <c r="AM240" s="159"/>
      <c r="AN240" s="159" t="s">
        <v>786</v>
      </c>
      <c r="AO240" s="172" t="s">
        <v>115</v>
      </c>
      <c r="AP240" s="172"/>
      <c r="AQ240" s="172"/>
      <c r="AR240" s="178" t="s">
        <v>2618</v>
      </c>
      <c r="AS240" s="178" t="s">
        <v>2618</v>
      </c>
      <c r="BD240" s="185" t="s">
        <v>1442</v>
      </c>
      <c r="BE240" s="156" t="s">
        <v>1758</v>
      </c>
      <c r="BF240" s="159" t="s">
        <v>1508</v>
      </c>
      <c r="BG240" s="159" t="s">
        <v>129</v>
      </c>
      <c r="BH240" s="159" t="s">
        <v>46</v>
      </c>
      <c r="BI240" s="159" t="s">
        <v>41</v>
      </c>
      <c r="BJ240" s="156">
        <v>1</v>
      </c>
      <c r="BK240" s="156"/>
      <c r="BL240" s="156"/>
    </row>
    <row r="241" spans="1:70">
      <c r="A241" s="184" t="str">
        <f t="shared" si="3"/>
        <v>42406237</v>
      </c>
      <c r="B241" s="158" t="s">
        <v>2033</v>
      </c>
      <c r="C241" s="158" t="s">
        <v>3087</v>
      </c>
      <c r="D241" s="159" t="s">
        <v>2032</v>
      </c>
      <c r="E241" s="159"/>
      <c r="F241" s="158" t="s">
        <v>2034</v>
      </c>
      <c r="G241" s="167">
        <v>35596</v>
      </c>
      <c r="H241" s="167"/>
      <c r="I241" s="159" t="s">
        <v>2570</v>
      </c>
      <c r="J241" s="159" t="s">
        <v>2619</v>
      </c>
      <c r="K241" s="159" t="s">
        <v>35</v>
      </c>
      <c r="L241" s="159" t="s">
        <v>1977</v>
      </c>
      <c r="M241" s="158" t="s">
        <v>2625</v>
      </c>
      <c r="N241" s="158" t="s">
        <v>2621</v>
      </c>
      <c r="O241" s="159" t="s">
        <v>2659</v>
      </c>
      <c r="P241" s="159" t="s">
        <v>2659</v>
      </c>
      <c r="Q241" s="159" t="s">
        <v>2840</v>
      </c>
      <c r="R241" s="159" t="s">
        <v>2863</v>
      </c>
      <c r="S241" s="159"/>
      <c r="T241" s="159"/>
      <c r="U241" s="158"/>
      <c r="V241" s="158"/>
      <c r="W241" s="159"/>
      <c r="X241" s="159"/>
      <c r="Y241" s="159"/>
      <c r="Z241" s="159"/>
      <c r="AA241" s="159"/>
      <c r="AB241" s="167">
        <v>45444</v>
      </c>
      <c r="AC241" s="159" t="s">
        <v>129</v>
      </c>
      <c r="AD241" s="158"/>
      <c r="AE241" s="159"/>
      <c r="AF241" s="159"/>
      <c r="AG241" s="159"/>
      <c r="AH241" s="159"/>
      <c r="AI241" s="159"/>
      <c r="AJ241" s="159"/>
      <c r="AK241" s="159" t="s">
        <v>2600</v>
      </c>
      <c r="AL241" s="159"/>
      <c r="AM241" s="159"/>
      <c r="AN241" s="159" t="s">
        <v>786</v>
      </c>
      <c r="AO241" s="172" t="s">
        <v>115</v>
      </c>
      <c r="AP241" s="172"/>
      <c r="AQ241" s="172"/>
      <c r="AR241" s="178" t="s">
        <v>2618</v>
      </c>
      <c r="AS241" s="178" t="s">
        <v>2618</v>
      </c>
      <c r="BD241" s="185" t="s">
        <v>1442</v>
      </c>
      <c r="BE241" s="156" t="s">
        <v>2304</v>
      </c>
      <c r="BF241" s="159" t="s">
        <v>1508</v>
      </c>
      <c r="BG241" s="159" t="s">
        <v>129</v>
      </c>
      <c r="BH241" s="159" t="s">
        <v>46</v>
      </c>
      <c r="BI241" s="159" t="s">
        <v>41</v>
      </c>
      <c r="BJ241" s="156">
        <v>1</v>
      </c>
      <c r="BK241" s="156"/>
      <c r="BL241" s="156"/>
    </row>
    <row r="242" spans="1:70">
      <c r="A242" s="184" t="str">
        <f t="shared" si="3"/>
        <v>32407238</v>
      </c>
      <c r="B242" s="158" t="s">
        <v>365</v>
      </c>
      <c r="C242" s="158" t="s">
        <v>3088</v>
      </c>
      <c r="D242" s="159" t="s">
        <v>364</v>
      </c>
      <c r="E242" s="159"/>
      <c r="F242" s="158" t="s">
        <v>367</v>
      </c>
      <c r="G242" s="167">
        <v>37846</v>
      </c>
      <c r="H242" s="167"/>
      <c r="I242" s="159" t="s">
        <v>2569</v>
      </c>
      <c r="J242" s="159" t="s">
        <v>2619</v>
      </c>
      <c r="K242" s="159" t="s">
        <v>35</v>
      </c>
      <c r="L242" s="159" t="s">
        <v>366</v>
      </c>
      <c r="M242" s="158" t="s">
        <v>2621</v>
      </c>
      <c r="N242" s="158" t="s">
        <v>2621</v>
      </c>
      <c r="O242" s="159" t="s">
        <v>2734</v>
      </c>
      <c r="P242" s="159" t="s">
        <v>2710</v>
      </c>
      <c r="Q242" s="159" t="s">
        <v>2842</v>
      </c>
      <c r="R242" s="159" t="s">
        <v>2863</v>
      </c>
      <c r="S242" s="159"/>
      <c r="T242" s="159"/>
      <c r="U242" s="158"/>
      <c r="V242" s="158"/>
      <c r="W242" s="159"/>
      <c r="X242" s="159"/>
      <c r="Y242" s="159"/>
      <c r="Z242" s="159"/>
      <c r="AA242" s="159"/>
      <c r="AB242" s="167">
        <v>45478</v>
      </c>
      <c r="AC242" s="159" t="s">
        <v>71</v>
      </c>
      <c r="AD242" s="158"/>
      <c r="AE242" s="159"/>
      <c r="AF242" s="159"/>
      <c r="AG242" s="159"/>
      <c r="AH242" s="159"/>
      <c r="AI242" s="159"/>
      <c r="AJ242" s="159"/>
      <c r="AK242" s="159" t="s">
        <v>2600</v>
      </c>
      <c r="AL242" s="159"/>
      <c r="AM242" s="159"/>
      <c r="AN242" s="185" t="s">
        <v>298</v>
      </c>
      <c r="AO242" s="172" t="s">
        <v>78</v>
      </c>
      <c r="AP242" s="172"/>
      <c r="AQ242" s="172"/>
      <c r="AR242" s="178" t="s">
        <v>2618</v>
      </c>
      <c r="AS242" s="178" t="s">
        <v>2618</v>
      </c>
      <c r="BD242" s="156"/>
      <c r="BF242" s="159"/>
      <c r="BG242" s="159" t="s">
        <v>71</v>
      </c>
      <c r="BH242" s="159" t="s">
        <v>46</v>
      </c>
      <c r="BI242" s="159" t="s">
        <v>41</v>
      </c>
      <c r="BJ242" s="156">
        <v>1</v>
      </c>
      <c r="BK242" s="156"/>
      <c r="BL242" s="156"/>
    </row>
    <row r="243" spans="1:70">
      <c r="A243" s="184" t="str">
        <f t="shared" si="3"/>
        <v>32407239</v>
      </c>
      <c r="B243" s="158" t="s">
        <v>660</v>
      </c>
      <c r="C243" s="158" t="s">
        <v>3089</v>
      </c>
      <c r="D243" s="159" t="s">
        <v>659</v>
      </c>
      <c r="E243" s="159"/>
      <c r="F243" s="158" t="s">
        <v>662</v>
      </c>
      <c r="G243" s="167">
        <v>35364</v>
      </c>
      <c r="H243" s="167"/>
      <c r="I243" s="159" t="s">
        <v>2569</v>
      </c>
      <c r="J243" s="159" t="s">
        <v>2619</v>
      </c>
      <c r="K243" s="159" t="s">
        <v>35</v>
      </c>
      <c r="L243" s="159" t="s">
        <v>661</v>
      </c>
      <c r="M243" s="158" t="s">
        <v>2626</v>
      </c>
      <c r="N243" s="158" t="s">
        <v>2627</v>
      </c>
      <c r="O243" s="159" t="s">
        <v>2657</v>
      </c>
      <c r="P243" s="159" t="s">
        <v>2662</v>
      </c>
      <c r="Q243" s="159" t="s">
        <v>2840</v>
      </c>
      <c r="R243" s="159" t="s">
        <v>2863</v>
      </c>
      <c r="S243" s="159"/>
      <c r="T243" s="159"/>
      <c r="U243" s="158"/>
      <c r="V243" s="158"/>
      <c r="W243" s="159"/>
      <c r="X243" s="159"/>
      <c r="Y243" s="159"/>
      <c r="Z243" s="159"/>
      <c r="AA243" s="159"/>
      <c r="AB243" s="167">
        <v>45478</v>
      </c>
      <c r="AC243" s="159" t="s">
        <v>71</v>
      </c>
      <c r="AD243" s="158"/>
      <c r="AE243" s="159"/>
      <c r="AF243" s="159"/>
      <c r="AG243" s="159"/>
      <c r="AH243" s="159"/>
      <c r="AI243" s="159"/>
      <c r="AJ243" s="159"/>
      <c r="AK243" s="159" t="s">
        <v>2600</v>
      </c>
      <c r="AL243" s="159"/>
      <c r="AM243" s="159"/>
      <c r="AN243" s="159" t="s">
        <v>553</v>
      </c>
      <c r="AO243" s="172" t="s">
        <v>564</v>
      </c>
      <c r="AP243" s="172"/>
      <c r="AQ243" s="172"/>
      <c r="AR243" s="178" t="s">
        <v>2618</v>
      </c>
      <c r="AS243" s="178" t="s">
        <v>2618</v>
      </c>
      <c r="BD243" s="162" t="s">
        <v>595</v>
      </c>
      <c r="BE243" s="156" t="s">
        <v>595</v>
      </c>
      <c r="BF243" s="159"/>
      <c r="BG243" s="159" t="s">
        <v>71</v>
      </c>
      <c r="BH243" s="159" t="s">
        <v>32</v>
      </c>
      <c r="BI243" s="159" t="s">
        <v>41</v>
      </c>
      <c r="BJ243" s="156">
        <v>1</v>
      </c>
      <c r="BK243" s="156"/>
      <c r="BL243" s="156"/>
    </row>
    <row r="244" spans="1:70">
      <c r="A244" s="184" t="str">
        <f t="shared" si="3"/>
        <v>42407240</v>
      </c>
      <c r="B244" s="158" t="s">
        <v>1866</v>
      </c>
      <c r="C244" s="158" t="s">
        <v>3090</v>
      </c>
      <c r="D244" s="159" t="s">
        <v>1865</v>
      </c>
      <c r="E244" s="159"/>
      <c r="F244" s="158" t="s">
        <v>1868</v>
      </c>
      <c r="G244" s="167">
        <v>38531</v>
      </c>
      <c r="H244" s="167"/>
      <c r="I244" s="159" t="s">
        <v>2570</v>
      </c>
      <c r="J244" s="159" t="s">
        <v>2619</v>
      </c>
      <c r="K244" s="159" t="s">
        <v>165</v>
      </c>
      <c r="L244" s="159" t="s">
        <v>1867</v>
      </c>
      <c r="M244" s="158" t="s">
        <v>2627</v>
      </c>
      <c r="N244" s="158" t="s">
        <v>2621</v>
      </c>
      <c r="O244" s="159" t="s">
        <v>2735</v>
      </c>
      <c r="P244" s="159" t="s">
        <v>2817</v>
      </c>
      <c r="Q244" s="159" t="s">
        <v>2840</v>
      </c>
      <c r="R244" s="159" t="s">
        <v>2863</v>
      </c>
      <c r="S244" s="159"/>
      <c r="T244" s="159"/>
      <c r="U244" s="158"/>
      <c r="V244" s="158"/>
      <c r="W244" s="159"/>
      <c r="X244" s="159"/>
      <c r="Y244" s="159"/>
      <c r="Z244" s="159"/>
      <c r="AA244" s="159"/>
      <c r="AB244" s="167">
        <v>45480</v>
      </c>
      <c r="AC244" s="159" t="s">
        <v>129</v>
      </c>
      <c r="AD244" s="158"/>
      <c r="AE244" s="159"/>
      <c r="AF244" s="159"/>
      <c r="AG244" s="159"/>
      <c r="AH244" s="159"/>
      <c r="AI244" s="159"/>
      <c r="AJ244" s="159"/>
      <c r="AK244" s="159" t="s">
        <v>2600</v>
      </c>
      <c r="AL244" s="159"/>
      <c r="AM244" s="159"/>
      <c r="AN244" s="159" t="s">
        <v>786</v>
      </c>
      <c r="AO244" s="172" t="s">
        <v>115</v>
      </c>
      <c r="AP244" s="172"/>
      <c r="AQ244" s="172"/>
      <c r="AR244" s="178" t="s">
        <v>2618</v>
      </c>
      <c r="AS244" s="178" t="s">
        <v>2618</v>
      </c>
      <c r="BD244" s="185" t="s">
        <v>1442</v>
      </c>
      <c r="BE244" s="156" t="s">
        <v>1758</v>
      </c>
      <c r="BF244" s="159" t="s">
        <v>1508</v>
      </c>
      <c r="BG244" s="159" t="s">
        <v>129</v>
      </c>
      <c r="BH244" s="159" t="s">
        <v>32</v>
      </c>
      <c r="BI244" s="159" t="s">
        <v>41</v>
      </c>
      <c r="BJ244" s="156">
        <v>1</v>
      </c>
      <c r="BK244" s="156"/>
      <c r="BL244" s="156"/>
    </row>
    <row r="245" spans="1:70">
      <c r="A245" s="184" t="str">
        <f t="shared" si="3"/>
        <v>42407241</v>
      </c>
      <c r="B245" s="158" t="s">
        <v>1602</v>
      </c>
      <c r="C245" s="158" t="s">
        <v>3091</v>
      </c>
      <c r="D245" s="159" t="s">
        <v>1601</v>
      </c>
      <c r="E245" s="159"/>
      <c r="F245" s="158" t="s">
        <v>1603</v>
      </c>
      <c r="G245" s="167">
        <v>35826</v>
      </c>
      <c r="H245" s="167"/>
      <c r="I245" s="159" t="s">
        <v>2569</v>
      </c>
      <c r="J245" s="159" t="s">
        <v>2619</v>
      </c>
      <c r="K245" s="159" t="s">
        <v>165</v>
      </c>
      <c r="L245" s="159" t="s">
        <v>617</v>
      </c>
      <c r="M245" s="158" t="s">
        <v>2623</v>
      </c>
      <c r="N245" s="158" t="s">
        <v>2621</v>
      </c>
      <c r="O245" s="159" t="s">
        <v>2657</v>
      </c>
      <c r="P245" s="159" t="s">
        <v>2662</v>
      </c>
      <c r="Q245" s="159" t="s">
        <v>2840</v>
      </c>
      <c r="R245" s="159" t="s">
        <v>2863</v>
      </c>
      <c r="S245" s="159"/>
      <c r="T245" s="159"/>
      <c r="U245" s="158"/>
      <c r="V245" s="158"/>
      <c r="W245" s="159"/>
      <c r="X245" s="159"/>
      <c r="Y245" s="159"/>
      <c r="Z245" s="159"/>
      <c r="AA245" s="159"/>
      <c r="AB245" s="167">
        <v>45484</v>
      </c>
      <c r="AC245" s="159" t="s">
        <v>129</v>
      </c>
      <c r="AD245" s="158"/>
      <c r="AE245" s="159"/>
      <c r="AF245" s="159"/>
      <c r="AG245" s="159"/>
      <c r="AH245" s="159"/>
      <c r="AI245" s="159"/>
      <c r="AJ245" s="159"/>
      <c r="AK245" s="159" t="s">
        <v>2600</v>
      </c>
      <c r="AL245" s="159"/>
      <c r="AM245" s="159"/>
      <c r="AN245" s="159" t="s">
        <v>786</v>
      </c>
      <c r="AO245" s="172" t="s">
        <v>115</v>
      </c>
      <c r="AP245" s="172"/>
      <c r="AQ245" s="172"/>
      <c r="AR245" s="178" t="s">
        <v>2618</v>
      </c>
      <c r="AS245" s="178" t="s">
        <v>2618</v>
      </c>
      <c r="BD245" s="185" t="s">
        <v>1442</v>
      </c>
      <c r="BE245" s="156" t="s">
        <v>1488</v>
      </c>
      <c r="BF245" s="159" t="s">
        <v>1482</v>
      </c>
      <c r="BG245" s="159" t="s">
        <v>129</v>
      </c>
      <c r="BH245" s="159" t="s">
        <v>46</v>
      </c>
      <c r="BI245" s="159" t="s">
        <v>41</v>
      </c>
      <c r="BJ245" s="156">
        <v>1</v>
      </c>
      <c r="BK245" s="156"/>
      <c r="BL245" s="156"/>
    </row>
    <row r="246" spans="1:70">
      <c r="A246" s="184" t="str">
        <f t="shared" si="3"/>
        <v>42407242</v>
      </c>
      <c r="B246" s="158" t="s">
        <v>1651</v>
      </c>
      <c r="C246" s="158" t="s">
        <v>3092</v>
      </c>
      <c r="D246" s="159" t="s">
        <v>1650</v>
      </c>
      <c r="E246" s="159"/>
      <c r="F246" s="158" t="s">
        <v>1652</v>
      </c>
      <c r="G246" s="167">
        <v>37482</v>
      </c>
      <c r="H246" s="167"/>
      <c r="I246" s="159" t="s">
        <v>2569</v>
      </c>
      <c r="J246" s="159" t="s">
        <v>2619</v>
      </c>
      <c r="K246" s="159" t="s">
        <v>165</v>
      </c>
      <c r="L246" s="159" t="s">
        <v>1366</v>
      </c>
      <c r="M246" s="158" t="s">
        <v>2625</v>
      </c>
      <c r="N246" s="158" t="s">
        <v>2621</v>
      </c>
      <c r="O246" s="159" t="s">
        <v>2663</v>
      </c>
      <c r="P246" s="159" t="s">
        <v>2662</v>
      </c>
      <c r="Q246" s="159" t="s">
        <v>2840</v>
      </c>
      <c r="R246" s="159" t="s">
        <v>2863</v>
      </c>
      <c r="S246" s="159"/>
      <c r="T246" s="159"/>
      <c r="U246" s="158"/>
      <c r="V246" s="158"/>
      <c r="W246" s="159"/>
      <c r="X246" s="159"/>
      <c r="Y246" s="159"/>
      <c r="Z246" s="159"/>
      <c r="AA246" s="159"/>
      <c r="AB246" s="167">
        <v>45486</v>
      </c>
      <c r="AC246" s="159" t="s">
        <v>129</v>
      </c>
      <c r="AD246" s="158"/>
      <c r="AE246" s="159"/>
      <c r="AF246" s="159"/>
      <c r="AG246" s="159"/>
      <c r="AH246" s="159"/>
      <c r="AI246" s="159"/>
      <c r="AJ246" s="159"/>
      <c r="AK246" s="159" t="s">
        <v>2600</v>
      </c>
      <c r="AL246" s="159"/>
      <c r="AM246" s="159"/>
      <c r="AN246" s="159" t="s">
        <v>786</v>
      </c>
      <c r="AO246" s="172" t="s">
        <v>115</v>
      </c>
      <c r="AP246" s="172"/>
      <c r="AQ246" s="172"/>
      <c r="AR246" s="178" t="s">
        <v>2618</v>
      </c>
      <c r="AS246" s="178" t="s">
        <v>2618</v>
      </c>
      <c r="BD246" s="185" t="s">
        <v>1442</v>
      </c>
      <c r="BE246" s="156" t="s">
        <v>1488</v>
      </c>
      <c r="BF246" s="159" t="s">
        <v>1539</v>
      </c>
      <c r="BG246" s="159" t="s">
        <v>129</v>
      </c>
      <c r="BH246" s="159" t="s">
        <v>46</v>
      </c>
      <c r="BI246" s="159" t="s">
        <v>41</v>
      </c>
      <c r="BJ246" s="156">
        <v>1</v>
      </c>
      <c r="BK246" s="156"/>
      <c r="BL246" s="156"/>
    </row>
    <row r="247" spans="1:70">
      <c r="A247" s="184" t="str">
        <f t="shared" si="3"/>
        <v>42407243</v>
      </c>
      <c r="B247" s="158" t="s">
        <v>1430</v>
      </c>
      <c r="C247" s="158" t="s">
        <v>3093</v>
      </c>
      <c r="D247" s="159" t="s">
        <v>1429</v>
      </c>
      <c r="E247" s="159"/>
      <c r="F247" s="158" t="s">
        <v>1431</v>
      </c>
      <c r="G247" s="167">
        <v>38763</v>
      </c>
      <c r="H247" s="167"/>
      <c r="I247" s="159" t="s">
        <v>2569</v>
      </c>
      <c r="J247" s="159" t="s">
        <v>2619</v>
      </c>
      <c r="K247" s="159" t="s">
        <v>165</v>
      </c>
      <c r="L247" s="159" t="s">
        <v>160</v>
      </c>
      <c r="M247" s="158" t="s">
        <v>2625</v>
      </c>
      <c r="N247" s="158" t="s">
        <v>2623</v>
      </c>
      <c r="O247" s="159" t="s">
        <v>2736</v>
      </c>
      <c r="P247" s="159" t="s">
        <v>2662</v>
      </c>
      <c r="Q247" s="159" t="s">
        <v>2840</v>
      </c>
      <c r="R247" s="159" t="s">
        <v>2863</v>
      </c>
      <c r="S247" s="159"/>
      <c r="T247" s="159"/>
      <c r="U247" s="158"/>
      <c r="V247" s="158"/>
      <c r="W247" s="159"/>
      <c r="X247" s="159"/>
      <c r="Y247" s="159"/>
      <c r="Z247" s="159"/>
      <c r="AA247" s="159"/>
      <c r="AB247" s="167">
        <v>45495</v>
      </c>
      <c r="AC247" s="159" t="s">
        <v>129</v>
      </c>
      <c r="AD247" s="158"/>
      <c r="AE247" s="159"/>
      <c r="AF247" s="159"/>
      <c r="AG247" s="159"/>
      <c r="AH247" s="159"/>
      <c r="AI247" s="159"/>
      <c r="AJ247" s="159"/>
      <c r="AK247" s="159" t="s">
        <v>2600</v>
      </c>
      <c r="AL247" s="159"/>
      <c r="AM247" s="159"/>
      <c r="AN247" s="159" t="s">
        <v>786</v>
      </c>
      <c r="AO247" s="172" t="s">
        <v>115</v>
      </c>
      <c r="AP247" s="172"/>
      <c r="AQ247" s="172"/>
      <c r="AR247" s="178" t="s">
        <v>2618</v>
      </c>
      <c r="AS247" s="178" t="s">
        <v>2618</v>
      </c>
      <c r="BD247" s="185" t="s">
        <v>1002</v>
      </c>
      <c r="BE247" s="156" t="s">
        <v>1092</v>
      </c>
      <c r="BF247" s="159" t="s">
        <v>1049</v>
      </c>
      <c r="BG247" s="159" t="s">
        <v>129</v>
      </c>
      <c r="BH247" s="159" t="s">
        <v>46</v>
      </c>
      <c r="BI247" s="159" t="s">
        <v>41</v>
      </c>
      <c r="BJ247" s="156">
        <v>1</v>
      </c>
      <c r="BK247" s="156"/>
      <c r="BL247" s="156"/>
    </row>
    <row r="248" spans="1:70">
      <c r="A248" s="184" t="str">
        <f t="shared" si="3"/>
        <v>32407244</v>
      </c>
      <c r="B248" s="158" t="s">
        <v>73</v>
      </c>
      <c r="C248" s="158" t="s">
        <v>3094</v>
      </c>
      <c r="D248" s="159" t="s">
        <v>70</v>
      </c>
      <c r="E248" s="159"/>
      <c r="F248" s="158" t="s">
        <v>75</v>
      </c>
      <c r="G248" s="167">
        <v>33337</v>
      </c>
      <c r="H248" s="167"/>
      <c r="I248" s="159" t="s">
        <v>2570</v>
      </c>
      <c r="J248" s="159" t="s">
        <v>2619</v>
      </c>
      <c r="K248" s="159" t="s">
        <v>35</v>
      </c>
      <c r="L248" s="159" t="s">
        <v>74</v>
      </c>
      <c r="M248" s="158" t="s">
        <v>2623</v>
      </c>
      <c r="N248" s="158" t="s">
        <v>2625</v>
      </c>
      <c r="O248" s="159" t="s">
        <v>2659</v>
      </c>
      <c r="P248" s="159" t="s">
        <v>2659</v>
      </c>
      <c r="Q248" s="159" t="s">
        <v>2840</v>
      </c>
      <c r="R248" s="159" t="s">
        <v>2863</v>
      </c>
      <c r="S248" s="159"/>
      <c r="T248" s="159"/>
      <c r="U248" s="158"/>
      <c r="V248" s="158"/>
      <c r="W248" s="159"/>
      <c r="X248" s="159"/>
      <c r="Y248" s="159"/>
      <c r="Z248" s="159"/>
      <c r="AA248" s="159"/>
      <c r="AB248" s="167">
        <v>45499</v>
      </c>
      <c r="AC248" s="159" t="s">
        <v>71</v>
      </c>
      <c r="AD248" s="158"/>
      <c r="AE248" s="159"/>
      <c r="AF248" s="159"/>
      <c r="AG248" s="159"/>
      <c r="AH248" s="159"/>
      <c r="AI248" s="159"/>
      <c r="AJ248" s="159"/>
      <c r="AK248" s="159" t="s">
        <v>2600</v>
      </c>
      <c r="AL248" s="159"/>
      <c r="AM248" s="159"/>
      <c r="AN248" s="159" t="s">
        <v>29</v>
      </c>
      <c r="AO248" s="172" t="s">
        <v>63</v>
      </c>
      <c r="AP248" s="172"/>
      <c r="AQ248" s="172"/>
      <c r="AR248" s="178" t="s">
        <v>2618</v>
      </c>
      <c r="AS248" s="178" t="s">
        <v>2618</v>
      </c>
      <c r="BD248" s="159"/>
      <c r="BF248" s="159"/>
      <c r="BG248" s="159" t="s">
        <v>71</v>
      </c>
      <c r="BH248" s="159" t="s">
        <v>72</v>
      </c>
      <c r="BI248" s="159" t="s">
        <v>41</v>
      </c>
      <c r="BJ248" s="156">
        <v>1</v>
      </c>
      <c r="BK248" s="156"/>
      <c r="BL248" s="156"/>
    </row>
    <row r="249" spans="1:70">
      <c r="A249" s="184" t="str">
        <f t="shared" si="3"/>
        <v>42407245</v>
      </c>
      <c r="B249" s="158" t="s">
        <v>964</v>
      </c>
      <c r="C249" s="158" t="s">
        <v>3095</v>
      </c>
      <c r="D249" s="159" t="s">
        <v>963</v>
      </c>
      <c r="E249" s="159"/>
      <c r="F249" s="158" t="s">
        <v>966</v>
      </c>
      <c r="G249" s="167">
        <v>35958</v>
      </c>
      <c r="H249" s="167"/>
      <c r="I249" s="159" t="s">
        <v>2569</v>
      </c>
      <c r="J249" s="159" t="s">
        <v>2619</v>
      </c>
      <c r="K249" s="159" t="s">
        <v>35</v>
      </c>
      <c r="L249" s="159" t="s">
        <v>965</v>
      </c>
      <c r="M249" s="158" t="s">
        <v>2623</v>
      </c>
      <c r="N249" s="158" t="s">
        <v>2625</v>
      </c>
      <c r="O249" s="159" t="s">
        <v>2662</v>
      </c>
      <c r="P249" s="159" t="s">
        <v>2662</v>
      </c>
      <c r="Q249" s="159" t="s">
        <v>2840</v>
      </c>
      <c r="R249" s="159" t="s">
        <v>2863</v>
      </c>
      <c r="S249" s="159"/>
      <c r="T249" s="159"/>
      <c r="U249" s="158"/>
      <c r="V249" s="158"/>
      <c r="W249" s="159"/>
      <c r="X249" s="159"/>
      <c r="Y249" s="159"/>
      <c r="Z249" s="159"/>
      <c r="AA249" s="159"/>
      <c r="AB249" s="167">
        <v>45499</v>
      </c>
      <c r="AC249" s="159" t="s">
        <v>129</v>
      </c>
      <c r="AD249" s="158"/>
      <c r="AE249" s="159"/>
      <c r="AF249" s="159"/>
      <c r="AG249" s="159"/>
      <c r="AH249" s="159"/>
      <c r="AI249" s="159"/>
      <c r="AJ249" s="159"/>
      <c r="AK249" s="159" t="s">
        <v>2600</v>
      </c>
      <c r="AL249" s="159"/>
      <c r="AM249" s="159"/>
      <c r="AN249" s="159" t="s">
        <v>786</v>
      </c>
      <c r="AO249" s="172" t="s">
        <v>115</v>
      </c>
      <c r="AP249" s="172"/>
      <c r="AQ249" s="172"/>
      <c r="AR249" s="178" t="s">
        <v>2618</v>
      </c>
      <c r="AS249" s="178" t="s">
        <v>2618</v>
      </c>
      <c r="BD249" s="185" t="s">
        <v>787</v>
      </c>
      <c r="BE249" s="156" t="s">
        <v>959</v>
      </c>
      <c r="BF249" s="159" t="s">
        <v>833</v>
      </c>
      <c r="BG249" s="159" t="s">
        <v>129</v>
      </c>
      <c r="BH249" s="159" t="s">
        <v>46</v>
      </c>
      <c r="BI249" s="159" t="s">
        <v>41</v>
      </c>
      <c r="BJ249" s="156">
        <v>1</v>
      </c>
      <c r="BK249" s="156"/>
      <c r="BL249" s="156"/>
    </row>
    <row r="250" spans="1:70">
      <c r="A250" s="184" t="str">
        <f t="shared" si="3"/>
        <v>42407246</v>
      </c>
      <c r="B250" s="158" t="s">
        <v>1332</v>
      </c>
      <c r="C250" s="158" t="s">
        <v>3096</v>
      </c>
      <c r="D250" s="159" t="s">
        <v>1331</v>
      </c>
      <c r="E250" s="159"/>
      <c r="F250" s="158" t="s">
        <v>1333</v>
      </c>
      <c r="G250" s="167">
        <v>37729</v>
      </c>
      <c r="H250" s="167"/>
      <c r="I250" s="159" t="s">
        <v>2569</v>
      </c>
      <c r="J250" s="159" t="s">
        <v>2619</v>
      </c>
      <c r="K250" s="159" t="s">
        <v>165</v>
      </c>
      <c r="L250" s="159" t="s">
        <v>1153</v>
      </c>
      <c r="M250" s="158" t="s">
        <v>2622</v>
      </c>
      <c r="N250" s="158" t="s">
        <v>2622</v>
      </c>
      <c r="O250" s="159" t="s">
        <v>2659</v>
      </c>
      <c r="P250" s="159" t="s">
        <v>2659</v>
      </c>
      <c r="Q250" s="159" t="s">
        <v>2840</v>
      </c>
      <c r="R250" s="159" t="s">
        <v>2863</v>
      </c>
      <c r="S250" s="159"/>
      <c r="T250" s="159"/>
      <c r="U250" s="158"/>
      <c r="V250" s="158"/>
      <c r="W250" s="159"/>
      <c r="X250" s="159"/>
      <c r="Y250" s="159"/>
      <c r="Z250" s="159"/>
      <c r="AA250" s="159"/>
      <c r="AB250" s="167">
        <v>45499</v>
      </c>
      <c r="AC250" s="159" t="s">
        <v>129</v>
      </c>
      <c r="AD250" s="158"/>
      <c r="AE250" s="159"/>
      <c r="AF250" s="159"/>
      <c r="AG250" s="159"/>
      <c r="AH250" s="159"/>
      <c r="AI250" s="159"/>
      <c r="AJ250" s="159"/>
      <c r="AK250" s="159" t="s">
        <v>2600</v>
      </c>
      <c r="AL250" s="159"/>
      <c r="AM250" s="159"/>
      <c r="AN250" s="159" t="s">
        <v>786</v>
      </c>
      <c r="AO250" s="172" t="s">
        <v>115</v>
      </c>
      <c r="AP250" s="172"/>
      <c r="AQ250" s="172"/>
      <c r="AR250" s="178" t="s">
        <v>2618</v>
      </c>
      <c r="AS250" s="178" t="s">
        <v>2618</v>
      </c>
      <c r="BD250" s="185" t="s">
        <v>1002</v>
      </c>
      <c r="BE250" s="156" t="s">
        <v>1075</v>
      </c>
      <c r="BF250" s="185" t="s">
        <v>1049</v>
      </c>
      <c r="BG250" s="159" t="s">
        <v>129</v>
      </c>
      <c r="BH250" s="159" t="s">
        <v>46</v>
      </c>
      <c r="BI250" s="159" t="s">
        <v>41</v>
      </c>
      <c r="BJ250" s="156">
        <v>1</v>
      </c>
      <c r="BK250" s="156"/>
      <c r="BL250" s="156"/>
    </row>
    <row r="251" spans="1:70">
      <c r="A251" s="184" t="str">
        <f t="shared" si="3"/>
        <v>42407247</v>
      </c>
      <c r="B251" s="158" t="s">
        <v>1266</v>
      </c>
      <c r="C251" s="158" t="s">
        <v>3097</v>
      </c>
      <c r="D251" s="159" t="s">
        <v>1265</v>
      </c>
      <c r="E251" s="159"/>
      <c r="F251" s="158" t="s">
        <v>1267</v>
      </c>
      <c r="G251" s="167">
        <v>33514</v>
      </c>
      <c r="H251" s="167"/>
      <c r="I251" s="159" t="s">
        <v>2569</v>
      </c>
      <c r="J251" s="159" t="s">
        <v>2619</v>
      </c>
      <c r="K251" s="159" t="s">
        <v>35</v>
      </c>
      <c r="L251" s="159" t="s">
        <v>628</v>
      </c>
      <c r="M251" s="158" t="s">
        <v>2629</v>
      </c>
      <c r="N251" s="158" t="s">
        <v>2623</v>
      </c>
      <c r="O251" s="159" t="s">
        <v>2660</v>
      </c>
      <c r="P251" s="159" t="s">
        <v>2662</v>
      </c>
      <c r="Q251" s="159" t="s">
        <v>2840</v>
      </c>
      <c r="R251" s="159" t="s">
        <v>2863</v>
      </c>
      <c r="S251" s="159"/>
      <c r="T251" s="159"/>
      <c r="U251" s="158"/>
      <c r="V251" s="158"/>
      <c r="W251" s="159"/>
      <c r="X251" s="159"/>
      <c r="Y251" s="159"/>
      <c r="Z251" s="159"/>
      <c r="AA251" s="159"/>
      <c r="AB251" s="167">
        <v>45503</v>
      </c>
      <c r="AC251" s="159" t="s">
        <v>129</v>
      </c>
      <c r="AD251" s="158"/>
      <c r="AE251" s="159"/>
      <c r="AF251" s="159"/>
      <c r="AG251" s="159"/>
      <c r="AH251" s="159"/>
      <c r="AI251" s="159"/>
      <c r="AJ251" s="159"/>
      <c r="AK251" s="159" t="s">
        <v>2600</v>
      </c>
      <c r="AL251" s="159"/>
      <c r="AM251" s="159"/>
      <c r="AN251" s="159" t="s">
        <v>786</v>
      </c>
      <c r="AO251" s="172" t="s">
        <v>115</v>
      </c>
      <c r="AP251" s="172"/>
      <c r="AQ251" s="172"/>
      <c r="AR251" s="178" t="s">
        <v>2618</v>
      </c>
      <c r="AS251" s="178" t="s">
        <v>2618</v>
      </c>
      <c r="BD251" s="185" t="s">
        <v>1002</v>
      </c>
      <c r="BE251" s="156" t="s">
        <v>1033</v>
      </c>
      <c r="BF251" s="185" t="s">
        <v>1042</v>
      </c>
      <c r="BG251" s="159" t="s">
        <v>129</v>
      </c>
      <c r="BH251" s="159" t="s">
        <v>46</v>
      </c>
      <c r="BI251" s="159" t="s">
        <v>41</v>
      </c>
      <c r="BJ251" s="156">
        <v>1</v>
      </c>
      <c r="BK251" s="156"/>
      <c r="BL251" s="156"/>
    </row>
    <row r="252" spans="1:70">
      <c r="A252" s="184" t="str">
        <f t="shared" si="3"/>
        <v>42408248</v>
      </c>
      <c r="B252" s="158" t="s">
        <v>1633</v>
      </c>
      <c r="C252" s="158" t="s">
        <v>3098</v>
      </c>
      <c r="D252" s="159" t="s">
        <v>1632</v>
      </c>
      <c r="E252" s="159"/>
      <c r="F252" s="158" t="s">
        <v>1634</v>
      </c>
      <c r="G252" s="167">
        <v>38604</v>
      </c>
      <c r="H252" s="167"/>
      <c r="I252" s="159" t="s">
        <v>2569</v>
      </c>
      <c r="J252" s="159" t="s">
        <v>2619</v>
      </c>
      <c r="K252" s="159" t="s">
        <v>165</v>
      </c>
      <c r="L252" s="159" t="s">
        <v>100</v>
      </c>
      <c r="M252" s="158" t="s">
        <v>2627</v>
      </c>
      <c r="N252" s="158" t="s">
        <v>2622</v>
      </c>
      <c r="O252" s="159" t="s">
        <v>2659</v>
      </c>
      <c r="P252" s="159" t="s">
        <v>2659</v>
      </c>
      <c r="Q252" s="159" t="s">
        <v>2840</v>
      </c>
      <c r="R252" s="159" t="s">
        <v>2863</v>
      </c>
      <c r="S252" s="159"/>
      <c r="T252" s="159"/>
      <c r="U252" s="158"/>
      <c r="V252" s="158"/>
      <c r="W252" s="159"/>
      <c r="X252" s="159"/>
      <c r="Y252" s="159"/>
      <c r="Z252" s="159"/>
      <c r="AA252" s="159"/>
      <c r="AB252" s="167">
        <v>45505</v>
      </c>
      <c r="AC252" s="159" t="s">
        <v>129</v>
      </c>
      <c r="AD252" s="158"/>
      <c r="AE252" s="159"/>
      <c r="AF252" s="159"/>
      <c r="AG252" s="159"/>
      <c r="AH252" s="159"/>
      <c r="AI252" s="159"/>
      <c r="AJ252" s="159"/>
      <c r="AK252" s="159" t="s">
        <v>2600</v>
      </c>
      <c r="AL252" s="159"/>
      <c r="AM252" s="159"/>
      <c r="AN252" s="159" t="s">
        <v>786</v>
      </c>
      <c r="AO252" s="172" t="s">
        <v>115</v>
      </c>
      <c r="AP252" s="172"/>
      <c r="AQ252" s="172"/>
      <c r="AR252" s="178" t="s">
        <v>2618</v>
      </c>
      <c r="AS252" s="178" t="s">
        <v>2618</v>
      </c>
      <c r="BD252" s="185" t="s">
        <v>1442</v>
      </c>
      <c r="BE252" s="156" t="s">
        <v>1488</v>
      </c>
      <c r="BF252" s="159" t="s">
        <v>1508</v>
      </c>
      <c r="BG252" s="159" t="s">
        <v>129</v>
      </c>
      <c r="BH252" s="159" t="s">
        <v>46</v>
      </c>
      <c r="BI252" s="159" t="s">
        <v>41</v>
      </c>
      <c r="BJ252" s="156">
        <v>1</v>
      </c>
      <c r="BK252" s="156"/>
      <c r="BL252" s="156"/>
    </row>
    <row r="253" spans="1:70" s="196" customFormat="1">
      <c r="A253" s="184" t="str">
        <f t="shared" si="3"/>
        <v>42508249</v>
      </c>
      <c r="B253" s="197" t="s">
        <v>1279</v>
      </c>
      <c r="C253" s="158" t="s">
        <v>3099</v>
      </c>
      <c r="D253" s="174" t="s">
        <v>1278</v>
      </c>
      <c r="E253" s="166"/>
      <c r="F253" s="197" t="s">
        <v>1281</v>
      </c>
      <c r="G253" s="198">
        <v>39303</v>
      </c>
      <c r="H253" s="198"/>
      <c r="I253" s="174" t="s">
        <v>2569</v>
      </c>
      <c r="J253" s="159" t="s">
        <v>2619</v>
      </c>
      <c r="K253" s="174" t="s">
        <v>81</v>
      </c>
      <c r="L253" s="174" t="s">
        <v>1280</v>
      </c>
      <c r="M253" s="209" t="s">
        <v>2644</v>
      </c>
      <c r="N253" s="209" t="s">
        <v>2626</v>
      </c>
      <c r="O253" s="159" t="s">
        <v>2660</v>
      </c>
      <c r="P253" s="159" t="s">
        <v>2662</v>
      </c>
      <c r="Q253" s="159" t="s">
        <v>2840</v>
      </c>
      <c r="R253" s="159" t="s">
        <v>2863</v>
      </c>
      <c r="S253" s="174"/>
      <c r="T253" s="174"/>
      <c r="U253" s="221"/>
      <c r="V253" s="221"/>
      <c r="W253" s="174"/>
      <c r="X253" s="174"/>
      <c r="Y253" s="174"/>
      <c r="Z253" s="174"/>
      <c r="AA253" s="174"/>
      <c r="AB253" s="198">
        <v>45880</v>
      </c>
      <c r="AC253" s="174" t="s">
        <v>129</v>
      </c>
      <c r="AD253" s="221"/>
      <c r="AE253" s="174"/>
      <c r="AF253" s="174"/>
      <c r="AG253" s="174"/>
      <c r="AH253" s="174"/>
      <c r="AI253" s="174"/>
      <c r="AJ253" s="174"/>
      <c r="AK253" s="159" t="s">
        <v>2600</v>
      </c>
      <c r="AL253" s="174"/>
      <c r="AM253" s="174"/>
      <c r="AN253" s="174" t="s">
        <v>786</v>
      </c>
      <c r="AO253" s="172" t="s">
        <v>115</v>
      </c>
      <c r="AP253" s="172"/>
      <c r="AQ253" s="172"/>
      <c r="AR253" s="178" t="s">
        <v>2618</v>
      </c>
      <c r="AS253" s="178" t="s">
        <v>2618</v>
      </c>
      <c r="AT253" s="178"/>
      <c r="AU253" s="159"/>
      <c r="AV253" s="159"/>
      <c r="AW253" s="159"/>
      <c r="AX253" s="159"/>
      <c r="AY253" s="159"/>
      <c r="AZ253" s="159"/>
      <c r="BA253" s="159"/>
      <c r="BB253" s="159"/>
      <c r="BC253" s="159"/>
      <c r="BD253" s="173" t="s">
        <v>1002</v>
      </c>
      <c r="BE253" s="196" t="s">
        <v>1033</v>
      </c>
      <c r="BF253" s="166" t="s">
        <v>2333</v>
      </c>
      <c r="BG253" s="174" t="s">
        <v>129</v>
      </c>
      <c r="BH253" s="174" t="s">
        <v>46</v>
      </c>
      <c r="BI253" s="199" t="s">
        <v>41</v>
      </c>
      <c r="BJ253" s="200">
        <v>1</v>
      </c>
    </row>
    <row r="254" spans="1:70">
      <c r="A254" s="184" t="str">
        <f t="shared" si="3"/>
        <v>42408250</v>
      </c>
      <c r="B254" s="158" t="s">
        <v>1745</v>
      </c>
      <c r="C254" s="158" t="s">
        <v>3100</v>
      </c>
      <c r="D254" s="159" t="s">
        <v>1744</v>
      </c>
      <c r="E254" s="159"/>
      <c r="F254" s="158" t="s">
        <v>1747</v>
      </c>
      <c r="G254" s="167">
        <v>37532</v>
      </c>
      <c r="H254" s="167"/>
      <c r="I254" s="159" t="s">
        <v>2569</v>
      </c>
      <c r="J254" s="159" t="s">
        <v>2619</v>
      </c>
      <c r="K254" s="159" t="s">
        <v>165</v>
      </c>
      <c r="L254" s="159" t="s">
        <v>1746</v>
      </c>
      <c r="M254" s="158" t="s">
        <v>2621</v>
      </c>
      <c r="N254" s="158" t="s">
        <v>2621</v>
      </c>
      <c r="O254" s="159" t="s">
        <v>2663</v>
      </c>
      <c r="P254" s="159" t="s">
        <v>2662</v>
      </c>
      <c r="Q254" s="159" t="s">
        <v>2840</v>
      </c>
      <c r="R254" s="159" t="s">
        <v>2863</v>
      </c>
      <c r="S254" s="159"/>
      <c r="T254" s="159"/>
      <c r="U254" s="158"/>
      <c r="V254" s="158"/>
      <c r="W254" s="159"/>
      <c r="X254" s="159"/>
      <c r="Y254" s="159"/>
      <c r="Z254" s="159"/>
      <c r="AA254" s="159"/>
      <c r="AB254" s="167">
        <v>45505</v>
      </c>
      <c r="AC254" s="159" t="s">
        <v>129</v>
      </c>
      <c r="AD254" s="158"/>
      <c r="AE254" s="159"/>
      <c r="AF254" s="159"/>
      <c r="AG254" s="159"/>
      <c r="AH254" s="159"/>
      <c r="AI254" s="159"/>
      <c r="AJ254" s="159"/>
      <c r="AK254" s="159" t="s">
        <v>2600</v>
      </c>
      <c r="AL254" s="159"/>
      <c r="AM254" s="159"/>
      <c r="AN254" s="159" t="s">
        <v>786</v>
      </c>
      <c r="AO254" s="172" t="s">
        <v>115</v>
      </c>
      <c r="AP254" s="172"/>
      <c r="AQ254" s="172"/>
      <c r="AR254" s="178" t="s">
        <v>2618</v>
      </c>
      <c r="AS254" s="178" t="s">
        <v>2618</v>
      </c>
      <c r="BD254" s="185" t="s">
        <v>1442</v>
      </c>
      <c r="BE254" s="156" t="s">
        <v>1481</v>
      </c>
      <c r="BF254" s="159" t="s">
        <v>1539</v>
      </c>
      <c r="BG254" s="159" t="s">
        <v>129</v>
      </c>
      <c r="BH254" s="159" t="s">
        <v>32</v>
      </c>
      <c r="BI254" s="159" t="s">
        <v>41</v>
      </c>
      <c r="BJ254" s="156">
        <v>1</v>
      </c>
      <c r="BK254" s="156"/>
      <c r="BL254" s="156"/>
    </row>
    <row r="255" spans="1:70">
      <c r="A255" s="184" t="str">
        <f t="shared" si="3"/>
        <v>22408251</v>
      </c>
      <c r="B255" s="164"/>
      <c r="C255" s="158" t="s">
        <v>3101</v>
      </c>
      <c r="D255" s="156" t="s">
        <v>2297</v>
      </c>
      <c r="E255" s="156"/>
      <c r="F255" s="164"/>
      <c r="G255" s="170"/>
      <c r="H255" s="170"/>
      <c r="I255" s="159" t="s">
        <v>2569</v>
      </c>
      <c r="J255" s="159" t="s">
        <v>2619</v>
      </c>
      <c r="K255" s="159"/>
      <c r="L255" s="159"/>
      <c r="M255" s="158"/>
      <c r="N255" s="158"/>
      <c r="O255" s="159"/>
      <c r="P255" s="159"/>
      <c r="Q255" s="159" t="s">
        <v>2840</v>
      </c>
      <c r="R255" s="159" t="s">
        <v>2863</v>
      </c>
      <c r="S255" s="159"/>
      <c r="T255" s="159"/>
      <c r="U255" s="158"/>
      <c r="V255" s="158"/>
      <c r="W255" s="159"/>
      <c r="X255" s="159"/>
      <c r="Y255" s="159"/>
      <c r="Z255" s="159"/>
      <c r="AA255" s="159"/>
      <c r="AB255" s="170">
        <v>45505</v>
      </c>
      <c r="AC255" s="159" t="s">
        <v>45</v>
      </c>
      <c r="AD255" s="158"/>
      <c r="AE255" s="159"/>
      <c r="AF255" s="159"/>
      <c r="AG255" s="159"/>
      <c r="AH255" s="159"/>
      <c r="AI255" s="159"/>
      <c r="AJ255" s="159"/>
      <c r="AK255" s="159" t="s">
        <v>2600</v>
      </c>
      <c r="AL255" s="159"/>
      <c r="AM255" s="159"/>
      <c r="AN255" s="156" t="s">
        <v>543</v>
      </c>
      <c r="AO255" s="162" t="s">
        <v>54</v>
      </c>
      <c r="AR255" s="178" t="s">
        <v>2618</v>
      </c>
      <c r="AS255" s="178" t="s">
        <v>2618</v>
      </c>
      <c r="BD255" s="156" t="s">
        <v>530</v>
      </c>
      <c r="BF255" s="156"/>
      <c r="BG255" s="159" t="s">
        <v>45</v>
      </c>
      <c r="BH255" s="156"/>
      <c r="BI255" s="159" t="s">
        <v>41</v>
      </c>
      <c r="BJ255" s="156">
        <v>2</v>
      </c>
      <c r="BK255" s="156"/>
      <c r="BL255" s="156"/>
    </row>
    <row r="256" spans="1:70">
      <c r="A256" s="184" t="str">
        <f t="shared" si="3"/>
        <v>42408252</v>
      </c>
      <c r="B256" s="158" t="s">
        <v>1351</v>
      </c>
      <c r="C256" s="158" t="s">
        <v>3102</v>
      </c>
      <c r="D256" s="159" t="s">
        <v>1350</v>
      </c>
      <c r="E256" s="159"/>
      <c r="F256" s="158" t="s">
        <v>1353</v>
      </c>
      <c r="G256" s="167">
        <v>37453</v>
      </c>
      <c r="H256" s="167"/>
      <c r="I256" s="159" t="s">
        <v>2569</v>
      </c>
      <c r="J256" s="159" t="s">
        <v>2619</v>
      </c>
      <c r="K256" s="159" t="s">
        <v>35</v>
      </c>
      <c r="L256" s="159" t="s">
        <v>1352</v>
      </c>
      <c r="M256" s="158" t="s">
        <v>2621</v>
      </c>
      <c r="N256" s="158" t="s">
        <v>2626</v>
      </c>
      <c r="O256" s="159" t="s">
        <v>2660</v>
      </c>
      <c r="P256" s="159" t="s">
        <v>2662</v>
      </c>
      <c r="Q256" s="159" t="s">
        <v>2840</v>
      </c>
      <c r="R256" s="159" t="s">
        <v>2863</v>
      </c>
      <c r="S256" s="159"/>
      <c r="T256" s="159"/>
      <c r="U256" s="158"/>
      <c r="V256" s="158"/>
      <c r="W256" s="159"/>
      <c r="X256" s="159"/>
      <c r="Y256" s="159"/>
      <c r="Z256" s="159"/>
      <c r="AA256" s="159"/>
      <c r="AB256" s="167">
        <v>45516</v>
      </c>
      <c r="AC256" s="159" t="s">
        <v>129</v>
      </c>
      <c r="AD256" s="158"/>
      <c r="AE256" s="159"/>
      <c r="AF256" s="159"/>
      <c r="AG256" s="159"/>
      <c r="AH256" s="159"/>
      <c r="AI256" s="159"/>
      <c r="AJ256" s="159"/>
      <c r="AK256" s="159" t="s">
        <v>2600</v>
      </c>
      <c r="AL256" s="159"/>
      <c r="AM256" s="159"/>
      <c r="AN256" s="185" t="s">
        <v>786</v>
      </c>
      <c r="AO256" s="172" t="s">
        <v>115</v>
      </c>
      <c r="AP256" s="172"/>
      <c r="AQ256" s="172"/>
      <c r="AR256" s="178" t="s">
        <v>2618</v>
      </c>
      <c r="AS256" s="178" t="s">
        <v>2618</v>
      </c>
      <c r="BD256" s="185" t="s">
        <v>1002</v>
      </c>
      <c r="BE256" s="156" t="s">
        <v>1092</v>
      </c>
      <c r="BF256" s="185" t="s">
        <v>1049</v>
      </c>
      <c r="BG256" s="159" t="s">
        <v>129</v>
      </c>
      <c r="BH256" s="159" t="s">
        <v>46</v>
      </c>
      <c r="BI256" s="159" t="s">
        <v>41</v>
      </c>
      <c r="BJ256" s="156">
        <v>1</v>
      </c>
      <c r="BK256" s="156"/>
      <c r="BL256" s="156"/>
      <c r="BM256" s="194"/>
      <c r="BN256" s="194"/>
      <c r="BO256" s="194"/>
      <c r="BP256" s="194"/>
      <c r="BQ256" s="194"/>
      <c r="BR256" s="194"/>
    </row>
    <row r="257" spans="1:64">
      <c r="A257" s="184" t="str">
        <f t="shared" si="3"/>
        <v>42408253</v>
      </c>
      <c r="B257" s="158" t="s">
        <v>1610</v>
      </c>
      <c r="C257" s="158" t="s">
        <v>3103</v>
      </c>
      <c r="D257" s="159" t="s">
        <v>1609</v>
      </c>
      <c r="E257" s="159"/>
      <c r="F257" s="158" t="s">
        <v>1612</v>
      </c>
      <c r="G257" s="167">
        <v>38554</v>
      </c>
      <c r="H257" s="167"/>
      <c r="I257" s="159" t="s">
        <v>2569</v>
      </c>
      <c r="J257" s="159" t="s">
        <v>2619</v>
      </c>
      <c r="K257" s="159" t="s">
        <v>165</v>
      </c>
      <c r="L257" s="159" t="s">
        <v>1611</v>
      </c>
      <c r="M257" s="158" t="s">
        <v>2626</v>
      </c>
      <c r="N257" s="158" t="s">
        <v>2623</v>
      </c>
      <c r="O257" s="159" t="s">
        <v>2727</v>
      </c>
      <c r="P257" s="159" t="s">
        <v>2662</v>
      </c>
      <c r="Q257" s="159" t="s">
        <v>2840</v>
      </c>
      <c r="R257" s="159" t="s">
        <v>2863</v>
      </c>
      <c r="S257" s="159"/>
      <c r="T257" s="159"/>
      <c r="U257" s="158"/>
      <c r="V257" s="158"/>
      <c r="W257" s="159"/>
      <c r="X257" s="159"/>
      <c r="Y257" s="159"/>
      <c r="Z257" s="159"/>
      <c r="AA257" s="159"/>
      <c r="AB257" s="167">
        <v>45516</v>
      </c>
      <c r="AC257" s="159" t="s">
        <v>129</v>
      </c>
      <c r="AD257" s="158"/>
      <c r="AE257" s="159"/>
      <c r="AF257" s="159"/>
      <c r="AG257" s="159"/>
      <c r="AH257" s="159"/>
      <c r="AI257" s="159"/>
      <c r="AJ257" s="159"/>
      <c r="AK257" s="159" t="s">
        <v>2600</v>
      </c>
      <c r="AL257" s="159"/>
      <c r="AM257" s="159"/>
      <c r="AN257" s="159" t="s">
        <v>786</v>
      </c>
      <c r="AO257" s="172" t="s">
        <v>115</v>
      </c>
      <c r="AP257" s="172"/>
      <c r="AQ257" s="172"/>
      <c r="AR257" s="178" t="s">
        <v>2618</v>
      </c>
      <c r="AS257" s="178" t="s">
        <v>2618</v>
      </c>
      <c r="BD257" s="185" t="s">
        <v>1442</v>
      </c>
      <c r="BE257" s="156" t="s">
        <v>1920</v>
      </c>
      <c r="BF257" s="159" t="s">
        <v>1482</v>
      </c>
      <c r="BG257" s="159" t="s">
        <v>129</v>
      </c>
      <c r="BH257" s="159" t="s">
        <v>32</v>
      </c>
      <c r="BI257" s="159" t="s">
        <v>41</v>
      </c>
      <c r="BJ257" s="156">
        <v>1</v>
      </c>
      <c r="BK257" s="156"/>
      <c r="BL257" s="156"/>
    </row>
    <row r="258" spans="1:64">
      <c r="A258" s="184" t="str">
        <f t="shared" si="3"/>
        <v>42409254</v>
      </c>
      <c r="B258" s="158" t="s">
        <v>1597</v>
      </c>
      <c r="C258" s="158" t="s">
        <v>3104</v>
      </c>
      <c r="D258" s="159" t="s">
        <v>1596</v>
      </c>
      <c r="E258" s="159"/>
      <c r="F258" s="158" t="s">
        <v>1599</v>
      </c>
      <c r="G258" s="167">
        <v>38487</v>
      </c>
      <c r="H258" s="167"/>
      <c r="I258" s="159" t="s">
        <v>2569</v>
      </c>
      <c r="J258" s="159" t="s">
        <v>2619</v>
      </c>
      <c r="K258" s="159" t="s">
        <v>165</v>
      </c>
      <c r="L258" s="159" t="s">
        <v>1598</v>
      </c>
      <c r="M258" s="158" t="s">
        <v>2622</v>
      </c>
      <c r="N258" s="158" t="s">
        <v>2623</v>
      </c>
      <c r="O258" s="159" t="s">
        <v>2737</v>
      </c>
      <c r="P258" s="159" t="s">
        <v>2751</v>
      </c>
      <c r="Q258" s="159" t="s">
        <v>2840</v>
      </c>
      <c r="R258" s="159" t="s">
        <v>2863</v>
      </c>
      <c r="S258" s="159"/>
      <c r="T258" s="159"/>
      <c r="U258" s="158"/>
      <c r="V258" s="158"/>
      <c r="W258" s="159"/>
      <c r="X258" s="159"/>
      <c r="Y258" s="159"/>
      <c r="Z258" s="159"/>
      <c r="AA258" s="159"/>
      <c r="AB258" s="167">
        <v>45536</v>
      </c>
      <c r="AC258" s="159" t="s">
        <v>129</v>
      </c>
      <c r="AD258" s="158"/>
      <c r="AE258" s="159"/>
      <c r="AF258" s="159"/>
      <c r="AG258" s="159"/>
      <c r="AH258" s="159"/>
      <c r="AI258" s="159"/>
      <c r="AJ258" s="159"/>
      <c r="AK258" s="159" t="s">
        <v>2600</v>
      </c>
      <c r="AL258" s="159"/>
      <c r="AM258" s="159"/>
      <c r="AN258" s="159" t="s">
        <v>786</v>
      </c>
      <c r="AO258" s="172" t="s">
        <v>115</v>
      </c>
      <c r="AP258" s="172"/>
      <c r="AQ258" s="172"/>
      <c r="AR258" s="178" t="s">
        <v>2618</v>
      </c>
      <c r="AS258" s="178" t="s">
        <v>2618</v>
      </c>
      <c r="BD258" s="185" t="s">
        <v>1442</v>
      </c>
      <c r="BE258" s="156" t="s">
        <v>1488</v>
      </c>
      <c r="BF258" s="159" t="s">
        <v>1482</v>
      </c>
      <c r="BG258" s="159" t="s">
        <v>129</v>
      </c>
      <c r="BH258" s="159" t="s">
        <v>46</v>
      </c>
      <c r="BI258" s="159" t="s">
        <v>41</v>
      </c>
      <c r="BJ258" s="156">
        <v>1</v>
      </c>
      <c r="BK258" s="156"/>
      <c r="BL258" s="156"/>
    </row>
    <row r="259" spans="1:64">
      <c r="A259" s="184" t="str">
        <f t="shared" si="3"/>
        <v>22409255</v>
      </c>
      <c r="B259" s="158"/>
      <c r="C259" s="158" t="s">
        <v>3105</v>
      </c>
      <c r="D259" s="159" t="s">
        <v>697</v>
      </c>
      <c r="E259" s="159"/>
      <c r="F259" s="158"/>
      <c r="G259" s="167">
        <v>34226</v>
      </c>
      <c r="H259" s="167"/>
      <c r="I259" s="159" t="s">
        <v>2569</v>
      </c>
      <c r="J259" s="159" t="s">
        <v>2619</v>
      </c>
      <c r="K259" s="159"/>
      <c r="L259" s="159" t="s">
        <v>698</v>
      </c>
      <c r="M259" s="158"/>
      <c r="N259" s="158"/>
      <c r="O259" s="159"/>
      <c r="P259" s="159"/>
      <c r="Q259" s="159" t="s">
        <v>2840</v>
      </c>
      <c r="R259" s="159" t="s">
        <v>2863</v>
      </c>
      <c r="S259" s="159"/>
      <c r="T259" s="159"/>
      <c r="U259" s="158"/>
      <c r="V259" s="158"/>
      <c r="W259" s="159"/>
      <c r="X259" s="159"/>
      <c r="Y259" s="159"/>
      <c r="Z259" s="159"/>
      <c r="AA259" s="159"/>
      <c r="AB259" s="167">
        <v>45554</v>
      </c>
      <c r="AC259" s="159" t="s">
        <v>45</v>
      </c>
      <c r="AD259" s="158"/>
      <c r="AE259" s="159"/>
      <c r="AF259" s="159"/>
      <c r="AG259" s="159"/>
      <c r="AH259" s="159"/>
      <c r="AI259" s="159"/>
      <c r="AJ259" s="159"/>
      <c r="AK259" s="159" t="s">
        <v>2600</v>
      </c>
      <c r="AL259" s="159"/>
      <c r="AM259" s="159"/>
      <c r="AN259" s="159" t="s">
        <v>684</v>
      </c>
      <c r="AO259" s="172" t="s">
        <v>54</v>
      </c>
      <c r="AP259" s="172"/>
      <c r="AQ259" s="172"/>
      <c r="AR259" s="178" t="s">
        <v>2618</v>
      </c>
      <c r="AS259" s="178" t="s">
        <v>2618</v>
      </c>
      <c r="BD259" s="159" t="s">
        <v>689</v>
      </c>
      <c r="BF259" s="159"/>
      <c r="BG259" s="159" t="s">
        <v>45</v>
      </c>
      <c r="BH259" s="159" t="s">
        <v>46</v>
      </c>
      <c r="BI259" s="159" t="s">
        <v>41</v>
      </c>
      <c r="BJ259" s="156">
        <v>2</v>
      </c>
      <c r="BK259" s="156"/>
      <c r="BL259" s="156"/>
    </row>
    <row r="260" spans="1:64">
      <c r="A260" s="184" t="str">
        <f t="shared" si="3"/>
        <v>42410256</v>
      </c>
      <c r="B260" s="158" t="s">
        <v>1681</v>
      </c>
      <c r="C260" s="158" t="s">
        <v>3106</v>
      </c>
      <c r="D260" s="159" t="s">
        <v>1680</v>
      </c>
      <c r="E260" s="159"/>
      <c r="F260" s="158" t="s">
        <v>1683</v>
      </c>
      <c r="G260" s="167">
        <v>35852</v>
      </c>
      <c r="H260" s="167"/>
      <c r="I260" s="159" t="s">
        <v>2569</v>
      </c>
      <c r="J260" s="159" t="s">
        <v>2619</v>
      </c>
      <c r="K260" s="159" t="s">
        <v>165</v>
      </c>
      <c r="L260" s="159" t="s">
        <v>1682</v>
      </c>
      <c r="M260" s="158" t="s">
        <v>2621</v>
      </c>
      <c r="N260" s="158" t="s">
        <v>2623</v>
      </c>
      <c r="O260" s="159" t="s">
        <v>2678</v>
      </c>
      <c r="P260" s="159" t="s">
        <v>2662</v>
      </c>
      <c r="Q260" s="159" t="s">
        <v>2840</v>
      </c>
      <c r="R260" s="159" t="s">
        <v>2863</v>
      </c>
      <c r="S260" s="159"/>
      <c r="T260" s="159"/>
      <c r="U260" s="158"/>
      <c r="V260" s="158"/>
      <c r="W260" s="159"/>
      <c r="X260" s="159"/>
      <c r="Y260" s="159"/>
      <c r="Z260" s="159"/>
      <c r="AA260" s="159"/>
      <c r="AB260" s="167">
        <v>45583</v>
      </c>
      <c r="AC260" s="159" t="s">
        <v>129</v>
      </c>
      <c r="AD260" s="158"/>
      <c r="AE260" s="159"/>
      <c r="AF260" s="159"/>
      <c r="AG260" s="159"/>
      <c r="AH260" s="159"/>
      <c r="AI260" s="159"/>
      <c r="AJ260" s="159"/>
      <c r="AK260" s="159" t="s">
        <v>2600</v>
      </c>
      <c r="AL260" s="159"/>
      <c r="AM260" s="159"/>
      <c r="AN260" s="159" t="s">
        <v>786</v>
      </c>
      <c r="AO260" s="172" t="s">
        <v>115</v>
      </c>
      <c r="AP260" s="172"/>
      <c r="AQ260" s="172"/>
      <c r="AR260" s="178" t="s">
        <v>2618</v>
      </c>
      <c r="AS260" s="178" t="s">
        <v>2618</v>
      </c>
      <c r="BD260" s="185" t="s">
        <v>1442</v>
      </c>
      <c r="BE260" s="156" t="s">
        <v>1526</v>
      </c>
      <c r="BF260" s="159" t="s">
        <v>1482</v>
      </c>
      <c r="BG260" s="159" t="s">
        <v>129</v>
      </c>
      <c r="BH260" s="159" t="s">
        <v>46</v>
      </c>
      <c r="BI260" s="159" t="s">
        <v>41</v>
      </c>
      <c r="BJ260" s="156">
        <v>1</v>
      </c>
      <c r="BK260" s="156"/>
      <c r="BL260" s="156"/>
    </row>
    <row r="261" spans="1:64">
      <c r="A261" s="184" t="str">
        <f t="shared" si="3"/>
        <v>22410257</v>
      </c>
      <c r="B261" s="195" t="s">
        <v>2362</v>
      </c>
      <c r="C261" s="158" t="s">
        <v>3107</v>
      </c>
      <c r="D261" s="159" t="s">
        <v>768</v>
      </c>
      <c r="E261" s="159"/>
      <c r="F261" s="195"/>
      <c r="G261" s="167">
        <v>34625</v>
      </c>
      <c r="H261" s="167"/>
      <c r="I261" s="159" t="s">
        <v>2569</v>
      </c>
      <c r="J261" s="159" t="s">
        <v>2619</v>
      </c>
      <c r="K261" s="159" t="s">
        <v>302</v>
      </c>
      <c r="L261" s="159" t="s">
        <v>769</v>
      </c>
      <c r="M261" s="158"/>
      <c r="N261" s="158"/>
      <c r="O261" s="159" t="s">
        <v>2738</v>
      </c>
      <c r="P261" s="159" t="s">
        <v>2814</v>
      </c>
      <c r="Q261" s="159" t="s">
        <v>2842</v>
      </c>
      <c r="R261" s="159" t="s">
        <v>2863</v>
      </c>
      <c r="S261" s="159"/>
      <c r="T261" s="159" t="s">
        <v>769</v>
      </c>
      <c r="U261" s="158"/>
      <c r="V261" s="158"/>
      <c r="W261" s="159" t="s">
        <v>2738</v>
      </c>
      <c r="X261" s="159" t="s">
        <v>2814</v>
      </c>
      <c r="Y261" s="159" t="s">
        <v>2842</v>
      </c>
      <c r="Z261" s="159" t="s">
        <v>2863</v>
      </c>
      <c r="AA261" s="159"/>
      <c r="AB261" s="167">
        <v>45590</v>
      </c>
      <c r="AC261" s="159" t="s">
        <v>45</v>
      </c>
      <c r="AD261" s="158"/>
      <c r="AE261" s="159">
        <v>26020233859</v>
      </c>
      <c r="AF261" s="159"/>
      <c r="AG261" s="159"/>
      <c r="AH261" s="159"/>
      <c r="AI261" s="159"/>
      <c r="AJ261" s="159"/>
      <c r="AK261" s="159" t="s">
        <v>2600</v>
      </c>
      <c r="AL261" s="159"/>
      <c r="AM261" s="159"/>
      <c r="AN261" s="185" t="s">
        <v>684</v>
      </c>
      <c r="AO261" s="172" t="s">
        <v>54</v>
      </c>
      <c r="AP261" s="172"/>
      <c r="AQ261" s="172"/>
      <c r="AR261" s="178" t="s">
        <v>2618</v>
      </c>
      <c r="AS261" s="178" t="s">
        <v>2618</v>
      </c>
      <c r="BD261" s="185" t="s">
        <v>684</v>
      </c>
      <c r="BF261" s="185"/>
      <c r="BG261" s="159" t="s">
        <v>45</v>
      </c>
      <c r="BH261" s="159" t="s">
        <v>46</v>
      </c>
      <c r="BI261" s="159" t="s">
        <v>41</v>
      </c>
      <c r="BJ261" s="156">
        <v>3</v>
      </c>
      <c r="BK261" s="156"/>
      <c r="BL261" s="156"/>
    </row>
    <row r="262" spans="1:64">
      <c r="A262" s="184" t="str">
        <f t="shared" ref="A262:A325" si="4">IF(AC262="Tetap","1",IF(AC262="Kontrak","2",IF(AC262="Harian Lepas","3",IF(AC262="Borongan","4"))))&amp;TEXT(AB262,"YY")&amp;TEXT(AB262,"MM")&amp;TEXT(C262,"00")</f>
        <v>42412258</v>
      </c>
      <c r="B262" s="158" t="s">
        <v>1712</v>
      </c>
      <c r="C262" s="158" t="s">
        <v>3108</v>
      </c>
      <c r="D262" s="159" t="s">
        <v>1711</v>
      </c>
      <c r="E262" s="159"/>
      <c r="F262" s="158" t="s">
        <v>1714</v>
      </c>
      <c r="G262" s="167">
        <v>38651</v>
      </c>
      <c r="H262" s="167"/>
      <c r="I262" s="159" t="s">
        <v>2569</v>
      </c>
      <c r="J262" s="159" t="s">
        <v>2619</v>
      </c>
      <c r="K262" s="159" t="s">
        <v>165</v>
      </c>
      <c r="L262" s="159" t="s">
        <v>1713</v>
      </c>
      <c r="M262" s="158" t="s">
        <v>2622</v>
      </c>
      <c r="N262" s="158" t="s">
        <v>2623</v>
      </c>
      <c r="O262" s="159" t="s">
        <v>2657</v>
      </c>
      <c r="P262" s="159" t="s">
        <v>2662</v>
      </c>
      <c r="Q262" s="159" t="s">
        <v>2840</v>
      </c>
      <c r="R262" s="159" t="s">
        <v>2863</v>
      </c>
      <c r="S262" s="159"/>
      <c r="T262" s="159"/>
      <c r="U262" s="158"/>
      <c r="V262" s="158"/>
      <c r="W262" s="159"/>
      <c r="X262" s="159"/>
      <c r="Y262" s="159"/>
      <c r="Z262" s="159"/>
      <c r="AA262" s="159"/>
      <c r="AB262" s="167">
        <v>45627</v>
      </c>
      <c r="AC262" s="159" t="s">
        <v>129</v>
      </c>
      <c r="AD262" s="158"/>
      <c r="AE262" s="159"/>
      <c r="AF262" s="159"/>
      <c r="AG262" s="159"/>
      <c r="AH262" s="159"/>
      <c r="AI262" s="159"/>
      <c r="AJ262" s="159"/>
      <c r="AK262" s="159" t="s">
        <v>2600</v>
      </c>
      <c r="AL262" s="159"/>
      <c r="AM262" s="159"/>
      <c r="AN262" s="159" t="s">
        <v>786</v>
      </c>
      <c r="AO262" s="172" t="s">
        <v>115</v>
      </c>
      <c r="AP262" s="172"/>
      <c r="AQ262" s="172"/>
      <c r="AR262" s="178" t="s">
        <v>2618</v>
      </c>
      <c r="AS262" s="178" t="s">
        <v>2618</v>
      </c>
      <c r="BD262" s="185" t="s">
        <v>1442</v>
      </c>
      <c r="BE262" s="156" t="s">
        <v>1493</v>
      </c>
      <c r="BF262" s="159" t="s">
        <v>1508</v>
      </c>
      <c r="BG262" s="159" t="s">
        <v>129</v>
      </c>
      <c r="BH262" s="159" t="s">
        <v>46</v>
      </c>
      <c r="BI262" s="159" t="s">
        <v>41</v>
      </c>
      <c r="BJ262" s="156">
        <v>1</v>
      </c>
      <c r="BK262" s="156"/>
      <c r="BL262" s="156"/>
    </row>
    <row r="263" spans="1:64">
      <c r="A263" s="184" t="str">
        <f t="shared" si="4"/>
        <v>42412259</v>
      </c>
      <c r="B263" s="158" t="s">
        <v>1992</v>
      </c>
      <c r="C263" s="158" t="s">
        <v>3109</v>
      </c>
      <c r="D263" s="159" t="s">
        <v>1991</v>
      </c>
      <c r="E263" s="159"/>
      <c r="F263" s="158" t="s">
        <v>1993</v>
      </c>
      <c r="G263" s="167">
        <v>37302</v>
      </c>
      <c r="H263" s="167"/>
      <c r="I263" s="159" t="s">
        <v>2569</v>
      </c>
      <c r="J263" s="159" t="s">
        <v>2619</v>
      </c>
      <c r="K263" s="159" t="s">
        <v>165</v>
      </c>
      <c r="L263" s="159" t="s">
        <v>1751</v>
      </c>
      <c r="M263" s="158" t="s">
        <v>2645</v>
      </c>
      <c r="N263" s="158" t="s">
        <v>2630</v>
      </c>
      <c r="O263" s="159" t="s">
        <v>2716</v>
      </c>
      <c r="P263" s="159" t="s">
        <v>2659</v>
      </c>
      <c r="Q263" s="159" t="s">
        <v>2840</v>
      </c>
      <c r="R263" s="159" t="s">
        <v>2863</v>
      </c>
      <c r="S263" s="159"/>
      <c r="T263" s="159"/>
      <c r="U263" s="158"/>
      <c r="V263" s="158"/>
      <c r="W263" s="159"/>
      <c r="X263" s="159"/>
      <c r="Y263" s="159"/>
      <c r="Z263" s="159"/>
      <c r="AA263" s="159"/>
      <c r="AB263" s="167">
        <v>45630</v>
      </c>
      <c r="AC263" s="159" t="s">
        <v>129</v>
      </c>
      <c r="AD263" s="158"/>
      <c r="AE263" s="159"/>
      <c r="AF263" s="159"/>
      <c r="AG263" s="159"/>
      <c r="AH263" s="159"/>
      <c r="AI263" s="159"/>
      <c r="AJ263" s="159"/>
      <c r="AK263" s="159" t="s">
        <v>2600</v>
      </c>
      <c r="AL263" s="159"/>
      <c r="AM263" s="159"/>
      <c r="AN263" s="159" t="s">
        <v>786</v>
      </c>
      <c r="AO263" s="172" t="s">
        <v>115</v>
      </c>
      <c r="AP263" s="172"/>
      <c r="AQ263" s="172"/>
      <c r="AR263" s="178" t="s">
        <v>2618</v>
      </c>
      <c r="AS263" s="178" t="s">
        <v>2618</v>
      </c>
      <c r="BD263" s="185" t="s">
        <v>1442</v>
      </c>
      <c r="BE263" s="156" t="s">
        <v>1920</v>
      </c>
      <c r="BF263" s="159" t="s">
        <v>1539</v>
      </c>
      <c r="BG263" s="159" t="s">
        <v>129</v>
      </c>
      <c r="BH263" s="159" t="s">
        <v>46</v>
      </c>
      <c r="BI263" s="159" t="s">
        <v>41</v>
      </c>
      <c r="BJ263" s="156">
        <v>1</v>
      </c>
      <c r="BK263" s="156"/>
      <c r="BL263" s="156"/>
    </row>
    <row r="264" spans="1:64">
      <c r="A264" s="184" t="str">
        <f t="shared" si="4"/>
        <v>22501260</v>
      </c>
      <c r="B264" s="158" t="s">
        <v>2349</v>
      </c>
      <c r="C264" s="158" t="s">
        <v>3110</v>
      </c>
      <c r="D264" s="159" t="s">
        <v>394</v>
      </c>
      <c r="E264" s="222" t="s">
        <v>3419</v>
      </c>
      <c r="F264" s="158" t="s">
        <v>2351</v>
      </c>
      <c r="G264" s="167">
        <v>37098</v>
      </c>
      <c r="H264" s="167" t="s">
        <v>3396</v>
      </c>
      <c r="I264" s="159" t="s">
        <v>2570</v>
      </c>
      <c r="J264" s="159" t="s">
        <v>2619</v>
      </c>
      <c r="K264" s="159" t="s">
        <v>81</v>
      </c>
      <c r="L264" s="159" t="s">
        <v>2350</v>
      </c>
      <c r="M264" s="158" t="s">
        <v>2626</v>
      </c>
      <c r="N264" s="158" t="s">
        <v>2625</v>
      </c>
      <c r="O264" s="159" t="s">
        <v>2739</v>
      </c>
      <c r="P264" s="159" t="s">
        <v>2818</v>
      </c>
      <c r="Q264" s="159" t="s">
        <v>2842</v>
      </c>
      <c r="R264" s="159" t="s">
        <v>2863</v>
      </c>
      <c r="S264" s="159"/>
      <c r="T264" s="159" t="s">
        <v>2350</v>
      </c>
      <c r="U264" s="158" t="s">
        <v>2626</v>
      </c>
      <c r="V264" s="158" t="s">
        <v>2625</v>
      </c>
      <c r="W264" s="159" t="s">
        <v>2739</v>
      </c>
      <c r="X264" s="159" t="s">
        <v>2818</v>
      </c>
      <c r="Y264" s="159" t="s">
        <v>2842</v>
      </c>
      <c r="Z264" s="159" t="s">
        <v>2863</v>
      </c>
      <c r="AA264" s="159"/>
      <c r="AB264" s="167">
        <v>45659</v>
      </c>
      <c r="AC264" s="159" t="s">
        <v>45</v>
      </c>
      <c r="AD264" s="158"/>
      <c r="AE264" s="159"/>
      <c r="AF264" s="159"/>
      <c r="AG264" s="159" t="s">
        <v>3487</v>
      </c>
      <c r="AH264" s="157">
        <v>46390</v>
      </c>
      <c r="AI264" s="159"/>
      <c r="AJ264" s="159"/>
      <c r="AK264" s="159" t="s">
        <v>2600</v>
      </c>
      <c r="AL264" s="159"/>
      <c r="AM264" s="159"/>
      <c r="AN264" s="159" t="s">
        <v>392</v>
      </c>
      <c r="AO264" s="172" t="s">
        <v>54</v>
      </c>
      <c r="AP264" s="172"/>
      <c r="AQ264" s="172"/>
      <c r="AR264" s="178" t="s">
        <v>2618</v>
      </c>
      <c r="AS264" s="178" t="s">
        <v>2618</v>
      </c>
      <c r="BD264" s="159"/>
      <c r="BF264" s="159"/>
      <c r="BG264" s="159" t="s">
        <v>45</v>
      </c>
      <c r="BH264" s="159" t="s">
        <v>72</v>
      </c>
      <c r="BI264" s="159" t="s">
        <v>41</v>
      </c>
      <c r="BJ264" s="156">
        <v>3</v>
      </c>
      <c r="BK264" s="156"/>
      <c r="BL264" s="156"/>
    </row>
    <row r="265" spans="1:64">
      <c r="A265" s="184" t="str">
        <f t="shared" si="4"/>
        <v>22501261</v>
      </c>
      <c r="B265" s="164" t="s">
        <v>2352</v>
      </c>
      <c r="C265" s="158" t="s">
        <v>3111</v>
      </c>
      <c r="D265" s="159" t="s">
        <v>780</v>
      </c>
      <c r="E265" s="159"/>
      <c r="F265" s="164"/>
      <c r="G265" s="167">
        <v>36610</v>
      </c>
      <c r="H265" s="167" t="s">
        <v>693</v>
      </c>
      <c r="I265" s="159" t="s">
        <v>2569</v>
      </c>
      <c r="J265" s="159" t="s">
        <v>2619</v>
      </c>
      <c r="K265" s="159" t="s">
        <v>81</v>
      </c>
      <c r="L265" s="159" t="s">
        <v>2353</v>
      </c>
      <c r="M265" s="158"/>
      <c r="N265" s="158"/>
      <c r="O265" s="159" t="s">
        <v>2740</v>
      </c>
      <c r="P265" s="159" t="s">
        <v>2805</v>
      </c>
      <c r="Q265" s="159" t="s">
        <v>2846</v>
      </c>
      <c r="R265" s="159" t="s">
        <v>2863</v>
      </c>
      <c r="S265" s="159"/>
      <c r="T265" s="159" t="s">
        <v>2353</v>
      </c>
      <c r="U265" s="158"/>
      <c r="V265" s="158"/>
      <c r="W265" s="159" t="s">
        <v>2740</v>
      </c>
      <c r="X265" s="159" t="s">
        <v>2805</v>
      </c>
      <c r="Y265" s="159" t="s">
        <v>2846</v>
      </c>
      <c r="Z265" s="159" t="s">
        <v>2863</v>
      </c>
      <c r="AA265" s="159"/>
      <c r="AB265" s="167">
        <v>45659</v>
      </c>
      <c r="AC265" s="159" t="s">
        <v>45</v>
      </c>
      <c r="AD265" s="158"/>
      <c r="AE265" s="159">
        <v>25098712919</v>
      </c>
      <c r="AF265" s="159"/>
      <c r="AG265" s="159" t="s">
        <v>3487</v>
      </c>
      <c r="AH265" s="157">
        <v>46390</v>
      </c>
      <c r="AI265" s="159"/>
      <c r="AJ265" s="159"/>
      <c r="AK265" s="159" t="s">
        <v>2600</v>
      </c>
      <c r="AL265" s="159"/>
      <c r="AM265" s="159"/>
      <c r="AN265" s="185" t="s">
        <v>684</v>
      </c>
      <c r="AO265" s="172" t="s">
        <v>54</v>
      </c>
      <c r="AP265" s="172"/>
      <c r="AQ265" s="172"/>
      <c r="AR265" s="178" t="s">
        <v>2618</v>
      </c>
      <c r="AS265" s="178" t="s">
        <v>2618</v>
      </c>
      <c r="BD265" s="185" t="s">
        <v>684</v>
      </c>
      <c r="BF265" s="156"/>
      <c r="BG265" s="159" t="s">
        <v>45</v>
      </c>
      <c r="BH265" s="159" t="s">
        <v>72</v>
      </c>
      <c r="BI265" s="159" t="s">
        <v>41</v>
      </c>
      <c r="BJ265" s="156">
        <v>3</v>
      </c>
      <c r="BK265" s="156"/>
      <c r="BL265" s="156"/>
    </row>
    <row r="266" spans="1:64">
      <c r="A266" s="184" t="str">
        <f t="shared" si="4"/>
        <v>32501262</v>
      </c>
      <c r="B266" s="158" t="s">
        <v>117</v>
      </c>
      <c r="C266" s="158" t="s">
        <v>3112</v>
      </c>
      <c r="D266" s="159" t="s">
        <v>114</v>
      </c>
      <c r="E266" s="159"/>
      <c r="F266" s="158" t="s">
        <v>119</v>
      </c>
      <c r="G266" s="167">
        <v>31366</v>
      </c>
      <c r="H266" s="167"/>
      <c r="I266" s="159" t="s">
        <v>2569</v>
      </c>
      <c r="J266" s="159" t="s">
        <v>2619</v>
      </c>
      <c r="K266" s="159" t="s">
        <v>35</v>
      </c>
      <c r="L266" s="159" t="s">
        <v>118</v>
      </c>
      <c r="M266" s="158" t="s">
        <v>2621</v>
      </c>
      <c r="N266" s="158" t="s">
        <v>2623</v>
      </c>
      <c r="O266" s="159" t="s">
        <v>2688</v>
      </c>
      <c r="P266" s="159" t="s">
        <v>2804</v>
      </c>
      <c r="Q266" s="159" t="s">
        <v>2842</v>
      </c>
      <c r="R266" s="159" t="s">
        <v>2863</v>
      </c>
      <c r="S266" s="159"/>
      <c r="T266" s="159"/>
      <c r="U266" s="158"/>
      <c r="V266" s="158"/>
      <c r="W266" s="159"/>
      <c r="X266" s="159"/>
      <c r="Y266" s="159"/>
      <c r="Z266" s="159"/>
      <c r="AA266" s="159"/>
      <c r="AB266" s="167">
        <v>45671</v>
      </c>
      <c r="AC266" s="159" t="s">
        <v>71</v>
      </c>
      <c r="AD266" s="158"/>
      <c r="AE266" s="159"/>
      <c r="AF266" s="159"/>
      <c r="AG266" s="159"/>
      <c r="AH266" s="159"/>
      <c r="AI266" s="159"/>
      <c r="AJ266" s="159"/>
      <c r="AK266" s="159" t="s">
        <v>2600</v>
      </c>
      <c r="AL266" s="159"/>
      <c r="AM266" s="159"/>
      <c r="AN266" s="159" t="s">
        <v>29</v>
      </c>
      <c r="AO266" s="172" t="s">
        <v>115</v>
      </c>
      <c r="AP266" s="172"/>
      <c r="AQ266" s="172"/>
      <c r="AR266" s="178" t="s">
        <v>2618</v>
      </c>
      <c r="AS266" s="178" t="s">
        <v>2618</v>
      </c>
      <c r="BD266" s="156"/>
      <c r="BF266" s="159"/>
      <c r="BG266" s="159" t="s">
        <v>71</v>
      </c>
      <c r="BH266" s="159" t="s">
        <v>46</v>
      </c>
      <c r="BI266" s="159" t="s">
        <v>41</v>
      </c>
      <c r="BJ266" s="156">
        <v>3</v>
      </c>
      <c r="BK266" s="156"/>
      <c r="BL266" s="156"/>
    </row>
    <row r="267" spans="1:64">
      <c r="A267" s="184" t="str">
        <f t="shared" si="4"/>
        <v>32501263</v>
      </c>
      <c r="B267" s="158" t="s">
        <v>342</v>
      </c>
      <c r="C267" s="158" t="s">
        <v>3113</v>
      </c>
      <c r="D267" s="159" t="s">
        <v>341</v>
      </c>
      <c r="E267" s="159"/>
      <c r="F267" s="158" t="s">
        <v>344</v>
      </c>
      <c r="G267" s="167">
        <v>30182</v>
      </c>
      <c r="H267" s="167"/>
      <c r="I267" s="159" t="s">
        <v>2569</v>
      </c>
      <c r="J267" s="159" t="s">
        <v>2619</v>
      </c>
      <c r="K267" s="159" t="s">
        <v>35</v>
      </c>
      <c r="L267" s="159" t="s">
        <v>343</v>
      </c>
      <c r="M267" s="158" t="s">
        <v>2627</v>
      </c>
      <c r="N267" s="158" t="s">
        <v>2625</v>
      </c>
      <c r="O267" s="159" t="s">
        <v>2659</v>
      </c>
      <c r="P267" s="159" t="s">
        <v>2659</v>
      </c>
      <c r="Q267" s="159" t="s">
        <v>2840</v>
      </c>
      <c r="R267" s="159" t="s">
        <v>2863</v>
      </c>
      <c r="S267" s="159"/>
      <c r="T267" s="159"/>
      <c r="U267" s="158"/>
      <c r="V267" s="158"/>
      <c r="W267" s="159"/>
      <c r="X267" s="159"/>
      <c r="Y267" s="159"/>
      <c r="Z267" s="159"/>
      <c r="AA267" s="159"/>
      <c r="AB267" s="167">
        <v>45680</v>
      </c>
      <c r="AC267" s="159" t="s">
        <v>71</v>
      </c>
      <c r="AD267" s="158"/>
      <c r="AE267" s="159"/>
      <c r="AF267" s="159"/>
      <c r="AG267" s="159"/>
      <c r="AH267" s="159"/>
      <c r="AI267" s="159"/>
      <c r="AJ267" s="159"/>
      <c r="AK267" s="159" t="s">
        <v>2600</v>
      </c>
      <c r="AL267" s="159"/>
      <c r="AM267" s="159"/>
      <c r="AN267" s="185" t="s">
        <v>298</v>
      </c>
      <c r="AO267" s="172" t="s">
        <v>78</v>
      </c>
      <c r="AP267" s="172"/>
      <c r="AQ267" s="172"/>
      <c r="AR267" s="178" t="s">
        <v>2618</v>
      </c>
      <c r="AS267" s="178" t="s">
        <v>2618</v>
      </c>
      <c r="BD267" s="156"/>
      <c r="BF267" s="159"/>
      <c r="BG267" s="159" t="s">
        <v>71</v>
      </c>
      <c r="BH267" s="159" t="s">
        <v>46</v>
      </c>
      <c r="BI267" s="159" t="s">
        <v>41</v>
      </c>
      <c r="BJ267" s="156">
        <v>1</v>
      </c>
      <c r="BK267" s="156"/>
      <c r="BL267" s="156"/>
    </row>
    <row r="268" spans="1:64">
      <c r="A268" s="184" t="str">
        <f t="shared" si="4"/>
        <v>42501264</v>
      </c>
      <c r="B268" s="158" t="s">
        <v>1315</v>
      </c>
      <c r="C268" s="158" t="s">
        <v>3114</v>
      </c>
      <c r="D268" s="159" t="s">
        <v>1314</v>
      </c>
      <c r="E268" s="159"/>
      <c r="F268" s="158" t="s">
        <v>1316</v>
      </c>
      <c r="G268" s="167">
        <v>36317</v>
      </c>
      <c r="H268" s="167"/>
      <c r="I268" s="159" t="s">
        <v>2569</v>
      </c>
      <c r="J268" s="159" t="s">
        <v>2619</v>
      </c>
      <c r="K268" s="159" t="s">
        <v>35</v>
      </c>
      <c r="L268" s="159" t="s">
        <v>177</v>
      </c>
      <c r="M268" s="158" t="s">
        <v>2625</v>
      </c>
      <c r="N268" s="158" t="s">
        <v>2625</v>
      </c>
      <c r="O268" s="159" t="s">
        <v>2659</v>
      </c>
      <c r="P268" s="159" t="s">
        <v>2659</v>
      </c>
      <c r="Q268" s="159" t="s">
        <v>2840</v>
      </c>
      <c r="R268" s="159" t="s">
        <v>2863</v>
      </c>
      <c r="S268" s="159"/>
      <c r="T268" s="159"/>
      <c r="U268" s="158"/>
      <c r="V268" s="158"/>
      <c r="W268" s="159"/>
      <c r="X268" s="159"/>
      <c r="Y268" s="159"/>
      <c r="Z268" s="159"/>
      <c r="AA268" s="159"/>
      <c r="AB268" s="167">
        <v>45686</v>
      </c>
      <c r="AC268" s="159" t="s">
        <v>129</v>
      </c>
      <c r="AD268" s="158"/>
      <c r="AE268" s="159"/>
      <c r="AF268" s="159"/>
      <c r="AG268" s="159"/>
      <c r="AH268" s="159"/>
      <c r="AI268" s="159"/>
      <c r="AJ268" s="159"/>
      <c r="AK268" s="159" t="s">
        <v>2600</v>
      </c>
      <c r="AL268" s="159"/>
      <c r="AM268" s="159"/>
      <c r="AN268" s="159" t="s">
        <v>786</v>
      </c>
      <c r="AO268" s="172" t="s">
        <v>115</v>
      </c>
      <c r="AP268" s="172"/>
      <c r="AQ268" s="172"/>
      <c r="AR268" s="178" t="s">
        <v>2618</v>
      </c>
      <c r="AS268" s="178" t="s">
        <v>2618</v>
      </c>
      <c r="BD268" s="185" t="s">
        <v>1002</v>
      </c>
      <c r="BE268" s="156" t="s">
        <v>1145</v>
      </c>
      <c r="BF268" s="185" t="s">
        <v>1049</v>
      </c>
      <c r="BG268" s="159" t="s">
        <v>129</v>
      </c>
      <c r="BH268" s="159" t="s">
        <v>46</v>
      </c>
      <c r="BI268" s="159" t="s">
        <v>41</v>
      </c>
      <c r="BJ268" s="156">
        <v>1</v>
      </c>
      <c r="BK268" s="156"/>
      <c r="BL268" s="156"/>
    </row>
    <row r="269" spans="1:64">
      <c r="A269" s="184" t="str">
        <f t="shared" si="4"/>
        <v>42502265</v>
      </c>
      <c r="B269" s="158" t="s">
        <v>1416</v>
      </c>
      <c r="C269" s="158" t="s">
        <v>3115</v>
      </c>
      <c r="D269" s="159" t="s">
        <v>1415</v>
      </c>
      <c r="E269" s="159"/>
      <c r="F269" s="158" t="s">
        <v>1418</v>
      </c>
      <c r="G269" s="167">
        <v>33015</v>
      </c>
      <c r="H269" s="167"/>
      <c r="I269" s="159" t="s">
        <v>2569</v>
      </c>
      <c r="J269" s="159" t="s">
        <v>2619</v>
      </c>
      <c r="K269" s="159" t="s">
        <v>165</v>
      </c>
      <c r="L269" s="159" t="s">
        <v>1417</v>
      </c>
      <c r="M269" s="158" t="s">
        <v>2626</v>
      </c>
      <c r="N269" s="158" t="s">
        <v>2626</v>
      </c>
      <c r="O269" s="159" t="s">
        <v>2659</v>
      </c>
      <c r="P269" s="159" t="s">
        <v>2659</v>
      </c>
      <c r="Q269" s="159" t="s">
        <v>2840</v>
      </c>
      <c r="R269" s="159" t="s">
        <v>2863</v>
      </c>
      <c r="S269" s="159"/>
      <c r="T269" s="159"/>
      <c r="U269" s="158"/>
      <c r="V269" s="158"/>
      <c r="W269" s="159"/>
      <c r="X269" s="159"/>
      <c r="Y269" s="159"/>
      <c r="Z269" s="159"/>
      <c r="AA269" s="159"/>
      <c r="AB269" s="167">
        <v>45689</v>
      </c>
      <c r="AC269" s="159" t="s">
        <v>129</v>
      </c>
      <c r="AD269" s="158"/>
      <c r="AE269" s="159"/>
      <c r="AF269" s="159"/>
      <c r="AG269" s="159"/>
      <c r="AH269" s="159"/>
      <c r="AI269" s="159"/>
      <c r="AJ269" s="159"/>
      <c r="AK269" s="159" t="s">
        <v>2600</v>
      </c>
      <c r="AL269" s="159"/>
      <c r="AM269" s="159"/>
      <c r="AN269" s="159" t="s">
        <v>786</v>
      </c>
      <c r="AO269" s="172" t="s">
        <v>115</v>
      </c>
      <c r="AP269" s="172"/>
      <c r="AQ269" s="172"/>
      <c r="AR269" s="178" t="s">
        <v>2618</v>
      </c>
      <c r="AS269" s="178" t="s">
        <v>2618</v>
      </c>
      <c r="BD269" s="185" t="s">
        <v>1002</v>
      </c>
      <c r="BE269" s="156" t="s">
        <v>704</v>
      </c>
      <c r="BF269" s="159" t="s">
        <v>1042</v>
      </c>
      <c r="BG269" s="159" t="s">
        <v>129</v>
      </c>
      <c r="BH269" s="159" t="s">
        <v>46</v>
      </c>
      <c r="BI269" s="159" t="s">
        <v>41</v>
      </c>
      <c r="BJ269" s="156">
        <v>1</v>
      </c>
      <c r="BK269" s="156"/>
      <c r="BL269" s="156"/>
    </row>
    <row r="270" spans="1:64">
      <c r="A270" s="184" t="str">
        <f t="shared" si="4"/>
        <v>22502266</v>
      </c>
      <c r="B270" s="158" t="s">
        <v>2354</v>
      </c>
      <c r="C270" s="158" t="s">
        <v>3116</v>
      </c>
      <c r="D270" s="159" t="s">
        <v>542</v>
      </c>
      <c r="E270" s="222" t="s">
        <v>3390</v>
      </c>
      <c r="F270" s="158" t="s">
        <v>3433</v>
      </c>
      <c r="G270" s="167">
        <v>35983</v>
      </c>
      <c r="H270" s="167" t="s">
        <v>528</v>
      </c>
      <c r="I270" s="159" t="s">
        <v>2569</v>
      </c>
      <c r="J270" s="159" t="s">
        <v>2619</v>
      </c>
      <c r="K270" s="159" t="s">
        <v>302</v>
      </c>
      <c r="L270" s="159" t="s">
        <v>2355</v>
      </c>
      <c r="M270" s="158" t="s">
        <v>2626</v>
      </c>
      <c r="N270" s="158" t="s">
        <v>2630</v>
      </c>
      <c r="O270" s="159" t="s">
        <v>2741</v>
      </c>
      <c r="P270" s="159" t="s">
        <v>2790</v>
      </c>
      <c r="Q270" s="159" t="s">
        <v>2844</v>
      </c>
      <c r="R270" s="159" t="s">
        <v>2863</v>
      </c>
      <c r="S270" s="159"/>
      <c r="T270" s="159" t="s">
        <v>3426</v>
      </c>
      <c r="U270" s="158" t="s">
        <v>2621</v>
      </c>
      <c r="V270" s="158" t="s">
        <v>2627</v>
      </c>
      <c r="W270" s="159" t="s">
        <v>3427</v>
      </c>
      <c r="X270" s="159" t="s">
        <v>2802</v>
      </c>
      <c r="Y270" s="159" t="s">
        <v>3396</v>
      </c>
      <c r="Z270" s="159" t="s">
        <v>2863</v>
      </c>
      <c r="AA270" s="159"/>
      <c r="AB270" s="167">
        <v>45712</v>
      </c>
      <c r="AC270" s="159" t="s">
        <v>45</v>
      </c>
      <c r="AD270" s="158"/>
      <c r="AE270" s="159">
        <v>26044410541</v>
      </c>
      <c r="AF270" s="159"/>
      <c r="AG270" s="159" t="s">
        <v>3487</v>
      </c>
      <c r="AH270" s="157">
        <v>46441</v>
      </c>
      <c r="AI270" s="159"/>
      <c r="AJ270" s="159"/>
      <c r="AK270" s="159" t="s">
        <v>2600</v>
      </c>
      <c r="AL270" s="159"/>
      <c r="AM270" s="159"/>
      <c r="AN270" s="159" t="s">
        <v>543</v>
      </c>
      <c r="AO270" s="172" t="s">
        <v>54</v>
      </c>
      <c r="AP270" s="172"/>
      <c r="AQ270" s="172"/>
      <c r="AR270" s="178" t="s">
        <v>2618</v>
      </c>
      <c r="AS270" s="178" t="s">
        <v>2618</v>
      </c>
      <c r="BD270" s="159"/>
      <c r="BF270" s="159"/>
      <c r="BG270" s="159" t="s">
        <v>45</v>
      </c>
      <c r="BH270" s="159" t="s">
        <v>72</v>
      </c>
      <c r="BI270" s="159" t="s">
        <v>41</v>
      </c>
      <c r="BJ270" s="156">
        <v>3</v>
      </c>
      <c r="BK270" s="156"/>
      <c r="BL270" s="156"/>
    </row>
    <row r="271" spans="1:64">
      <c r="A271" s="184" t="str">
        <f t="shared" si="4"/>
        <v>22502267</v>
      </c>
      <c r="B271" s="164" t="s">
        <v>2356</v>
      </c>
      <c r="C271" s="158" t="s">
        <v>3117</v>
      </c>
      <c r="D271" s="159" t="s">
        <v>532</v>
      </c>
      <c r="E271" s="222" t="s">
        <v>3420</v>
      </c>
      <c r="F271" s="164" t="s">
        <v>3421</v>
      </c>
      <c r="G271" s="167">
        <v>36409</v>
      </c>
      <c r="H271" s="167" t="s">
        <v>3422</v>
      </c>
      <c r="I271" s="159" t="s">
        <v>2569</v>
      </c>
      <c r="J271" s="159" t="s">
        <v>2619</v>
      </c>
      <c r="K271" s="159" t="s">
        <v>81</v>
      </c>
      <c r="L271" s="159" t="s">
        <v>3424</v>
      </c>
      <c r="M271" s="158"/>
      <c r="N271" s="158"/>
      <c r="O271" s="159"/>
      <c r="P271" s="159"/>
      <c r="Q271" s="159" t="s">
        <v>2857</v>
      </c>
      <c r="R271" s="159" t="s">
        <v>2863</v>
      </c>
      <c r="S271" s="159"/>
      <c r="T271" s="159" t="s">
        <v>3423</v>
      </c>
      <c r="U271" s="158" t="s">
        <v>2626</v>
      </c>
      <c r="V271" s="158" t="s">
        <v>2623</v>
      </c>
      <c r="W271" s="159" t="s">
        <v>2659</v>
      </c>
      <c r="X271" s="159" t="s">
        <v>2659</v>
      </c>
      <c r="Y271" s="159" t="s">
        <v>2840</v>
      </c>
      <c r="Z271" s="159" t="s">
        <v>2863</v>
      </c>
      <c r="AA271" s="159"/>
      <c r="AB271" s="167">
        <v>45714</v>
      </c>
      <c r="AC271" s="159" t="s">
        <v>45</v>
      </c>
      <c r="AD271" s="158"/>
      <c r="AE271" s="159">
        <v>25098712992</v>
      </c>
      <c r="AF271" s="159"/>
      <c r="AG271" s="159" t="s">
        <v>3487</v>
      </c>
      <c r="AH271" s="159" t="s">
        <v>3488</v>
      </c>
      <c r="AI271" s="159"/>
      <c r="AJ271" s="159"/>
      <c r="AK271" s="159" t="s">
        <v>2600</v>
      </c>
      <c r="AL271" s="159"/>
      <c r="AM271" s="159"/>
      <c r="AN271" s="185" t="s">
        <v>527</v>
      </c>
      <c r="AO271" s="172" t="s">
        <v>54</v>
      </c>
      <c r="AP271" s="172"/>
      <c r="AQ271" s="172"/>
      <c r="AR271" s="178" t="s">
        <v>2618</v>
      </c>
      <c r="AS271" s="178" t="s">
        <v>2618</v>
      </c>
      <c r="BD271" s="159"/>
      <c r="BF271" s="156"/>
      <c r="BG271" s="159" t="s">
        <v>45</v>
      </c>
      <c r="BH271" s="159" t="s">
        <v>72</v>
      </c>
      <c r="BI271" s="159" t="s">
        <v>41</v>
      </c>
      <c r="BJ271" s="162">
        <v>3</v>
      </c>
      <c r="BL271" s="156"/>
    </row>
    <row r="272" spans="1:64">
      <c r="A272" s="184" t="str">
        <f t="shared" si="4"/>
        <v>42503268</v>
      </c>
      <c r="B272" s="158" t="s">
        <v>1618</v>
      </c>
      <c r="C272" s="158" t="s">
        <v>3118</v>
      </c>
      <c r="D272" s="159" t="s">
        <v>1617</v>
      </c>
      <c r="E272" s="159"/>
      <c r="F272" s="158" t="s">
        <v>1620</v>
      </c>
      <c r="G272" s="167">
        <v>38028</v>
      </c>
      <c r="H272" s="167"/>
      <c r="I272" s="159" t="s">
        <v>2569</v>
      </c>
      <c r="J272" s="159" t="s">
        <v>2619</v>
      </c>
      <c r="K272" s="159" t="s">
        <v>165</v>
      </c>
      <c r="L272" s="159" t="s">
        <v>1619</v>
      </c>
      <c r="M272" s="158" t="s">
        <v>2622</v>
      </c>
      <c r="N272" s="158" t="s">
        <v>2625</v>
      </c>
      <c r="O272" s="159" t="s">
        <v>2659</v>
      </c>
      <c r="P272" s="159" t="s">
        <v>2659</v>
      </c>
      <c r="Q272" s="159" t="s">
        <v>2840</v>
      </c>
      <c r="R272" s="159" t="s">
        <v>2863</v>
      </c>
      <c r="S272" s="159"/>
      <c r="T272" s="159"/>
      <c r="U272" s="158"/>
      <c r="V272" s="158"/>
      <c r="W272" s="159"/>
      <c r="X272" s="159"/>
      <c r="Y272" s="159"/>
      <c r="Z272" s="159"/>
      <c r="AA272" s="159"/>
      <c r="AB272" s="167">
        <v>45736</v>
      </c>
      <c r="AC272" s="159" t="s">
        <v>129</v>
      </c>
      <c r="AD272" s="158"/>
      <c r="AE272" s="159"/>
      <c r="AF272" s="159"/>
      <c r="AG272" s="159"/>
      <c r="AH272" s="159"/>
      <c r="AI272" s="159"/>
      <c r="AJ272" s="159"/>
      <c r="AK272" s="159" t="s">
        <v>2600</v>
      </c>
      <c r="AL272" s="159"/>
      <c r="AM272" s="159"/>
      <c r="AN272" s="159" t="s">
        <v>786</v>
      </c>
      <c r="AO272" s="172" t="s">
        <v>115</v>
      </c>
      <c r="AP272" s="172"/>
      <c r="AQ272" s="172"/>
      <c r="AR272" s="178" t="s">
        <v>2618</v>
      </c>
      <c r="AS272" s="178" t="s">
        <v>2618</v>
      </c>
      <c r="BD272" s="185" t="s">
        <v>1442</v>
      </c>
      <c r="BE272" s="156" t="s">
        <v>1920</v>
      </c>
      <c r="BF272" s="159" t="s">
        <v>1482</v>
      </c>
      <c r="BG272" s="159" t="s">
        <v>129</v>
      </c>
      <c r="BH272" s="159" t="s">
        <v>46</v>
      </c>
      <c r="BI272" s="159" t="s">
        <v>41</v>
      </c>
      <c r="BJ272" s="156">
        <v>1</v>
      </c>
      <c r="BK272" s="156"/>
      <c r="BL272" s="156"/>
    </row>
    <row r="273" spans="1:64">
      <c r="A273" s="184" t="str">
        <f t="shared" si="4"/>
        <v>42503269</v>
      </c>
      <c r="B273" s="158" t="s">
        <v>1998</v>
      </c>
      <c r="C273" s="158" t="s">
        <v>3119</v>
      </c>
      <c r="D273" s="159" t="s">
        <v>1997</v>
      </c>
      <c r="E273" s="159"/>
      <c r="F273" s="158" t="s">
        <v>2000</v>
      </c>
      <c r="G273" s="167">
        <v>38822</v>
      </c>
      <c r="H273" s="167"/>
      <c r="I273" s="159" t="s">
        <v>2569</v>
      </c>
      <c r="J273" s="159" t="s">
        <v>2619</v>
      </c>
      <c r="K273" s="159" t="s">
        <v>165</v>
      </c>
      <c r="L273" s="159" t="s">
        <v>1999</v>
      </c>
      <c r="M273" s="158" t="s">
        <v>2623</v>
      </c>
      <c r="N273" s="158" t="s">
        <v>2621</v>
      </c>
      <c r="O273" s="159" t="s">
        <v>2698</v>
      </c>
      <c r="P273" s="159" t="s">
        <v>2659</v>
      </c>
      <c r="Q273" s="159" t="s">
        <v>2840</v>
      </c>
      <c r="R273" s="159" t="s">
        <v>2863</v>
      </c>
      <c r="S273" s="159"/>
      <c r="T273" s="159"/>
      <c r="U273" s="158"/>
      <c r="V273" s="158"/>
      <c r="W273" s="159"/>
      <c r="X273" s="159"/>
      <c r="Y273" s="159"/>
      <c r="Z273" s="159"/>
      <c r="AA273" s="159"/>
      <c r="AB273" s="167">
        <v>45736</v>
      </c>
      <c r="AC273" s="159" t="s">
        <v>129</v>
      </c>
      <c r="AD273" s="158"/>
      <c r="AE273" s="159"/>
      <c r="AF273" s="159"/>
      <c r="AG273" s="159"/>
      <c r="AH273" s="159"/>
      <c r="AI273" s="159"/>
      <c r="AJ273" s="159"/>
      <c r="AK273" s="159" t="s">
        <v>2600</v>
      </c>
      <c r="AL273" s="159"/>
      <c r="AM273" s="159"/>
      <c r="AN273" s="159" t="s">
        <v>786</v>
      </c>
      <c r="AO273" s="172" t="s">
        <v>115</v>
      </c>
      <c r="AP273" s="172"/>
      <c r="AQ273" s="172"/>
      <c r="AR273" s="178" t="s">
        <v>2618</v>
      </c>
      <c r="AS273" s="178" t="s">
        <v>2618</v>
      </c>
      <c r="BD273" s="185" t="s">
        <v>1002</v>
      </c>
      <c r="BE273" s="156" t="s">
        <v>1127</v>
      </c>
      <c r="BF273" s="159" t="s">
        <v>1049</v>
      </c>
      <c r="BG273" s="159" t="s">
        <v>129</v>
      </c>
      <c r="BH273" s="159" t="s">
        <v>121</v>
      </c>
      <c r="BI273" s="159" t="s">
        <v>41</v>
      </c>
      <c r="BJ273" s="156">
        <v>1</v>
      </c>
      <c r="BK273" s="156"/>
      <c r="BL273" s="156"/>
    </row>
    <row r="274" spans="1:64">
      <c r="A274" s="184" t="str">
        <f t="shared" si="4"/>
        <v>42503270</v>
      </c>
      <c r="B274" s="158" t="s">
        <v>2013</v>
      </c>
      <c r="C274" s="158" t="s">
        <v>3120</v>
      </c>
      <c r="D274" s="159" t="s">
        <v>2012</v>
      </c>
      <c r="E274" s="159"/>
      <c r="F274" s="158" t="s">
        <v>2014</v>
      </c>
      <c r="G274" s="167">
        <v>38435</v>
      </c>
      <c r="H274" s="167"/>
      <c r="I274" s="159" t="s">
        <v>2569</v>
      </c>
      <c r="J274" s="159" t="s">
        <v>2619</v>
      </c>
      <c r="K274" s="159" t="s">
        <v>165</v>
      </c>
      <c r="L274" s="159" t="s">
        <v>974</v>
      </c>
      <c r="M274" s="158" t="s">
        <v>2626</v>
      </c>
      <c r="N274" s="158" t="s">
        <v>2626</v>
      </c>
      <c r="O274" s="159" t="s">
        <v>2659</v>
      </c>
      <c r="P274" s="159" t="s">
        <v>2659</v>
      </c>
      <c r="Q274" s="159" t="s">
        <v>2840</v>
      </c>
      <c r="R274" s="159" t="s">
        <v>2863</v>
      </c>
      <c r="S274" s="159"/>
      <c r="T274" s="159"/>
      <c r="U274" s="158"/>
      <c r="V274" s="158"/>
      <c r="W274" s="159"/>
      <c r="X274" s="159"/>
      <c r="Y274" s="159"/>
      <c r="Z274" s="159"/>
      <c r="AA274" s="159"/>
      <c r="AB274" s="167">
        <v>45736</v>
      </c>
      <c r="AC274" s="159" t="s">
        <v>129</v>
      </c>
      <c r="AD274" s="158"/>
      <c r="AE274" s="159"/>
      <c r="AF274" s="159"/>
      <c r="AG274" s="159"/>
      <c r="AH274" s="159"/>
      <c r="AI274" s="159"/>
      <c r="AJ274" s="159"/>
      <c r="AK274" s="159" t="s">
        <v>2600</v>
      </c>
      <c r="AL274" s="159"/>
      <c r="AM274" s="159"/>
      <c r="AN274" s="159" t="s">
        <v>786</v>
      </c>
      <c r="AO274" s="172" t="s">
        <v>115</v>
      </c>
      <c r="AP274" s="172"/>
      <c r="AQ274" s="172"/>
      <c r="AR274" s="178" t="s">
        <v>2618</v>
      </c>
      <c r="AS274" s="178" t="s">
        <v>2618</v>
      </c>
      <c r="BD274" s="185" t="s">
        <v>1442</v>
      </c>
      <c r="BE274" s="156" t="s">
        <v>1920</v>
      </c>
      <c r="BF274" s="159" t="s">
        <v>1539</v>
      </c>
      <c r="BG274" s="159" t="s">
        <v>129</v>
      </c>
      <c r="BH274" s="159" t="s">
        <v>46</v>
      </c>
      <c r="BI274" s="159" t="s">
        <v>41</v>
      </c>
      <c r="BJ274" s="156">
        <v>1</v>
      </c>
      <c r="BK274" s="156"/>
      <c r="BL274" s="156"/>
    </row>
    <row r="275" spans="1:64">
      <c r="A275" s="184" t="str">
        <f t="shared" si="4"/>
        <v>22504271</v>
      </c>
      <c r="B275" s="158" t="s">
        <v>2348</v>
      </c>
      <c r="C275" s="158" t="s">
        <v>3121</v>
      </c>
      <c r="D275" s="159" t="s">
        <v>656</v>
      </c>
      <c r="E275" s="159"/>
      <c r="F275" s="158" t="s">
        <v>3432</v>
      </c>
      <c r="G275" s="167">
        <v>36937</v>
      </c>
      <c r="H275" s="167" t="s">
        <v>2841</v>
      </c>
      <c r="I275" s="159" t="s">
        <v>2569</v>
      </c>
      <c r="J275" s="159" t="s">
        <v>2619</v>
      </c>
      <c r="K275" s="159" t="s">
        <v>81</v>
      </c>
      <c r="L275" s="159" t="s">
        <v>2357</v>
      </c>
      <c r="M275" s="158" t="s">
        <v>2622</v>
      </c>
      <c r="N275" s="158" t="s">
        <v>2621</v>
      </c>
      <c r="O275" s="159" t="s">
        <v>2742</v>
      </c>
      <c r="P275" s="159" t="s">
        <v>2819</v>
      </c>
      <c r="Q275" s="159" t="s">
        <v>2844</v>
      </c>
      <c r="R275" s="159" t="s">
        <v>2863</v>
      </c>
      <c r="S275" s="159"/>
      <c r="T275" s="159"/>
      <c r="U275" s="158"/>
      <c r="V275" s="158"/>
      <c r="W275" s="159"/>
      <c r="X275" s="159"/>
      <c r="Y275" s="159"/>
      <c r="Z275" s="159"/>
      <c r="AA275" s="159"/>
      <c r="AB275" s="167">
        <v>45754</v>
      </c>
      <c r="AC275" s="159" t="s">
        <v>45</v>
      </c>
      <c r="AD275" s="158"/>
      <c r="AE275" s="162">
        <v>25098712950</v>
      </c>
      <c r="AF275" s="159"/>
      <c r="AG275" s="159" t="s">
        <v>3487</v>
      </c>
      <c r="AH275" s="157">
        <v>46116</v>
      </c>
      <c r="AI275" s="159"/>
      <c r="AJ275" s="159"/>
      <c r="AK275" s="159" t="s">
        <v>2600</v>
      </c>
      <c r="AL275" s="159"/>
      <c r="AM275" s="159"/>
      <c r="AN275" s="159" t="s">
        <v>553</v>
      </c>
      <c r="AO275" s="172" t="s">
        <v>564</v>
      </c>
      <c r="AP275" s="172"/>
      <c r="AQ275" s="172"/>
      <c r="AR275" s="178" t="s">
        <v>2618</v>
      </c>
      <c r="AS275" s="178" t="s">
        <v>2618</v>
      </c>
      <c r="BD275" s="156" t="s">
        <v>584</v>
      </c>
      <c r="BE275" s="156" t="s">
        <v>584</v>
      </c>
      <c r="BF275" s="159"/>
      <c r="BG275" s="159" t="s">
        <v>45</v>
      </c>
      <c r="BH275" s="159" t="s">
        <v>72</v>
      </c>
      <c r="BI275" s="159" t="s">
        <v>41</v>
      </c>
      <c r="BJ275" s="156">
        <v>3</v>
      </c>
      <c r="BK275" s="156"/>
      <c r="BL275" s="156"/>
    </row>
    <row r="276" spans="1:64">
      <c r="A276" s="184" t="str">
        <f t="shared" si="4"/>
        <v>22504272</v>
      </c>
      <c r="B276" s="164" t="s">
        <v>2358</v>
      </c>
      <c r="C276" s="158" t="s">
        <v>3122</v>
      </c>
      <c r="D276" s="159" t="s">
        <v>783</v>
      </c>
      <c r="E276" s="159"/>
      <c r="F276" s="164" t="s">
        <v>3431</v>
      </c>
      <c r="G276" s="167">
        <v>37644</v>
      </c>
      <c r="H276" s="167" t="s">
        <v>3393</v>
      </c>
      <c r="I276" s="159" t="s">
        <v>2570</v>
      </c>
      <c r="J276" s="159" t="s">
        <v>2619</v>
      </c>
      <c r="K276" s="159" t="s">
        <v>81</v>
      </c>
      <c r="L276" s="159" t="s">
        <v>2361</v>
      </c>
      <c r="M276" s="158" t="s">
        <v>2622</v>
      </c>
      <c r="N276" s="158" t="s">
        <v>2621</v>
      </c>
      <c r="O276" s="159" t="s">
        <v>2743</v>
      </c>
      <c r="P276" s="159" t="s">
        <v>2820</v>
      </c>
      <c r="Q276" s="159" t="s">
        <v>2849</v>
      </c>
      <c r="R276" s="159" t="s">
        <v>2863</v>
      </c>
      <c r="S276" s="159"/>
      <c r="T276" s="159"/>
      <c r="U276" s="158"/>
      <c r="V276" s="158"/>
      <c r="W276" s="159"/>
      <c r="X276" s="159"/>
      <c r="Y276" s="159"/>
      <c r="Z276" s="159"/>
      <c r="AA276" s="159"/>
      <c r="AB276" s="167">
        <v>45754</v>
      </c>
      <c r="AC276" s="159" t="s">
        <v>45</v>
      </c>
      <c r="AD276" s="158"/>
      <c r="AE276" s="159">
        <v>26020233909</v>
      </c>
      <c r="AF276" s="159"/>
      <c r="AG276" s="159" t="s">
        <v>3487</v>
      </c>
      <c r="AH276" s="157">
        <v>46116</v>
      </c>
      <c r="AI276" s="159"/>
      <c r="AJ276" s="159"/>
      <c r="AK276" s="159" t="s">
        <v>2600</v>
      </c>
      <c r="AM276" s="159"/>
      <c r="AN276" s="185" t="s">
        <v>684</v>
      </c>
      <c r="AO276" s="172" t="s">
        <v>54</v>
      </c>
      <c r="AP276" s="172"/>
      <c r="AQ276" s="172"/>
      <c r="AR276" s="178" t="s">
        <v>2618</v>
      </c>
      <c r="AS276" s="178" t="s">
        <v>2618</v>
      </c>
      <c r="BD276" s="185" t="s">
        <v>684</v>
      </c>
      <c r="BF276" s="156"/>
      <c r="BG276" s="159" t="s">
        <v>45</v>
      </c>
      <c r="BH276" s="159" t="s">
        <v>3428</v>
      </c>
      <c r="BI276" s="159" t="s">
        <v>41</v>
      </c>
      <c r="BJ276" s="156">
        <v>2</v>
      </c>
      <c r="BK276" s="156" t="s">
        <v>2238</v>
      </c>
      <c r="BL276" s="156"/>
    </row>
    <row r="277" spans="1:64">
      <c r="A277" s="184" t="str">
        <f t="shared" si="4"/>
        <v>22504273</v>
      </c>
      <c r="B277" s="164" t="s">
        <v>2359</v>
      </c>
      <c r="C277" s="158" t="s">
        <v>3123</v>
      </c>
      <c r="D277" s="159" t="s">
        <v>2070</v>
      </c>
      <c r="E277" s="159"/>
      <c r="F277" s="164" t="s">
        <v>3430</v>
      </c>
      <c r="G277" s="167">
        <v>36422</v>
      </c>
      <c r="H277" s="167" t="s">
        <v>3429</v>
      </c>
      <c r="I277" s="159" t="s">
        <v>2570</v>
      </c>
      <c r="J277" s="159" t="s">
        <v>2619</v>
      </c>
      <c r="K277" s="159" t="s">
        <v>81</v>
      </c>
      <c r="L277" s="159" t="s">
        <v>2360</v>
      </c>
      <c r="M277" s="158" t="s">
        <v>2622</v>
      </c>
      <c r="N277" s="158" t="s">
        <v>2623</v>
      </c>
      <c r="O277" s="159" t="s">
        <v>2744</v>
      </c>
      <c r="P277" s="159" t="s">
        <v>2803</v>
      </c>
      <c r="Q277" s="159" t="s">
        <v>2850</v>
      </c>
      <c r="R277" s="159" t="s">
        <v>2863</v>
      </c>
      <c r="S277" s="159"/>
      <c r="T277" s="159"/>
      <c r="U277" s="158"/>
      <c r="V277" s="158"/>
      <c r="W277" s="159"/>
      <c r="X277" s="159"/>
      <c r="Y277" s="159"/>
      <c r="Z277" s="159"/>
      <c r="AA277" s="159"/>
      <c r="AB277" s="167">
        <v>45754</v>
      </c>
      <c r="AC277" s="159" t="s">
        <v>45</v>
      </c>
      <c r="AD277" s="158"/>
      <c r="AE277" s="159">
        <v>26020233867</v>
      </c>
      <c r="AF277" s="159"/>
      <c r="AG277" s="159" t="s">
        <v>3487</v>
      </c>
      <c r="AH277" s="157">
        <v>46116</v>
      </c>
      <c r="AI277" s="159"/>
      <c r="AJ277" s="159"/>
      <c r="AK277" s="159" t="s">
        <v>2600</v>
      </c>
      <c r="AM277" s="159"/>
      <c r="AN277" s="185" t="s">
        <v>2065</v>
      </c>
      <c r="AO277" s="172" t="s">
        <v>44</v>
      </c>
      <c r="AP277" s="172"/>
      <c r="AQ277" s="172"/>
      <c r="AR277" s="178" t="s">
        <v>2618</v>
      </c>
      <c r="AS277" s="178" t="s">
        <v>2618</v>
      </c>
      <c r="BD277" s="185"/>
      <c r="BF277" s="156"/>
      <c r="BG277" s="159" t="s">
        <v>45</v>
      </c>
      <c r="BH277" s="159" t="s">
        <v>72</v>
      </c>
      <c r="BI277" s="159" t="s">
        <v>41</v>
      </c>
      <c r="BJ277" s="156">
        <v>3</v>
      </c>
      <c r="BK277" s="156"/>
      <c r="BL277" s="156"/>
    </row>
    <row r="278" spans="1:64">
      <c r="A278" s="184" t="str">
        <f t="shared" si="4"/>
        <v>22504274</v>
      </c>
      <c r="B278" s="164" t="s">
        <v>2364</v>
      </c>
      <c r="C278" s="158" t="s">
        <v>3124</v>
      </c>
      <c r="D278" s="159" t="s">
        <v>2076</v>
      </c>
      <c r="E278" s="159"/>
      <c r="F278" s="164" t="s">
        <v>3434</v>
      </c>
      <c r="G278" s="167">
        <v>36074</v>
      </c>
      <c r="H278" s="167" t="s">
        <v>3396</v>
      </c>
      <c r="I278" s="159" t="s">
        <v>2569</v>
      </c>
      <c r="J278" s="159" t="s">
        <v>2619</v>
      </c>
      <c r="K278" s="159" t="s">
        <v>81</v>
      </c>
      <c r="L278" s="159" t="s">
        <v>2363</v>
      </c>
      <c r="M278" s="158" t="s">
        <v>2623</v>
      </c>
      <c r="N278" s="158" t="s">
        <v>2623</v>
      </c>
      <c r="O278" s="159" t="s">
        <v>2745</v>
      </c>
      <c r="P278" s="159" t="s">
        <v>2798</v>
      </c>
      <c r="Q278" s="159" t="s">
        <v>2842</v>
      </c>
      <c r="R278" s="159" t="s">
        <v>2863</v>
      </c>
      <c r="S278" s="159"/>
      <c r="T278" s="159"/>
      <c r="U278" s="158"/>
      <c r="V278" s="158"/>
      <c r="W278" s="159"/>
      <c r="X278" s="159"/>
      <c r="Y278" s="159"/>
      <c r="Z278" s="159"/>
      <c r="AA278" s="159"/>
      <c r="AB278" s="167">
        <v>45754</v>
      </c>
      <c r="AC278" s="159" t="s">
        <v>45</v>
      </c>
      <c r="AD278" s="158"/>
      <c r="AE278" s="159"/>
      <c r="AF278" s="159"/>
      <c r="AG278" s="159" t="s">
        <v>3487</v>
      </c>
      <c r="AH278" s="157">
        <v>46116</v>
      </c>
      <c r="AI278" s="159"/>
      <c r="AJ278" s="159"/>
      <c r="AK278" s="159" t="s">
        <v>2600</v>
      </c>
      <c r="AL278" s="159"/>
      <c r="AM278" s="159"/>
      <c r="AN278" s="185" t="s">
        <v>2065</v>
      </c>
      <c r="AO278" s="172" t="s">
        <v>44</v>
      </c>
      <c r="AP278" s="172"/>
      <c r="AQ278" s="172"/>
      <c r="AR278" s="178" t="s">
        <v>2618</v>
      </c>
      <c r="AS278" s="178" t="s">
        <v>2618</v>
      </c>
      <c r="BD278" s="185"/>
      <c r="BF278" s="156"/>
      <c r="BG278" s="159" t="s">
        <v>45</v>
      </c>
      <c r="BH278" s="159" t="s">
        <v>72</v>
      </c>
      <c r="BI278" s="159" t="s">
        <v>41</v>
      </c>
      <c r="BJ278" s="156">
        <v>3</v>
      </c>
      <c r="BK278" s="156"/>
      <c r="BL278" s="156"/>
    </row>
    <row r="279" spans="1:64">
      <c r="A279" s="184" t="str">
        <f t="shared" si="4"/>
        <v>32504275</v>
      </c>
      <c r="B279" s="158"/>
      <c r="C279" s="158" t="s">
        <v>3125</v>
      </c>
      <c r="D279" s="159" t="s">
        <v>462</v>
      </c>
      <c r="E279" s="159"/>
      <c r="F279" s="158"/>
      <c r="G279" s="167"/>
      <c r="H279" s="167"/>
      <c r="I279" s="159" t="s">
        <v>2569</v>
      </c>
      <c r="J279" s="159" t="s">
        <v>2619</v>
      </c>
      <c r="K279" s="159"/>
      <c r="L279" s="159"/>
      <c r="M279" s="158"/>
      <c r="N279" s="158"/>
      <c r="O279" s="159"/>
      <c r="P279" s="159"/>
      <c r="Q279" s="159" t="s">
        <v>2840</v>
      </c>
      <c r="R279" s="159" t="s">
        <v>2863</v>
      </c>
      <c r="S279" s="159"/>
      <c r="T279" s="159"/>
      <c r="U279" s="158"/>
      <c r="V279" s="158"/>
      <c r="W279" s="159"/>
      <c r="X279" s="159"/>
      <c r="Y279" s="159"/>
      <c r="Z279" s="159"/>
      <c r="AA279" s="159"/>
      <c r="AB279" s="167">
        <v>45758</v>
      </c>
      <c r="AC279" s="159" t="s">
        <v>71</v>
      </c>
      <c r="AD279" s="158"/>
      <c r="AE279" s="159"/>
      <c r="AF279" s="159"/>
      <c r="AG279" s="159"/>
      <c r="AH279" s="159"/>
      <c r="AI279" s="159"/>
      <c r="AJ279" s="159"/>
      <c r="AK279" s="159" t="s">
        <v>2600</v>
      </c>
      <c r="AL279" s="159"/>
      <c r="AM279" s="159"/>
      <c r="AN279" s="159" t="s">
        <v>392</v>
      </c>
      <c r="AO279" s="172" t="s">
        <v>115</v>
      </c>
      <c r="AP279" s="172"/>
      <c r="AQ279" s="172"/>
      <c r="AR279" s="178" t="s">
        <v>2618</v>
      </c>
      <c r="AS279" s="178" t="s">
        <v>2618</v>
      </c>
      <c r="BD279" s="159" t="s">
        <v>401</v>
      </c>
      <c r="BF279" s="159"/>
      <c r="BG279" s="159" t="s">
        <v>71</v>
      </c>
      <c r="BH279" s="159" t="s">
        <v>46</v>
      </c>
      <c r="BI279" s="159" t="s">
        <v>41</v>
      </c>
      <c r="BJ279" s="156">
        <v>1</v>
      </c>
      <c r="BK279" s="156"/>
      <c r="BL279" s="156"/>
    </row>
    <row r="280" spans="1:64">
      <c r="A280" s="184" t="str">
        <f t="shared" si="4"/>
        <v>22504276</v>
      </c>
      <c r="B280" s="164" t="s">
        <v>2365</v>
      </c>
      <c r="C280" s="158" t="s">
        <v>3126</v>
      </c>
      <c r="D280" s="159" t="s">
        <v>215</v>
      </c>
      <c r="E280" s="159"/>
      <c r="F280" s="195" t="s">
        <v>218</v>
      </c>
      <c r="G280" s="167">
        <v>31998</v>
      </c>
      <c r="H280" s="167" t="s">
        <v>3396</v>
      </c>
      <c r="I280" s="159" t="s">
        <v>2569</v>
      </c>
      <c r="J280" s="159" t="s">
        <v>2619</v>
      </c>
      <c r="K280" s="159" t="s">
        <v>217</v>
      </c>
      <c r="L280" s="159" t="s">
        <v>2366</v>
      </c>
      <c r="M280" s="158" t="s">
        <v>2621</v>
      </c>
      <c r="N280" s="158" t="s">
        <v>2621</v>
      </c>
      <c r="O280" s="159" t="s">
        <v>2746</v>
      </c>
      <c r="P280" s="159" t="s">
        <v>2710</v>
      </c>
      <c r="Q280" s="159" t="s">
        <v>2842</v>
      </c>
      <c r="R280" s="159" t="s">
        <v>2863</v>
      </c>
      <c r="S280" s="159"/>
      <c r="T280" s="159"/>
      <c r="U280" s="158"/>
      <c r="V280" s="158"/>
      <c r="W280" s="159"/>
      <c r="X280" s="159"/>
      <c r="Y280" s="159"/>
      <c r="Z280" s="159"/>
      <c r="AA280" s="159"/>
      <c r="AB280" s="167">
        <v>45777</v>
      </c>
      <c r="AC280" s="159" t="s">
        <v>45</v>
      </c>
      <c r="AD280" s="158"/>
      <c r="AE280" s="159"/>
      <c r="AF280" s="159"/>
      <c r="AG280" s="159"/>
      <c r="AH280" s="159"/>
      <c r="AI280" s="159"/>
      <c r="AJ280" s="159"/>
      <c r="AK280" s="159" t="s">
        <v>2600</v>
      </c>
      <c r="AL280" s="159"/>
      <c r="AM280" s="159"/>
      <c r="AN280" s="185" t="s">
        <v>216</v>
      </c>
      <c r="AO280" s="172" t="s">
        <v>44</v>
      </c>
      <c r="AP280" s="172"/>
      <c r="AQ280" s="172"/>
      <c r="AR280" s="178" t="s">
        <v>2618</v>
      </c>
      <c r="AS280" s="178" t="s">
        <v>2618</v>
      </c>
      <c r="BD280" s="159"/>
      <c r="BF280" s="156"/>
      <c r="BG280" s="159" t="s">
        <v>45</v>
      </c>
      <c r="BH280" s="159" t="s">
        <v>46</v>
      </c>
      <c r="BI280" s="159" t="s">
        <v>41</v>
      </c>
      <c r="BJ280" s="156">
        <v>3</v>
      </c>
      <c r="BK280" s="156" t="s">
        <v>2232</v>
      </c>
      <c r="BL280" s="156"/>
    </row>
    <row r="281" spans="1:64">
      <c r="A281" s="184" t="str">
        <f t="shared" si="4"/>
        <v>22505277</v>
      </c>
      <c r="B281" s="158"/>
      <c r="C281" s="158" t="s">
        <v>3127</v>
      </c>
      <c r="D281" s="159" t="s">
        <v>688</v>
      </c>
      <c r="E281" s="159"/>
      <c r="F281" s="158" t="s">
        <v>3418</v>
      </c>
      <c r="G281" s="167">
        <v>36952</v>
      </c>
      <c r="H281" s="167" t="s">
        <v>3393</v>
      </c>
      <c r="I281" s="159" t="s">
        <v>2569</v>
      </c>
      <c r="J281" s="159" t="s">
        <v>2619</v>
      </c>
      <c r="K281" s="159" t="s">
        <v>81</v>
      </c>
      <c r="L281" s="159" t="s">
        <v>2367</v>
      </c>
      <c r="M281" s="158" t="s">
        <v>2626</v>
      </c>
      <c r="N281" s="158" t="s">
        <v>2650</v>
      </c>
      <c r="O281" s="159" t="s">
        <v>2747</v>
      </c>
      <c r="P281" s="159" t="s">
        <v>2747</v>
      </c>
      <c r="Q281" s="159" t="s">
        <v>2842</v>
      </c>
      <c r="R281" s="159" t="s">
        <v>2863</v>
      </c>
      <c r="S281" s="159"/>
      <c r="T281" s="159" t="s">
        <v>2367</v>
      </c>
      <c r="U281" s="158" t="s">
        <v>2626</v>
      </c>
      <c r="V281" s="158" t="s">
        <v>2650</v>
      </c>
      <c r="W281" s="159" t="s">
        <v>2747</v>
      </c>
      <c r="X281" s="159" t="s">
        <v>2747</v>
      </c>
      <c r="Y281" s="159" t="s">
        <v>2842</v>
      </c>
      <c r="Z281" s="159" t="s">
        <v>2863</v>
      </c>
      <c r="AA281" s="159"/>
      <c r="AB281" s="167">
        <v>45782</v>
      </c>
      <c r="AC281" s="159" t="s">
        <v>45</v>
      </c>
      <c r="AD281" s="158"/>
      <c r="AE281" s="159"/>
      <c r="AF281" s="159"/>
      <c r="AG281" s="159"/>
      <c r="AH281" s="159"/>
      <c r="AI281" s="159"/>
      <c r="AJ281" s="159"/>
      <c r="AK281" s="159" t="s">
        <v>2600</v>
      </c>
      <c r="AL281" s="159"/>
      <c r="AM281" s="159"/>
      <c r="AN281" s="159" t="s">
        <v>684</v>
      </c>
      <c r="AO281" s="172" t="s">
        <v>54</v>
      </c>
      <c r="AP281" s="172"/>
      <c r="AQ281" s="172"/>
      <c r="AR281" s="178" t="s">
        <v>2618</v>
      </c>
      <c r="AS281" s="178" t="s">
        <v>2618</v>
      </c>
      <c r="BD281" s="159" t="s">
        <v>689</v>
      </c>
      <c r="BF281" s="159"/>
      <c r="BG281" s="159" t="s">
        <v>45</v>
      </c>
      <c r="BH281" s="159" t="s">
        <v>72</v>
      </c>
      <c r="BI281" s="159" t="s">
        <v>41</v>
      </c>
      <c r="BJ281" s="156">
        <v>3</v>
      </c>
      <c r="BK281" s="156"/>
      <c r="BL281" s="156"/>
    </row>
    <row r="282" spans="1:64">
      <c r="A282" s="184" t="str">
        <f t="shared" si="4"/>
        <v>22505278</v>
      </c>
      <c r="B282" s="164"/>
      <c r="C282" s="158" t="s">
        <v>3128</v>
      </c>
      <c r="D282" s="159" t="s">
        <v>781</v>
      </c>
      <c r="E282" s="159"/>
      <c r="F282" s="164" t="s">
        <v>3484</v>
      </c>
      <c r="G282" s="167">
        <v>36732</v>
      </c>
      <c r="H282" s="167" t="s">
        <v>3485</v>
      </c>
      <c r="I282" s="159" t="s">
        <v>2569</v>
      </c>
      <c r="J282" s="159" t="s">
        <v>2619</v>
      </c>
      <c r="K282" s="159" t="s">
        <v>81</v>
      </c>
      <c r="L282" s="159" t="s">
        <v>2851</v>
      </c>
      <c r="M282" s="158" t="s">
        <v>2621</v>
      </c>
      <c r="N282" s="158" t="s">
        <v>2623</v>
      </c>
      <c r="O282" s="159" t="s">
        <v>2852</v>
      </c>
      <c r="P282" s="159" t="s">
        <v>2853</v>
      </c>
      <c r="Q282" s="159" t="s">
        <v>2847</v>
      </c>
      <c r="R282" s="159" t="s">
        <v>2863</v>
      </c>
      <c r="S282" s="159"/>
      <c r="T282" s="159"/>
      <c r="U282" s="158"/>
      <c r="V282" s="158"/>
      <c r="W282" s="159"/>
      <c r="X282" s="159"/>
      <c r="Y282" s="159"/>
      <c r="Z282" s="159"/>
      <c r="AA282" s="159"/>
      <c r="AB282" s="167">
        <v>45782</v>
      </c>
      <c r="AC282" s="159" t="s">
        <v>45</v>
      </c>
      <c r="AD282" s="158"/>
      <c r="AE282" s="159"/>
      <c r="AF282" s="159"/>
      <c r="AG282" s="159" t="s">
        <v>3487</v>
      </c>
      <c r="AH282" s="157">
        <v>46144</v>
      </c>
      <c r="AI282" s="159"/>
      <c r="AJ282" s="159"/>
      <c r="AK282" s="159" t="s">
        <v>2600</v>
      </c>
      <c r="AL282" s="159"/>
      <c r="AM282" s="159"/>
      <c r="AN282" s="185" t="s">
        <v>684</v>
      </c>
      <c r="AO282" s="172" t="s">
        <v>54</v>
      </c>
      <c r="AP282" s="172"/>
      <c r="AQ282" s="172"/>
      <c r="AR282" s="178" t="s">
        <v>2618</v>
      </c>
      <c r="AS282" s="178" t="s">
        <v>2618</v>
      </c>
      <c r="BD282" s="185" t="s">
        <v>684</v>
      </c>
      <c r="BF282" s="156"/>
      <c r="BG282" s="159" t="s">
        <v>45</v>
      </c>
      <c r="BH282" s="159" t="s">
        <v>72</v>
      </c>
      <c r="BI282" s="159" t="s">
        <v>41</v>
      </c>
      <c r="BJ282" s="156">
        <v>3</v>
      </c>
      <c r="BK282" s="156"/>
      <c r="BL282" s="156"/>
    </row>
    <row r="283" spans="1:64">
      <c r="A283" s="184" t="str">
        <f t="shared" si="4"/>
        <v>22505279</v>
      </c>
      <c r="B283" s="164"/>
      <c r="C283" s="158" t="s">
        <v>3129</v>
      </c>
      <c r="D283" s="156" t="s">
        <v>2289</v>
      </c>
      <c r="E283" s="156"/>
      <c r="F283" s="164"/>
      <c r="G283" s="170"/>
      <c r="H283" s="170"/>
      <c r="I283" s="159" t="s">
        <v>2570</v>
      </c>
      <c r="J283" s="159" t="s">
        <v>2619</v>
      </c>
      <c r="K283" s="159" t="s">
        <v>302</v>
      </c>
      <c r="L283" s="159"/>
      <c r="M283" s="158"/>
      <c r="N283" s="158"/>
      <c r="O283" s="159"/>
      <c r="P283" s="159"/>
      <c r="Q283" s="159" t="s">
        <v>2848</v>
      </c>
      <c r="R283" s="159" t="s">
        <v>2863</v>
      </c>
      <c r="S283" s="159"/>
      <c r="T283" s="159"/>
      <c r="U283" s="158"/>
      <c r="V283" s="158"/>
      <c r="W283" s="159"/>
      <c r="X283" s="159"/>
      <c r="Y283" s="159"/>
      <c r="Z283" s="159"/>
      <c r="AA283" s="159"/>
      <c r="AB283" s="170">
        <v>45784</v>
      </c>
      <c r="AC283" s="159" t="s">
        <v>45</v>
      </c>
      <c r="AD283" s="158"/>
      <c r="AE283" s="159"/>
      <c r="AF283" s="159"/>
      <c r="AG283" s="159"/>
      <c r="AH283" s="159"/>
      <c r="AI283" s="159"/>
      <c r="AJ283" s="159"/>
      <c r="AK283" s="159" t="s">
        <v>2600</v>
      </c>
      <c r="AL283" s="159"/>
      <c r="AM283" s="159"/>
      <c r="AN283" s="156" t="s">
        <v>543</v>
      </c>
      <c r="AO283" s="162" t="s">
        <v>54</v>
      </c>
      <c r="AR283" s="178" t="s">
        <v>2618</v>
      </c>
      <c r="AS283" s="178" t="s">
        <v>2618</v>
      </c>
      <c r="BD283" s="156" t="s">
        <v>2300</v>
      </c>
      <c r="BF283" s="156"/>
      <c r="BG283" s="159" t="s">
        <v>45</v>
      </c>
      <c r="BH283" s="156"/>
      <c r="BI283" s="159" t="s">
        <v>41</v>
      </c>
      <c r="BJ283" s="156">
        <v>2</v>
      </c>
      <c r="BK283" s="156"/>
      <c r="BL283" s="156"/>
    </row>
    <row r="284" spans="1:64">
      <c r="A284" s="184" t="str">
        <f t="shared" si="4"/>
        <v>22505280</v>
      </c>
      <c r="B284" s="164" t="s">
        <v>2368</v>
      </c>
      <c r="C284" s="158" t="s">
        <v>3130</v>
      </c>
      <c r="D284" s="159" t="s">
        <v>2151</v>
      </c>
      <c r="E284" s="222" t="s">
        <v>3412</v>
      </c>
      <c r="F284" s="164" t="s">
        <v>3413</v>
      </c>
      <c r="G284" s="167">
        <v>34284</v>
      </c>
      <c r="H284" s="167" t="s">
        <v>3414</v>
      </c>
      <c r="I284" s="159" t="s">
        <v>2569</v>
      </c>
      <c r="J284" s="159" t="s">
        <v>2619</v>
      </c>
      <c r="K284" s="159" t="s">
        <v>302</v>
      </c>
      <c r="L284" s="159" t="s">
        <v>2369</v>
      </c>
      <c r="M284" s="158" t="s">
        <v>2623</v>
      </c>
      <c r="N284" s="158" t="s">
        <v>2626</v>
      </c>
      <c r="O284" s="159" t="s">
        <v>2748</v>
      </c>
      <c r="P284" s="159" t="s">
        <v>2821</v>
      </c>
      <c r="Q284" s="159" t="s">
        <v>2849</v>
      </c>
      <c r="R284" s="159" t="s">
        <v>2863</v>
      </c>
      <c r="S284" s="159"/>
      <c r="T284" s="159" t="s">
        <v>3415</v>
      </c>
      <c r="U284" s="158" t="s">
        <v>2622</v>
      </c>
      <c r="V284" s="158" t="s">
        <v>2623</v>
      </c>
      <c r="W284" s="159" t="s">
        <v>3416</v>
      </c>
      <c r="X284" s="159" t="s">
        <v>2823</v>
      </c>
      <c r="Y284" s="159" t="s">
        <v>3417</v>
      </c>
      <c r="Z284" s="159" t="s">
        <v>2863</v>
      </c>
      <c r="AA284" s="159"/>
      <c r="AB284" s="167">
        <v>45805</v>
      </c>
      <c r="AC284" s="159" t="s">
        <v>45</v>
      </c>
      <c r="AD284" s="158"/>
      <c r="AE284" s="159"/>
      <c r="AF284" s="159"/>
      <c r="AG284" s="159" t="s">
        <v>3487</v>
      </c>
      <c r="AH284" s="157">
        <v>46169</v>
      </c>
      <c r="AI284" s="159"/>
      <c r="AJ284" s="159"/>
      <c r="AK284" s="159" t="s">
        <v>2600</v>
      </c>
      <c r="AL284" s="159"/>
      <c r="AM284" s="159"/>
      <c r="AN284" s="185" t="s">
        <v>2065</v>
      </c>
      <c r="AO284" s="162" t="s">
        <v>2104</v>
      </c>
      <c r="AR284" s="178" t="s">
        <v>2618</v>
      </c>
      <c r="AS284" s="178" t="s">
        <v>2618</v>
      </c>
      <c r="BD284" s="159"/>
      <c r="BE284" s="159" t="s">
        <v>2470</v>
      </c>
      <c r="BF284" s="156"/>
      <c r="BG284" s="159" t="s">
        <v>45</v>
      </c>
      <c r="BH284" s="159" t="s">
        <v>2060</v>
      </c>
      <c r="BI284" s="159" t="s">
        <v>41</v>
      </c>
      <c r="BJ284" s="156">
        <v>1</v>
      </c>
      <c r="BK284" s="156"/>
      <c r="BL284" s="156"/>
    </row>
    <row r="285" spans="1:64">
      <c r="A285" s="184" t="str">
        <f t="shared" si="4"/>
        <v>32506281</v>
      </c>
      <c r="B285" s="158"/>
      <c r="C285" s="158" t="s">
        <v>3131</v>
      </c>
      <c r="D285" s="159" t="s">
        <v>389</v>
      </c>
      <c r="E285" s="159"/>
      <c r="F285" s="158"/>
      <c r="G285" s="167"/>
      <c r="H285" s="167"/>
      <c r="I285" s="159" t="s">
        <v>2569</v>
      </c>
      <c r="J285" s="159" t="s">
        <v>2619</v>
      </c>
      <c r="K285" s="159"/>
      <c r="L285" s="159"/>
      <c r="M285" s="158"/>
      <c r="N285" s="158"/>
      <c r="O285" s="159"/>
      <c r="P285" s="159"/>
      <c r="Q285" s="159" t="s">
        <v>2840</v>
      </c>
      <c r="R285" s="159" t="s">
        <v>2863</v>
      </c>
      <c r="S285" s="159"/>
      <c r="T285" s="159"/>
      <c r="U285" s="158"/>
      <c r="V285" s="158"/>
      <c r="W285" s="159"/>
      <c r="X285" s="159"/>
      <c r="Y285" s="159"/>
      <c r="Z285" s="159"/>
      <c r="AA285" s="159"/>
      <c r="AB285" s="167">
        <v>45810</v>
      </c>
      <c r="AC285" s="159" t="s">
        <v>71</v>
      </c>
      <c r="AD285" s="158"/>
      <c r="AE285" s="159"/>
      <c r="AF285" s="159"/>
      <c r="AG285" s="159"/>
      <c r="AH285" s="159"/>
      <c r="AI285" s="159"/>
      <c r="AJ285" s="159"/>
      <c r="AK285" s="159" t="s">
        <v>2600</v>
      </c>
      <c r="AL285" s="159"/>
      <c r="AM285" s="159"/>
      <c r="AN285" s="185" t="s">
        <v>298</v>
      </c>
      <c r="AO285" s="172" t="s">
        <v>78</v>
      </c>
      <c r="AP285" s="172"/>
      <c r="AQ285" s="172"/>
      <c r="AR285" s="178" t="s">
        <v>2618</v>
      </c>
      <c r="AS285" s="178" t="s">
        <v>2618</v>
      </c>
      <c r="BD285" s="156"/>
      <c r="BF285" s="159"/>
      <c r="BG285" s="159" t="s">
        <v>71</v>
      </c>
      <c r="BH285" s="159"/>
      <c r="BI285" s="159" t="s">
        <v>41</v>
      </c>
      <c r="BJ285" s="156">
        <v>1</v>
      </c>
      <c r="BK285" s="156" t="s">
        <v>2235</v>
      </c>
      <c r="BL285" s="156"/>
    </row>
    <row r="286" spans="1:64">
      <c r="A286" s="184" t="str">
        <f t="shared" si="4"/>
        <v>32506282</v>
      </c>
      <c r="B286" s="164" t="s">
        <v>723</v>
      </c>
      <c r="C286" s="158" t="s">
        <v>3132</v>
      </c>
      <c r="D286" s="159" t="s">
        <v>722</v>
      </c>
      <c r="E286" s="159"/>
      <c r="F286" s="164" t="s">
        <v>3403</v>
      </c>
      <c r="G286" s="167">
        <v>36123</v>
      </c>
      <c r="H286" s="167" t="s">
        <v>3396</v>
      </c>
      <c r="I286" s="159" t="s">
        <v>2569</v>
      </c>
      <c r="J286" s="159" t="s">
        <v>2619</v>
      </c>
      <c r="K286" s="159" t="s">
        <v>81</v>
      </c>
      <c r="L286" s="159" t="s">
        <v>724</v>
      </c>
      <c r="M286" s="158" t="s">
        <v>2628</v>
      </c>
      <c r="N286" s="158" t="s">
        <v>2626</v>
      </c>
      <c r="O286" s="159" t="s">
        <v>2749</v>
      </c>
      <c r="P286" s="159" t="s">
        <v>2804</v>
      </c>
      <c r="Q286" s="159" t="s">
        <v>2842</v>
      </c>
      <c r="R286" s="159" t="s">
        <v>2863</v>
      </c>
      <c r="S286" s="159"/>
      <c r="T286" s="159" t="s">
        <v>724</v>
      </c>
      <c r="U286" s="158" t="s">
        <v>2628</v>
      </c>
      <c r="V286" s="158" t="s">
        <v>2626</v>
      </c>
      <c r="W286" s="159" t="s">
        <v>2749</v>
      </c>
      <c r="X286" s="159" t="s">
        <v>2804</v>
      </c>
      <c r="Y286" s="159" t="s">
        <v>2842</v>
      </c>
      <c r="Z286" s="159" t="s">
        <v>2863</v>
      </c>
      <c r="AA286" s="159"/>
      <c r="AB286" s="167">
        <v>45824</v>
      </c>
      <c r="AC286" s="159" t="s">
        <v>71</v>
      </c>
      <c r="AD286" s="158"/>
      <c r="AE286" s="159"/>
      <c r="AF286" s="159"/>
      <c r="AG286" s="159"/>
      <c r="AH286" s="159"/>
      <c r="AI286" s="159"/>
      <c r="AJ286" s="159"/>
      <c r="AK286" s="159" t="s">
        <v>2600</v>
      </c>
      <c r="AL286" s="159"/>
      <c r="AM286" s="159"/>
      <c r="AN286" s="185" t="s">
        <v>684</v>
      </c>
      <c r="AO286" s="172" t="s">
        <v>78</v>
      </c>
      <c r="AP286" s="172"/>
      <c r="AQ286" s="172"/>
      <c r="AR286" s="178" t="s">
        <v>2618</v>
      </c>
      <c r="AS286" s="178" t="s">
        <v>2618</v>
      </c>
      <c r="BD286" s="159" t="s">
        <v>704</v>
      </c>
      <c r="BF286" s="156"/>
      <c r="BG286" s="159" t="s">
        <v>71</v>
      </c>
      <c r="BH286" s="159" t="s">
        <v>46</v>
      </c>
      <c r="BI286" s="159" t="s">
        <v>41</v>
      </c>
      <c r="BJ286" s="156">
        <v>3</v>
      </c>
      <c r="BK286" s="156"/>
      <c r="BL286" s="156"/>
    </row>
    <row r="287" spans="1:64">
      <c r="A287" s="184" t="str">
        <f t="shared" si="4"/>
        <v>42506283</v>
      </c>
      <c r="B287" s="158" t="s">
        <v>1328</v>
      </c>
      <c r="C287" s="158" t="s">
        <v>3133</v>
      </c>
      <c r="D287" s="159" t="s">
        <v>1327</v>
      </c>
      <c r="E287" s="159"/>
      <c r="F287" s="158"/>
      <c r="G287" s="167">
        <v>39182</v>
      </c>
      <c r="H287" s="167"/>
      <c r="I287" s="159" t="s">
        <v>2569</v>
      </c>
      <c r="J287" s="159" t="s">
        <v>2619</v>
      </c>
      <c r="K287" s="159" t="s">
        <v>81</v>
      </c>
      <c r="L287" s="159" t="s">
        <v>1329</v>
      </c>
      <c r="M287" s="158" t="s">
        <v>2638</v>
      </c>
      <c r="N287" s="158" t="s">
        <v>2623</v>
      </c>
      <c r="O287" s="159" t="s">
        <v>2718</v>
      </c>
      <c r="P287" s="159" t="s">
        <v>2659</v>
      </c>
      <c r="Q287" s="159" t="s">
        <v>2840</v>
      </c>
      <c r="R287" s="159" t="s">
        <v>2863</v>
      </c>
      <c r="S287" s="159"/>
      <c r="T287" s="159" t="s">
        <v>1329</v>
      </c>
      <c r="U287" s="158" t="s">
        <v>2638</v>
      </c>
      <c r="V287" s="158" t="s">
        <v>2623</v>
      </c>
      <c r="W287" s="159" t="s">
        <v>2718</v>
      </c>
      <c r="X287" s="159" t="s">
        <v>2659</v>
      </c>
      <c r="Y287" s="159" t="s">
        <v>2840</v>
      </c>
      <c r="Z287" s="159" t="s">
        <v>2863</v>
      </c>
      <c r="AA287" s="159"/>
      <c r="AB287" s="167">
        <v>45824</v>
      </c>
      <c r="AC287" s="159" t="s">
        <v>129</v>
      </c>
      <c r="AD287" s="158"/>
      <c r="AE287" s="159"/>
      <c r="AF287" s="159"/>
      <c r="AG287" s="159"/>
      <c r="AH287" s="159"/>
      <c r="AI287" s="159"/>
      <c r="AJ287" s="159"/>
      <c r="AK287" s="159" t="s">
        <v>2600</v>
      </c>
      <c r="AL287" s="159"/>
      <c r="AM287" s="159"/>
      <c r="AN287" s="159" t="s">
        <v>786</v>
      </c>
      <c r="AO287" s="172" t="s">
        <v>115</v>
      </c>
      <c r="AP287" s="172"/>
      <c r="AQ287" s="172"/>
      <c r="AR287" s="178" t="s">
        <v>2618</v>
      </c>
      <c r="AS287" s="178" t="s">
        <v>2618</v>
      </c>
      <c r="BD287" s="185" t="s">
        <v>1002</v>
      </c>
      <c r="BE287" s="156" t="s">
        <v>1075</v>
      </c>
      <c r="BF287" s="185" t="s">
        <v>2333</v>
      </c>
      <c r="BG287" s="159" t="s">
        <v>129</v>
      </c>
      <c r="BH287" s="159" t="s">
        <v>46</v>
      </c>
      <c r="BI287" s="159" t="s">
        <v>41</v>
      </c>
      <c r="BJ287" s="156">
        <v>1</v>
      </c>
      <c r="BK287" s="156"/>
      <c r="BL287" s="156"/>
    </row>
    <row r="288" spans="1:64">
      <c r="A288" s="184" t="str">
        <f t="shared" si="4"/>
        <v>42506284</v>
      </c>
      <c r="B288" s="164" t="s">
        <v>1374</v>
      </c>
      <c r="C288" s="158" t="s">
        <v>3134</v>
      </c>
      <c r="D288" s="159" t="s">
        <v>1373</v>
      </c>
      <c r="E288" s="159"/>
      <c r="F288" s="164"/>
      <c r="G288" s="167">
        <v>38939</v>
      </c>
      <c r="H288" s="167"/>
      <c r="I288" s="159" t="s">
        <v>2569</v>
      </c>
      <c r="J288" s="159" t="s">
        <v>2619</v>
      </c>
      <c r="K288" s="159" t="s">
        <v>81</v>
      </c>
      <c r="L288" s="159" t="s">
        <v>1375</v>
      </c>
      <c r="M288" s="158" t="s">
        <v>2630</v>
      </c>
      <c r="N288" s="158" t="s">
        <v>2622</v>
      </c>
      <c r="O288" s="159" t="s">
        <v>2750</v>
      </c>
      <c r="P288" s="159" t="s">
        <v>2711</v>
      </c>
      <c r="Q288" s="159" t="s">
        <v>2840</v>
      </c>
      <c r="R288" s="159" t="s">
        <v>2863</v>
      </c>
      <c r="S288" s="159"/>
      <c r="T288" s="159" t="s">
        <v>1375</v>
      </c>
      <c r="U288" s="158" t="s">
        <v>2630</v>
      </c>
      <c r="V288" s="158" t="s">
        <v>2622</v>
      </c>
      <c r="W288" s="159" t="s">
        <v>2750</v>
      </c>
      <c r="X288" s="159" t="s">
        <v>2711</v>
      </c>
      <c r="Y288" s="159" t="s">
        <v>2840</v>
      </c>
      <c r="Z288" s="159" t="s">
        <v>2863</v>
      </c>
      <c r="AA288" s="159"/>
      <c r="AB288" s="167">
        <v>45824</v>
      </c>
      <c r="AC288" s="159" t="s">
        <v>129</v>
      </c>
      <c r="AD288" s="158"/>
      <c r="AE288" s="159"/>
      <c r="AF288" s="159"/>
      <c r="AG288" s="159"/>
      <c r="AH288" s="159"/>
      <c r="AI288" s="159"/>
      <c r="AJ288" s="159"/>
      <c r="AK288" s="159" t="s">
        <v>2600</v>
      </c>
      <c r="AL288" s="159"/>
      <c r="AM288" s="159"/>
      <c r="AN288" s="185" t="s">
        <v>786</v>
      </c>
      <c r="AO288" s="172" t="s">
        <v>115</v>
      </c>
      <c r="AP288" s="172"/>
      <c r="AQ288" s="172"/>
      <c r="AR288" s="178" t="s">
        <v>2618</v>
      </c>
      <c r="AS288" s="178" t="s">
        <v>2618</v>
      </c>
      <c r="BD288" s="185" t="s">
        <v>1002</v>
      </c>
      <c r="BE288" s="156" t="s">
        <v>1127</v>
      </c>
      <c r="BF288" s="185" t="s">
        <v>2333</v>
      </c>
      <c r="BG288" s="159" t="s">
        <v>129</v>
      </c>
      <c r="BH288" s="159" t="s">
        <v>46</v>
      </c>
      <c r="BI288" s="159" t="s">
        <v>41</v>
      </c>
      <c r="BJ288" s="156">
        <v>1</v>
      </c>
      <c r="BK288" s="156"/>
      <c r="BL288" s="156"/>
    </row>
    <row r="289" spans="1:70">
      <c r="A289" s="184" t="str">
        <f t="shared" si="4"/>
        <v>32506285</v>
      </c>
      <c r="B289" s="164" t="s">
        <v>1243</v>
      </c>
      <c r="C289" s="158" t="s">
        <v>3135</v>
      </c>
      <c r="D289" s="159" t="s">
        <v>2230</v>
      </c>
      <c r="E289" s="159"/>
      <c r="F289" s="164"/>
      <c r="G289" s="167">
        <v>33156</v>
      </c>
      <c r="H289" s="167"/>
      <c r="I289" s="159" t="s">
        <v>2569</v>
      </c>
      <c r="J289" s="159" t="s">
        <v>2619</v>
      </c>
      <c r="K289" s="159" t="s">
        <v>217</v>
      </c>
      <c r="L289" s="159" t="s">
        <v>1244</v>
      </c>
      <c r="M289" s="158" t="s">
        <v>2621</v>
      </c>
      <c r="N289" s="158" t="s">
        <v>2621</v>
      </c>
      <c r="O289" s="159" t="s">
        <v>2751</v>
      </c>
      <c r="P289" s="159" t="s">
        <v>2751</v>
      </c>
      <c r="Q289" s="159" t="s">
        <v>2840</v>
      </c>
      <c r="R289" s="159" t="s">
        <v>2863</v>
      </c>
      <c r="S289" s="159"/>
      <c r="T289" s="159"/>
      <c r="U289" s="158"/>
      <c r="V289" s="158"/>
      <c r="W289" s="159"/>
      <c r="X289" s="159"/>
      <c r="Y289" s="159"/>
      <c r="Z289" s="159"/>
      <c r="AA289" s="159"/>
      <c r="AB289" s="167">
        <v>45826</v>
      </c>
      <c r="AC289" s="159" t="s">
        <v>71</v>
      </c>
      <c r="AD289" s="158"/>
      <c r="AE289" s="159"/>
      <c r="AF289" s="159"/>
      <c r="AG289" s="159"/>
      <c r="AH289" s="159"/>
      <c r="AI289" s="159"/>
      <c r="AJ289" s="159"/>
      <c r="AK289" s="159" t="s">
        <v>2600</v>
      </c>
      <c r="AL289" s="159"/>
      <c r="AM289" s="159"/>
      <c r="AN289" s="185" t="s">
        <v>786</v>
      </c>
      <c r="AO289" s="172" t="s">
        <v>937</v>
      </c>
      <c r="AP289" s="172"/>
      <c r="AQ289" s="172"/>
      <c r="AR289" s="178" t="s">
        <v>2618</v>
      </c>
      <c r="AS289" s="178" t="s">
        <v>2618</v>
      </c>
      <c r="BD289" s="185" t="s">
        <v>1002</v>
      </c>
      <c r="BE289" s="156" t="s">
        <v>1127</v>
      </c>
      <c r="BF289" s="185" t="s">
        <v>1049</v>
      </c>
      <c r="BG289" s="159" t="s">
        <v>71</v>
      </c>
      <c r="BH289" s="159" t="s">
        <v>32</v>
      </c>
      <c r="BI289" s="159" t="s">
        <v>41</v>
      </c>
      <c r="BJ289" s="156">
        <v>1</v>
      </c>
      <c r="BK289" s="156"/>
      <c r="BL289" s="156"/>
    </row>
    <row r="290" spans="1:70">
      <c r="A290" s="184" t="str">
        <f t="shared" si="4"/>
        <v>32506286</v>
      </c>
      <c r="B290" s="164" t="s">
        <v>719</v>
      </c>
      <c r="C290" s="158" t="s">
        <v>3136</v>
      </c>
      <c r="D290" s="159" t="s">
        <v>718</v>
      </c>
      <c r="E290" s="159"/>
      <c r="F290" s="164" t="s">
        <v>3402</v>
      </c>
      <c r="G290" s="167">
        <v>36446</v>
      </c>
      <c r="H290" s="167" t="s">
        <v>2808</v>
      </c>
      <c r="I290" s="159" t="s">
        <v>2569</v>
      </c>
      <c r="J290" s="159" t="s">
        <v>2619</v>
      </c>
      <c r="K290" s="159" t="s">
        <v>302</v>
      </c>
      <c r="L290" s="159" t="s">
        <v>720</v>
      </c>
      <c r="M290" s="158" t="s">
        <v>2622</v>
      </c>
      <c r="N290" s="158" t="s">
        <v>2621</v>
      </c>
      <c r="O290" s="159" t="s">
        <v>2658</v>
      </c>
      <c r="P290" s="159" t="s">
        <v>2808</v>
      </c>
      <c r="Q290" s="159" t="s">
        <v>2843</v>
      </c>
      <c r="R290" s="159" t="s">
        <v>2863</v>
      </c>
      <c r="S290" s="159"/>
      <c r="T290" s="159" t="s">
        <v>720</v>
      </c>
      <c r="U290" s="158" t="s">
        <v>2622</v>
      </c>
      <c r="V290" s="158" t="s">
        <v>2621</v>
      </c>
      <c r="W290" s="159" t="s">
        <v>2658</v>
      </c>
      <c r="X290" s="159" t="s">
        <v>2808</v>
      </c>
      <c r="Y290" s="159" t="s">
        <v>2843</v>
      </c>
      <c r="Z290" s="159" t="s">
        <v>2863</v>
      </c>
      <c r="AA290" s="159"/>
      <c r="AB290" s="167">
        <v>45838</v>
      </c>
      <c r="AC290" s="159" t="s">
        <v>71</v>
      </c>
      <c r="AD290" s="158"/>
      <c r="AE290" s="159"/>
      <c r="AF290" s="159"/>
      <c r="AG290" s="159"/>
      <c r="AH290" s="159"/>
      <c r="AI290" s="159"/>
      <c r="AJ290" s="159"/>
      <c r="AK290" s="159" t="s">
        <v>2600</v>
      </c>
      <c r="AL290" s="159"/>
      <c r="AM290" s="159"/>
      <c r="AN290" s="185" t="s">
        <v>684</v>
      </c>
      <c r="AO290" s="172" t="s">
        <v>78</v>
      </c>
      <c r="AP290" s="172"/>
      <c r="AQ290" s="172"/>
      <c r="AR290" s="178" t="s">
        <v>2618</v>
      </c>
      <c r="AS290" s="178" t="s">
        <v>2618</v>
      </c>
      <c r="BD290" s="159" t="s">
        <v>704</v>
      </c>
      <c r="BF290" s="156"/>
      <c r="BG290" s="159" t="s">
        <v>71</v>
      </c>
      <c r="BH290" s="159" t="s">
        <v>46</v>
      </c>
      <c r="BI290" s="159" t="s">
        <v>41</v>
      </c>
      <c r="BJ290" s="156">
        <v>3</v>
      </c>
      <c r="BK290" s="156"/>
      <c r="BL290" s="156"/>
    </row>
    <row r="291" spans="1:70">
      <c r="A291" s="184" t="str">
        <f t="shared" si="4"/>
        <v>42507287</v>
      </c>
      <c r="B291" s="158" t="s">
        <v>504</v>
      </c>
      <c r="C291" s="158" t="s">
        <v>3137</v>
      </c>
      <c r="D291" s="159" t="s">
        <v>503</v>
      </c>
      <c r="E291" s="159"/>
      <c r="F291" s="158"/>
      <c r="G291" s="167">
        <v>33237</v>
      </c>
      <c r="H291" s="167"/>
      <c r="I291" s="159" t="s">
        <v>2569</v>
      </c>
      <c r="J291" s="159" t="s">
        <v>2619</v>
      </c>
      <c r="K291" s="159" t="s">
        <v>217</v>
      </c>
      <c r="L291" s="159" t="s">
        <v>505</v>
      </c>
      <c r="M291" s="158" t="s">
        <v>2626</v>
      </c>
      <c r="N291" s="158" t="s">
        <v>2625</v>
      </c>
      <c r="O291" s="159" t="s">
        <v>2739</v>
      </c>
      <c r="P291" s="159" t="s">
        <v>2818</v>
      </c>
      <c r="Q291" s="159" t="s">
        <v>2842</v>
      </c>
      <c r="R291" s="159" t="s">
        <v>2863</v>
      </c>
      <c r="S291" s="159"/>
      <c r="T291" s="159" t="s">
        <v>505</v>
      </c>
      <c r="U291" s="158" t="s">
        <v>2626</v>
      </c>
      <c r="V291" s="158" t="s">
        <v>2625</v>
      </c>
      <c r="W291" s="159" t="s">
        <v>2739</v>
      </c>
      <c r="X291" s="159" t="s">
        <v>2818</v>
      </c>
      <c r="Y291" s="159" t="s">
        <v>2842</v>
      </c>
      <c r="Z291" s="159" t="s">
        <v>2863</v>
      </c>
      <c r="AA291" s="159"/>
      <c r="AB291" s="167">
        <v>45839</v>
      </c>
      <c r="AC291" s="159" t="s">
        <v>129</v>
      </c>
      <c r="AD291" s="158"/>
      <c r="AE291" s="159"/>
      <c r="AF291" s="159"/>
      <c r="AG291" s="159"/>
      <c r="AH291" s="159"/>
      <c r="AI291" s="159"/>
      <c r="AJ291" s="159"/>
      <c r="AK291" s="159" t="s">
        <v>2600</v>
      </c>
      <c r="AL291" s="159"/>
      <c r="AM291" s="159"/>
      <c r="AN291" s="159" t="s">
        <v>392</v>
      </c>
      <c r="AO291" s="172" t="s">
        <v>115</v>
      </c>
      <c r="AP291" s="172"/>
      <c r="AQ291" s="172"/>
      <c r="AR291" s="178" t="s">
        <v>2618</v>
      </c>
      <c r="AS291" s="178" t="s">
        <v>2618</v>
      </c>
      <c r="BD291" s="159" t="s">
        <v>401</v>
      </c>
      <c r="BF291" s="159"/>
      <c r="BG291" s="159" t="s">
        <v>129</v>
      </c>
      <c r="BH291" s="159" t="s">
        <v>46</v>
      </c>
      <c r="BI291" s="159" t="s">
        <v>41</v>
      </c>
      <c r="BJ291" s="156">
        <v>1</v>
      </c>
      <c r="BK291" s="156"/>
      <c r="BL291" s="156"/>
    </row>
    <row r="292" spans="1:70">
      <c r="A292" s="184" t="str">
        <f t="shared" si="4"/>
        <v>22507288</v>
      </c>
      <c r="B292" s="164" t="s">
        <v>300</v>
      </c>
      <c r="C292" s="158" t="s">
        <v>3138</v>
      </c>
      <c r="D292" s="159" t="s">
        <v>297</v>
      </c>
      <c r="E292" s="222" t="s">
        <v>3436</v>
      </c>
      <c r="F292" s="164" t="s">
        <v>3437</v>
      </c>
      <c r="G292" s="167">
        <v>35683</v>
      </c>
      <c r="H292" s="167" t="s">
        <v>3396</v>
      </c>
      <c r="I292" s="159" t="s">
        <v>2569</v>
      </c>
      <c r="J292" s="159" t="s">
        <v>2619</v>
      </c>
      <c r="K292" s="159" t="s">
        <v>302</v>
      </c>
      <c r="L292" s="159" t="s">
        <v>301</v>
      </c>
      <c r="M292" s="158" t="s">
        <v>2642</v>
      </c>
      <c r="N292" s="158" t="s">
        <v>2623</v>
      </c>
      <c r="O292" s="159" t="s">
        <v>2752</v>
      </c>
      <c r="P292" s="159" t="s">
        <v>2713</v>
      </c>
      <c r="Q292" s="159" t="s">
        <v>2840</v>
      </c>
      <c r="R292" s="159" t="s">
        <v>2863</v>
      </c>
      <c r="S292" s="159"/>
      <c r="T292" s="159" t="s">
        <v>301</v>
      </c>
      <c r="U292" s="158" t="s">
        <v>2642</v>
      </c>
      <c r="V292" s="158" t="s">
        <v>2623</v>
      </c>
      <c r="W292" s="159" t="s">
        <v>2752</v>
      </c>
      <c r="X292" s="159" t="s">
        <v>2713</v>
      </c>
      <c r="Y292" s="159" t="s">
        <v>2840</v>
      </c>
      <c r="Z292" s="159" t="s">
        <v>2863</v>
      </c>
      <c r="AA292" s="159"/>
      <c r="AB292" s="167">
        <v>45852</v>
      </c>
      <c r="AC292" s="159" t="s">
        <v>45</v>
      </c>
      <c r="AD292" s="158" t="s">
        <v>3438</v>
      </c>
      <c r="AE292" s="159"/>
      <c r="AF292" s="159"/>
      <c r="AG292" s="159"/>
      <c r="AH292" s="159"/>
      <c r="AI292" s="159"/>
      <c r="AJ292" s="159"/>
      <c r="AK292" s="159" t="s">
        <v>2600</v>
      </c>
      <c r="AL292" s="159"/>
      <c r="AM292" s="159"/>
      <c r="AN292" s="185" t="s">
        <v>298</v>
      </c>
      <c r="AO292" s="172" t="s">
        <v>44</v>
      </c>
      <c r="AP292" s="172"/>
      <c r="AQ292" s="172"/>
      <c r="AR292" s="178" t="s">
        <v>2618</v>
      </c>
      <c r="AS292" s="178" t="s">
        <v>2618</v>
      </c>
      <c r="BD292" s="159"/>
      <c r="BF292" s="156"/>
      <c r="BG292" s="159" t="s">
        <v>45</v>
      </c>
      <c r="BH292" s="159" t="s">
        <v>299</v>
      </c>
      <c r="BI292" s="159" t="s">
        <v>41</v>
      </c>
      <c r="BJ292" s="156">
        <v>3</v>
      </c>
      <c r="BK292" s="156"/>
      <c r="BL292" s="156"/>
    </row>
    <row r="293" spans="1:70">
      <c r="A293" s="184" t="str">
        <f t="shared" si="4"/>
        <v>42507289</v>
      </c>
      <c r="B293" s="158" t="s">
        <v>511</v>
      </c>
      <c r="C293" s="158" t="s">
        <v>3139</v>
      </c>
      <c r="D293" s="159" t="s">
        <v>510</v>
      </c>
      <c r="E293" s="159"/>
      <c r="F293" s="158"/>
      <c r="G293" s="167">
        <v>36390</v>
      </c>
      <c r="H293" s="167"/>
      <c r="I293" s="159" t="s">
        <v>2569</v>
      </c>
      <c r="J293" s="159" t="s">
        <v>2619</v>
      </c>
      <c r="K293" s="159" t="s">
        <v>81</v>
      </c>
      <c r="L293" s="159" t="s">
        <v>512</v>
      </c>
      <c r="M293" s="158" t="s">
        <v>2639</v>
      </c>
      <c r="N293" s="158" t="s">
        <v>2623</v>
      </c>
      <c r="O293" s="159" t="s">
        <v>2753</v>
      </c>
      <c r="P293" s="159" t="s">
        <v>2710</v>
      </c>
      <c r="Q293" s="159" t="s">
        <v>2842</v>
      </c>
      <c r="R293" s="159" t="s">
        <v>2863</v>
      </c>
      <c r="S293" s="159"/>
      <c r="T293" s="159" t="s">
        <v>512</v>
      </c>
      <c r="U293" s="158" t="s">
        <v>2639</v>
      </c>
      <c r="V293" s="158" t="s">
        <v>2623</v>
      </c>
      <c r="W293" s="159" t="s">
        <v>2753</v>
      </c>
      <c r="X293" s="159" t="s">
        <v>2710</v>
      </c>
      <c r="Y293" s="159" t="s">
        <v>2842</v>
      </c>
      <c r="Z293" s="159" t="s">
        <v>2863</v>
      </c>
      <c r="AA293" s="159"/>
      <c r="AB293" s="167">
        <v>45853</v>
      </c>
      <c r="AC293" s="159" t="s">
        <v>129</v>
      </c>
      <c r="AD293" s="158"/>
      <c r="AE293" s="159"/>
      <c r="AF293" s="159"/>
      <c r="AG293" s="159"/>
      <c r="AH293" s="159"/>
      <c r="AI293" s="159"/>
      <c r="AJ293" s="159"/>
      <c r="AK293" s="159" t="s">
        <v>2600</v>
      </c>
      <c r="AL293" s="159"/>
      <c r="AM293" s="159"/>
      <c r="AN293" s="159" t="s">
        <v>392</v>
      </c>
      <c r="AO293" s="172" t="s">
        <v>115</v>
      </c>
      <c r="AP293" s="172"/>
      <c r="AQ293" s="172"/>
      <c r="AR293" s="178" t="s">
        <v>2618</v>
      </c>
      <c r="AS293" s="178" t="s">
        <v>2618</v>
      </c>
      <c r="BD293" s="159" t="s">
        <v>401</v>
      </c>
      <c r="BF293" s="159"/>
      <c r="BG293" s="159" t="s">
        <v>129</v>
      </c>
      <c r="BH293" s="159" t="s">
        <v>46</v>
      </c>
      <c r="BI293" s="159" t="s">
        <v>41</v>
      </c>
      <c r="BJ293" s="156">
        <v>1</v>
      </c>
      <c r="BK293" s="156"/>
      <c r="BL293" s="156"/>
    </row>
    <row r="294" spans="1:70">
      <c r="A294" s="184" t="str">
        <f t="shared" si="4"/>
        <v>42507290</v>
      </c>
      <c r="B294" s="164" t="s">
        <v>1400</v>
      </c>
      <c r="C294" s="158" t="s">
        <v>3140</v>
      </c>
      <c r="D294" s="159" t="s">
        <v>1399</v>
      </c>
      <c r="E294" s="159"/>
      <c r="F294" s="164"/>
      <c r="G294" s="167">
        <v>35124</v>
      </c>
      <c r="H294" s="167"/>
      <c r="I294" s="159" t="s">
        <v>2569</v>
      </c>
      <c r="J294" s="159" t="s">
        <v>2619</v>
      </c>
      <c r="K294" s="159"/>
      <c r="L294" s="159" t="s">
        <v>913</v>
      </c>
      <c r="M294" s="158" t="s">
        <v>2625</v>
      </c>
      <c r="N294" s="158" t="s">
        <v>2621</v>
      </c>
      <c r="O294" s="159" t="s">
        <v>2660</v>
      </c>
      <c r="P294" s="159" t="s">
        <v>2662</v>
      </c>
      <c r="Q294" s="159" t="s">
        <v>2840</v>
      </c>
      <c r="R294" s="159" t="s">
        <v>2863</v>
      </c>
      <c r="S294" s="159"/>
      <c r="T294" s="159" t="s">
        <v>913</v>
      </c>
      <c r="U294" s="158" t="s">
        <v>2625</v>
      </c>
      <c r="V294" s="158" t="s">
        <v>2621</v>
      </c>
      <c r="W294" s="159" t="s">
        <v>2660</v>
      </c>
      <c r="X294" s="159" t="s">
        <v>2662</v>
      </c>
      <c r="Y294" s="159" t="s">
        <v>2840</v>
      </c>
      <c r="Z294" s="159" t="s">
        <v>2863</v>
      </c>
      <c r="AA294" s="159"/>
      <c r="AB294" s="167">
        <v>45857</v>
      </c>
      <c r="AC294" s="159" t="s">
        <v>129</v>
      </c>
      <c r="AD294" s="158"/>
      <c r="AE294" s="159"/>
      <c r="AF294" s="159"/>
      <c r="AG294" s="159"/>
      <c r="AH294" s="159"/>
      <c r="AI294" s="159"/>
      <c r="AJ294" s="159"/>
      <c r="AK294" s="159" t="s">
        <v>2600</v>
      </c>
      <c r="AL294" s="159"/>
      <c r="AM294" s="159"/>
      <c r="AN294" s="185" t="s">
        <v>786</v>
      </c>
      <c r="AO294" s="172" t="s">
        <v>115</v>
      </c>
      <c r="AP294" s="172"/>
      <c r="AQ294" s="172"/>
      <c r="AR294" s="178" t="s">
        <v>2618</v>
      </c>
      <c r="AS294" s="178" t="s">
        <v>2618</v>
      </c>
      <c r="BD294" s="185" t="s">
        <v>1002</v>
      </c>
      <c r="BE294" s="156" t="s">
        <v>1145</v>
      </c>
      <c r="BF294" s="185" t="s">
        <v>1042</v>
      </c>
      <c r="BG294" s="159" t="s">
        <v>129</v>
      </c>
      <c r="BH294" s="159" t="s">
        <v>46</v>
      </c>
      <c r="BI294" s="159" t="s">
        <v>41</v>
      </c>
      <c r="BJ294" s="156">
        <v>1</v>
      </c>
      <c r="BK294" s="156"/>
      <c r="BL294" s="156"/>
    </row>
    <row r="295" spans="1:70">
      <c r="A295" s="184" t="str">
        <f t="shared" si="4"/>
        <v>32507291</v>
      </c>
      <c r="B295" s="164" t="s">
        <v>79</v>
      </c>
      <c r="C295" s="158" t="s">
        <v>3141</v>
      </c>
      <c r="D295" s="159" t="s">
        <v>77</v>
      </c>
      <c r="E295" s="222" t="s">
        <v>3405</v>
      </c>
      <c r="F295" s="164" t="s">
        <v>3406</v>
      </c>
      <c r="G295" s="167">
        <v>34587</v>
      </c>
      <c r="H295" s="167" t="s">
        <v>3407</v>
      </c>
      <c r="I295" s="159" t="s">
        <v>2570</v>
      </c>
      <c r="J295" s="159" t="s">
        <v>2619</v>
      </c>
      <c r="K295" s="159" t="s">
        <v>81</v>
      </c>
      <c r="L295" s="159" t="s">
        <v>80</v>
      </c>
      <c r="M295" s="158" t="s">
        <v>2621</v>
      </c>
      <c r="N295" s="158" t="s">
        <v>2621</v>
      </c>
      <c r="O295" s="159" t="s">
        <v>2657</v>
      </c>
      <c r="P295" s="159" t="s">
        <v>2662</v>
      </c>
      <c r="Q295" s="159" t="s">
        <v>2840</v>
      </c>
      <c r="R295" s="159" t="s">
        <v>2863</v>
      </c>
      <c r="S295" s="159"/>
      <c r="T295" s="159" t="s">
        <v>80</v>
      </c>
      <c r="U295" s="158" t="s">
        <v>2621</v>
      </c>
      <c r="V295" s="158" t="s">
        <v>2621</v>
      </c>
      <c r="W295" s="159" t="s">
        <v>2657</v>
      </c>
      <c r="X295" s="159" t="s">
        <v>2662</v>
      </c>
      <c r="Y295" s="159" t="s">
        <v>2840</v>
      </c>
      <c r="Z295" s="159" t="s">
        <v>2863</v>
      </c>
      <c r="AA295" s="159"/>
      <c r="AB295" s="167">
        <v>45866</v>
      </c>
      <c r="AC295" s="159" t="s">
        <v>71</v>
      </c>
      <c r="AD295" s="158"/>
      <c r="AE295" s="159"/>
      <c r="AF295" s="159"/>
      <c r="AG295" s="159"/>
      <c r="AH295" s="159"/>
      <c r="AI295" s="159"/>
      <c r="AJ295" s="159"/>
      <c r="AK295" s="159" t="s">
        <v>2600</v>
      </c>
      <c r="AL295" s="159"/>
      <c r="AM295" s="159"/>
      <c r="AN295" s="159" t="s">
        <v>29</v>
      </c>
      <c r="AO295" s="172" t="s">
        <v>78</v>
      </c>
      <c r="AP295" s="172"/>
      <c r="AQ295" s="172"/>
      <c r="AR295" s="178" t="s">
        <v>2618</v>
      </c>
      <c r="AS295" s="178" t="s">
        <v>2618</v>
      </c>
      <c r="BD295" s="156"/>
      <c r="BF295" s="156"/>
      <c r="BG295" s="159" t="s">
        <v>71</v>
      </c>
      <c r="BH295" s="159" t="s">
        <v>72</v>
      </c>
      <c r="BI295" s="159" t="s">
        <v>41</v>
      </c>
      <c r="BJ295" s="156">
        <v>1</v>
      </c>
      <c r="BK295" s="156" t="s">
        <v>2236</v>
      </c>
      <c r="BL295" s="156"/>
    </row>
    <row r="296" spans="1:70">
      <c r="A296" s="184" t="str">
        <f t="shared" si="4"/>
        <v>22507292</v>
      </c>
      <c r="B296" s="158" t="s">
        <v>1021</v>
      </c>
      <c r="C296" s="158" t="s">
        <v>3142</v>
      </c>
      <c r="D296" s="159" t="s">
        <v>1020</v>
      </c>
      <c r="E296" s="222" t="s">
        <v>3439</v>
      </c>
      <c r="F296" s="158" t="s">
        <v>3440</v>
      </c>
      <c r="G296" s="167">
        <v>36178</v>
      </c>
      <c r="H296" s="167" t="s">
        <v>3441</v>
      </c>
      <c r="I296" s="159" t="s">
        <v>2569</v>
      </c>
      <c r="J296" s="159" t="s">
        <v>2619</v>
      </c>
      <c r="K296" s="159" t="s">
        <v>81</v>
      </c>
      <c r="L296" s="159" t="s">
        <v>1022</v>
      </c>
      <c r="M296" s="158" t="s">
        <v>2629</v>
      </c>
      <c r="N296" s="158" t="s">
        <v>2621</v>
      </c>
      <c r="O296" s="159" t="s">
        <v>2754</v>
      </c>
      <c r="P296" s="159" t="s">
        <v>2822</v>
      </c>
      <c r="Q296" s="159" t="s">
        <v>2846</v>
      </c>
      <c r="R296" s="159" t="s">
        <v>2863</v>
      </c>
      <c r="S296" s="159"/>
      <c r="T296" s="159" t="s">
        <v>1022</v>
      </c>
      <c r="U296" s="158" t="s">
        <v>2629</v>
      </c>
      <c r="V296" s="158" t="s">
        <v>2621</v>
      </c>
      <c r="W296" s="159" t="s">
        <v>2754</v>
      </c>
      <c r="X296" s="159" t="s">
        <v>2822</v>
      </c>
      <c r="Y296" s="159" t="s">
        <v>2846</v>
      </c>
      <c r="Z296" s="159" t="s">
        <v>2863</v>
      </c>
      <c r="AA296" s="159"/>
      <c r="AB296" s="167">
        <v>45866</v>
      </c>
      <c r="AC296" s="159" t="s">
        <v>45</v>
      </c>
      <c r="AD296" s="158"/>
      <c r="AE296" s="159"/>
      <c r="AF296" s="159"/>
      <c r="AG296" s="159" t="s">
        <v>3487</v>
      </c>
      <c r="AH296" s="157">
        <v>46231</v>
      </c>
      <c r="AI296" s="159"/>
      <c r="AJ296" s="159"/>
      <c r="AK296" s="159" t="s">
        <v>2600</v>
      </c>
      <c r="AL296" s="159"/>
      <c r="AM296" s="159"/>
      <c r="AN296" s="159" t="s">
        <v>786</v>
      </c>
      <c r="AO296" s="172" t="s">
        <v>54</v>
      </c>
      <c r="AP296" s="172"/>
      <c r="AQ296" s="172"/>
      <c r="AR296" s="178" t="s">
        <v>2618</v>
      </c>
      <c r="AS296" s="178" t="s">
        <v>2618</v>
      </c>
      <c r="BD296" s="185" t="s">
        <v>1002</v>
      </c>
      <c r="BF296" s="159"/>
      <c r="BG296" s="159" t="s">
        <v>45</v>
      </c>
      <c r="BH296" s="159" t="s">
        <v>72</v>
      </c>
      <c r="BI296" s="159" t="s">
        <v>41</v>
      </c>
      <c r="BJ296" s="156">
        <v>3</v>
      </c>
      <c r="BK296" s="156"/>
      <c r="BL296" s="156"/>
    </row>
    <row r="297" spans="1:70">
      <c r="A297" s="184" t="str">
        <f t="shared" si="4"/>
        <v>32507293</v>
      </c>
      <c r="B297" s="158" t="s">
        <v>2132</v>
      </c>
      <c r="C297" s="158" t="s">
        <v>3143</v>
      </c>
      <c r="D297" s="159" t="s">
        <v>2131</v>
      </c>
      <c r="E297" s="159"/>
      <c r="F297" s="158"/>
      <c r="G297" s="167">
        <v>37127</v>
      </c>
      <c r="H297" s="167"/>
      <c r="I297" s="159" t="s">
        <v>2569</v>
      </c>
      <c r="J297" s="159" t="s">
        <v>2619</v>
      </c>
      <c r="K297" s="159" t="s">
        <v>81</v>
      </c>
      <c r="L297" s="159" t="s">
        <v>604</v>
      </c>
      <c r="M297" s="158" t="s">
        <v>2623</v>
      </c>
      <c r="N297" s="158" t="s">
        <v>2630</v>
      </c>
      <c r="O297" s="159" t="s">
        <v>2657</v>
      </c>
      <c r="P297" s="159" t="s">
        <v>2662</v>
      </c>
      <c r="Q297" s="159" t="s">
        <v>2840</v>
      </c>
      <c r="R297" s="159" t="s">
        <v>2863</v>
      </c>
      <c r="S297" s="159"/>
      <c r="T297" s="159" t="s">
        <v>604</v>
      </c>
      <c r="U297" s="158" t="s">
        <v>2623</v>
      </c>
      <c r="V297" s="158" t="s">
        <v>2630</v>
      </c>
      <c r="W297" s="159" t="s">
        <v>2657</v>
      </c>
      <c r="X297" s="159" t="s">
        <v>2662</v>
      </c>
      <c r="Y297" s="159" t="s">
        <v>2840</v>
      </c>
      <c r="Z297" s="159" t="s">
        <v>2863</v>
      </c>
      <c r="AA297" s="159"/>
      <c r="AB297" s="167">
        <v>45866</v>
      </c>
      <c r="AC297" s="159" t="s">
        <v>71</v>
      </c>
      <c r="AD297" s="158"/>
      <c r="AE297" s="159"/>
      <c r="AF297" s="159"/>
      <c r="AG297" s="159"/>
      <c r="AH297" s="159"/>
      <c r="AI297" s="159"/>
      <c r="AJ297" s="159"/>
      <c r="AK297" s="159" t="s">
        <v>2600</v>
      </c>
      <c r="AL297" s="159"/>
      <c r="AM297" s="159"/>
      <c r="AN297" s="185" t="s">
        <v>2065</v>
      </c>
      <c r="AO297" s="162" t="s">
        <v>2104</v>
      </c>
      <c r="AR297" s="178" t="s">
        <v>2618</v>
      </c>
      <c r="AS297" s="178" t="s">
        <v>2618</v>
      </c>
      <c r="BD297" s="159"/>
      <c r="BE297" s="159" t="s">
        <v>2468</v>
      </c>
      <c r="BF297" s="156"/>
      <c r="BG297" s="159" t="s">
        <v>71</v>
      </c>
      <c r="BH297" s="159" t="s">
        <v>46</v>
      </c>
      <c r="BI297" s="159" t="s">
        <v>41</v>
      </c>
      <c r="BJ297" s="156">
        <v>1</v>
      </c>
      <c r="BK297" s="156"/>
      <c r="BL297" s="156"/>
    </row>
    <row r="298" spans="1:70">
      <c r="A298" s="184" t="str">
        <f t="shared" si="4"/>
        <v>42508294</v>
      </c>
      <c r="B298" s="201" t="s">
        <v>2053</v>
      </c>
      <c r="C298" s="158" t="s">
        <v>3144</v>
      </c>
      <c r="D298" s="187" t="s">
        <v>2051</v>
      </c>
      <c r="E298" s="223" t="s">
        <v>3443</v>
      </c>
      <c r="F298" s="201" t="s">
        <v>3442</v>
      </c>
      <c r="G298" s="188">
        <v>38791</v>
      </c>
      <c r="H298" s="188" t="s">
        <v>693</v>
      </c>
      <c r="I298" s="159" t="s">
        <v>2569</v>
      </c>
      <c r="J298" s="159" t="s">
        <v>2619</v>
      </c>
      <c r="K298" s="187" t="s">
        <v>81</v>
      </c>
      <c r="L298" s="187" t="s">
        <v>2054</v>
      </c>
      <c r="M298" s="201" t="s">
        <v>2623</v>
      </c>
      <c r="N298" s="201" t="s">
        <v>2651</v>
      </c>
      <c r="O298" s="187" t="s">
        <v>2755</v>
      </c>
      <c r="P298" s="187" t="s">
        <v>2823</v>
      </c>
      <c r="Q298" s="159" t="s">
        <v>2840</v>
      </c>
      <c r="R298" s="159" t="s">
        <v>2863</v>
      </c>
      <c r="S298" s="187"/>
      <c r="T298" s="187" t="s">
        <v>2054</v>
      </c>
      <c r="U298" s="201" t="s">
        <v>2623</v>
      </c>
      <c r="V298" s="201" t="s">
        <v>2651</v>
      </c>
      <c r="W298" s="187" t="s">
        <v>2755</v>
      </c>
      <c r="X298" s="187" t="s">
        <v>2823</v>
      </c>
      <c r="Y298" s="159" t="s">
        <v>2840</v>
      </c>
      <c r="Z298" s="159" t="s">
        <v>2863</v>
      </c>
      <c r="AA298" s="187"/>
      <c r="AB298" s="188">
        <v>45874</v>
      </c>
      <c r="AC298" s="159" t="s">
        <v>129</v>
      </c>
      <c r="AD298" s="158"/>
      <c r="AE298" s="159"/>
      <c r="AF298" s="159"/>
      <c r="AG298" s="159"/>
      <c r="AH298" s="159"/>
      <c r="AI298" s="159"/>
      <c r="AJ298" s="159"/>
      <c r="AK298" s="159" t="s">
        <v>2600</v>
      </c>
      <c r="AL298" s="159"/>
      <c r="AM298" s="159"/>
      <c r="AN298" s="159" t="s">
        <v>786</v>
      </c>
      <c r="AO298" s="172" t="s">
        <v>115</v>
      </c>
      <c r="AP298" s="172"/>
      <c r="AQ298" s="172"/>
      <c r="AR298" s="178" t="s">
        <v>2618</v>
      </c>
      <c r="AS298" s="178" t="s">
        <v>2618</v>
      </c>
      <c r="BD298" s="185" t="s">
        <v>1442</v>
      </c>
      <c r="BE298" s="156" t="s">
        <v>1493</v>
      </c>
      <c r="BF298" s="187" t="s">
        <v>1539</v>
      </c>
      <c r="BG298" s="159" t="s">
        <v>129</v>
      </c>
      <c r="BH298" s="187" t="s">
        <v>46</v>
      </c>
      <c r="BI298" s="159" t="s">
        <v>41</v>
      </c>
      <c r="BJ298" s="156">
        <v>1</v>
      </c>
      <c r="BK298" s="156"/>
      <c r="BL298" s="156"/>
    </row>
    <row r="299" spans="1:70">
      <c r="A299" s="184" t="str">
        <f t="shared" si="4"/>
        <v>42508295</v>
      </c>
      <c r="B299" s="158" t="s">
        <v>1356</v>
      </c>
      <c r="C299" s="158" t="s">
        <v>3145</v>
      </c>
      <c r="D299" s="159" t="s">
        <v>1355</v>
      </c>
      <c r="E299" s="159"/>
      <c r="F299" s="158" t="s">
        <v>1357</v>
      </c>
      <c r="G299" s="167">
        <v>39005</v>
      </c>
      <c r="H299" s="167"/>
      <c r="I299" s="159" t="s">
        <v>2569</v>
      </c>
      <c r="J299" s="159" t="s">
        <v>2619</v>
      </c>
      <c r="K299" s="159" t="s">
        <v>81</v>
      </c>
      <c r="L299" s="159" t="s">
        <v>194</v>
      </c>
      <c r="M299" s="158" t="s">
        <v>2625</v>
      </c>
      <c r="N299" s="158" t="s">
        <v>2621</v>
      </c>
      <c r="O299" s="159" t="s">
        <v>2668</v>
      </c>
      <c r="P299" s="159" t="s">
        <v>2662</v>
      </c>
      <c r="Q299" s="159" t="s">
        <v>2840</v>
      </c>
      <c r="R299" s="159" t="s">
        <v>2863</v>
      </c>
      <c r="S299" s="159"/>
      <c r="T299" s="159" t="s">
        <v>194</v>
      </c>
      <c r="U299" s="158" t="s">
        <v>2625</v>
      </c>
      <c r="V299" s="158" t="s">
        <v>2621</v>
      </c>
      <c r="W299" s="159" t="s">
        <v>2668</v>
      </c>
      <c r="X299" s="159" t="s">
        <v>2662</v>
      </c>
      <c r="Y299" s="159" t="s">
        <v>2840</v>
      </c>
      <c r="Z299" s="159" t="s">
        <v>2863</v>
      </c>
      <c r="AA299" s="159"/>
      <c r="AB299" s="167">
        <v>45880</v>
      </c>
      <c r="AC299" s="159" t="s">
        <v>129</v>
      </c>
      <c r="AD299" s="158"/>
      <c r="AE299" s="159"/>
      <c r="AF299" s="159"/>
      <c r="AG299" s="159"/>
      <c r="AH299" s="159"/>
      <c r="AI299" s="159"/>
      <c r="AJ299" s="159"/>
      <c r="AK299" s="159" t="s">
        <v>2600</v>
      </c>
      <c r="AL299" s="159"/>
      <c r="AM299" s="159"/>
      <c r="AN299" s="185" t="s">
        <v>786</v>
      </c>
      <c r="AO299" s="172" t="s">
        <v>115</v>
      </c>
      <c r="AP299" s="172"/>
      <c r="AQ299" s="172"/>
      <c r="AR299" s="178" t="s">
        <v>2618</v>
      </c>
      <c r="AS299" s="178" t="s">
        <v>2618</v>
      </c>
      <c r="BD299" s="185" t="s">
        <v>1002</v>
      </c>
      <c r="BE299" s="156" t="s">
        <v>1092</v>
      </c>
      <c r="BF299" s="185"/>
      <c r="BG299" s="159" t="s">
        <v>129</v>
      </c>
      <c r="BH299" s="159" t="s">
        <v>46</v>
      </c>
      <c r="BI299" s="159" t="s">
        <v>41</v>
      </c>
      <c r="BJ299" s="156">
        <v>1</v>
      </c>
      <c r="BK299" s="156"/>
      <c r="BL299" s="156"/>
    </row>
    <row r="300" spans="1:70">
      <c r="A300" s="184" t="str">
        <f t="shared" si="4"/>
        <v>42508296</v>
      </c>
      <c r="B300" s="158" t="s">
        <v>1954</v>
      </c>
      <c r="C300" s="158" t="s">
        <v>3146</v>
      </c>
      <c r="D300" s="159" t="s">
        <v>1953</v>
      </c>
      <c r="E300" s="159"/>
      <c r="F300" s="158" t="s">
        <v>1653</v>
      </c>
      <c r="G300" s="167">
        <v>33439</v>
      </c>
      <c r="H300" s="167"/>
      <c r="I300" s="159" t="s">
        <v>2569</v>
      </c>
      <c r="J300" s="159" t="s">
        <v>2619</v>
      </c>
      <c r="K300" s="159" t="s">
        <v>81</v>
      </c>
      <c r="L300" s="159" t="s">
        <v>1955</v>
      </c>
      <c r="M300" s="158" t="s">
        <v>2625</v>
      </c>
      <c r="N300" s="158" t="s">
        <v>2621</v>
      </c>
      <c r="O300" s="159" t="s">
        <v>2660</v>
      </c>
      <c r="P300" s="159" t="s">
        <v>2662</v>
      </c>
      <c r="Q300" s="159" t="s">
        <v>2840</v>
      </c>
      <c r="R300" s="159" t="s">
        <v>2863</v>
      </c>
      <c r="S300" s="159"/>
      <c r="T300" s="159" t="s">
        <v>1955</v>
      </c>
      <c r="U300" s="158" t="s">
        <v>2625</v>
      </c>
      <c r="V300" s="158" t="s">
        <v>2621</v>
      </c>
      <c r="W300" s="159" t="s">
        <v>2660</v>
      </c>
      <c r="X300" s="159" t="s">
        <v>2662</v>
      </c>
      <c r="Y300" s="159" t="s">
        <v>2840</v>
      </c>
      <c r="Z300" s="159" t="s">
        <v>2863</v>
      </c>
      <c r="AA300" s="159"/>
      <c r="AB300" s="167">
        <v>45880</v>
      </c>
      <c r="AC300" s="159" t="s">
        <v>129</v>
      </c>
      <c r="AD300" s="158"/>
      <c r="AE300" s="159"/>
      <c r="AF300" s="159"/>
      <c r="AG300" s="159"/>
      <c r="AH300" s="159"/>
      <c r="AI300" s="159"/>
      <c r="AJ300" s="159"/>
      <c r="AK300" s="159" t="s">
        <v>2600</v>
      </c>
      <c r="AL300" s="159"/>
      <c r="AM300" s="159"/>
      <c r="AN300" s="159" t="s">
        <v>786</v>
      </c>
      <c r="AO300" s="172" t="s">
        <v>115</v>
      </c>
      <c r="AP300" s="172"/>
      <c r="AQ300" s="172"/>
      <c r="AR300" s="178" t="s">
        <v>2618</v>
      </c>
      <c r="AS300" s="178" t="s">
        <v>2618</v>
      </c>
      <c r="BD300" s="185" t="s">
        <v>1002</v>
      </c>
      <c r="BE300" s="156" t="s">
        <v>1110</v>
      </c>
      <c r="BF300" s="185" t="s">
        <v>1042</v>
      </c>
      <c r="BG300" s="159" t="s">
        <v>129</v>
      </c>
      <c r="BH300" s="159" t="s">
        <v>46</v>
      </c>
      <c r="BI300" s="159" t="s">
        <v>41</v>
      </c>
      <c r="BJ300" s="156">
        <v>1</v>
      </c>
      <c r="BK300" s="156"/>
      <c r="BL300" s="156"/>
    </row>
    <row r="301" spans="1:70">
      <c r="A301" s="184" t="str">
        <f t="shared" si="4"/>
        <v>42508297</v>
      </c>
      <c r="B301" s="158" t="s">
        <v>1929</v>
      </c>
      <c r="C301" s="158" t="s">
        <v>3147</v>
      </c>
      <c r="D301" s="159" t="s">
        <v>1928</v>
      </c>
      <c r="E301" s="159"/>
      <c r="F301" s="158" t="s">
        <v>1931</v>
      </c>
      <c r="G301" s="167">
        <v>37176</v>
      </c>
      <c r="H301" s="167"/>
      <c r="I301" s="159" t="s">
        <v>2569</v>
      </c>
      <c r="J301" s="159" t="s">
        <v>2619</v>
      </c>
      <c r="K301" s="159" t="s">
        <v>81</v>
      </c>
      <c r="L301" s="159" t="s">
        <v>1930</v>
      </c>
      <c r="M301" s="158" t="s">
        <v>2625</v>
      </c>
      <c r="N301" s="158" t="s">
        <v>2625</v>
      </c>
      <c r="O301" s="159" t="s">
        <v>2756</v>
      </c>
      <c r="P301" s="159" t="s">
        <v>2711</v>
      </c>
      <c r="Q301" s="159" t="s">
        <v>2840</v>
      </c>
      <c r="R301" s="159" t="s">
        <v>2863</v>
      </c>
      <c r="S301" s="159"/>
      <c r="T301" s="159" t="s">
        <v>1930</v>
      </c>
      <c r="U301" s="158" t="s">
        <v>2625</v>
      </c>
      <c r="V301" s="158" t="s">
        <v>2625</v>
      </c>
      <c r="W301" s="159" t="s">
        <v>2756</v>
      </c>
      <c r="X301" s="159" t="s">
        <v>2711</v>
      </c>
      <c r="Y301" s="159" t="s">
        <v>2840</v>
      </c>
      <c r="Z301" s="159" t="s">
        <v>2863</v>
      </c>
      <c r="AA301" s="159"/>
      <c r="AB301" s="167">
        <v>45889</v>
      </c>
      <c r="AC301" s="159" t="s">
        <v>129</v>
      </c>
      <c r="AD301" s="158"/>
      <c r="AE301" s="159"/>
      <c r="AF301" s="159"/>
      <c r="AG301" s="159"/>
      <c r="AH301" s="159"/>
      <c r="AI301" s="159"/>
      <c r="AJ301" s="159"/>
      <c r="AK301" s="159" t="s">
        <v>2600</v>
      </c>
      <c r="AL301" s="159"/>
      <c r="AM301" s="159"/>
      <c r="AN301" s="159" t="s">
        <v>786</v>
      </c>
      <c r="AO301" s="172" t="s">
        <v>115</v>
      </c>
      <c r="AP301" s="172"/>
      <c r="AQ301" s="172"/>
      <c r="AR301" s="178" t="s">
        <v>2618</v>
      </c>
      <c r="AS301" s="178" t="s">
        <v>2618</v>
      </c>
      <c r="BD301" s="185" t="s">
        <v>1442</v>
      </c>
      <c r="BE301" s="156" t="s">
        <v>1920</v>
      </c>
      <c r="BF301" s="159" t="s">
        <v>1482</v>
      </c>
      <c r="BG301" s="159" t="s">
        <v>129</v>
      </c>
      <c r="BH301" s="159" t="s">
        <v>46</v>
      </c>
      <c r="BI301" s="159" t="s">
        <v>41</v>
      </c>
      <c r="BJ301" s="156">
        <v>1</v>
      </c>
      <c r="BK301" s="156"/>
      <c r="BL301" s="156"/>
    </row>
    <row r="302" spans="1:70" s="190" customFormat="1">
      <c r="A302" s="184" t="str">
        <f t="shared" si="4"/>
        <v>42509298</v>
      </c>
      <c r="B302" s="158" t="s">
        <v>1730</v>
      </c>
      <c r="C302" s="158" t="s">
        <v>3148</v>
      </c>
      <c r="D302" s="159" t="s">
        <v>1729</v>
      </c>
      <c r="E302" s="159"/>
      <c r="F302" s="158" t="s">
        <v>1732</v>
      </c>
      <c r="G302" s="167">
        <v>37071</v>
      </c>
      <c r="H302" s="167"/>
      <c r="I302" s="159" t="s">
        <v>2569</v>
      </c>
      <c r="J302" s="159" t="s">
        <v>2619</v>
      </c>
      <c r="K302" s="159" t="s">
        <v>81</v>
      </c>
      <c r="L302" s="159" t="s">
        <v>1731</v>
      </c>
      <c r="M302" s="158" t="s">
        <v>2626</v>
      </c>
      <c r="N302" s="158" t="s">
        <v>2625</v>
      </c>
      <c r="O302" s="159" t="s">
        <v>2659</v>
      </c>
      <c r="P302" s="159" t="s">
        <v>2659</v>
      </c>
      <c r="Q302" s="159" t="s">
        <v>2840</v>
      </c>
      <c r="R302" s="159" t="s">
        <v>2863</v>
      </c>
      <c r="S302" s="159"/>
      <c r="T302" s="159" t="s">
        <v>1731</v>
      </c>
      <c r="U302" s="158" t="s">
        <v>2626</v>
      </c>
      <c r="V302" s="158" t="s">
        <v>2625</v>
      </c>
      <c r="W302" s="159" t="s">
        <v>2659</v>
      </c>
      <c r="X302" s="159" t="s">
        <v>2659</v>
      </c>
      <c r="Y302" s="159" t="s">
        <v>2840</v>
      </c>
      <c r="Z302" s="159" t="s">
        <v>2863</v>
      </c>
      <c r="AA302" s="159"/>
      <c r="AB302" s="167">
        <v>45917</v>
      </c>
      <c r="AC302" s="159" t="s">
        <v>129</v>
      </c>
      <c r="AD302" s="158"/>
      <c r="AE302" s="159"/>
      <c r="AF302" s="159"/>
      <c r="AG302" s="159"/>
      <c r="AH302" s="159"/>
      <c r="AI302" s="159"/>
      <c r="AJ302" s="159"/>
      <c r="AK302" s="159" t="s">
        <v>2600</v>
      </c>
      <c r="AL302" s="159"/>
      <c r="AM302" s="159"/>
      <c r="AN302" s="159" t="s">
        <v>786</v>
      </c>
      <c r="AO302" s="172" t="s">
        <v>115</v>
      </c>
      <c r="AP302" s="172"/>
      <c r="AQ302" s="172"/>
      <c r="AR302" s="178" t="s">
        <v>2618</v>
      </c>
      <c r="AS302" s="178" t="s">
        <v>2618</v>
      </c>
      <c r="AT302" s="178"/>
      <c r="AU302" s="159"/>
      <c r="AV302" s="159"/>
      <c r="AW302" s="159"/>
      <c r="AX302" s="159"/>
      <c r="AY302" s="159"/>
      <c r="AZ302" s="159"/>
      <c r="BA302" s="159"/>
      <c r="BB302" s="159"/>
      <c r="BC302" s="159"/>
      <c r="BD302" s="185" t="s">
        <v>1442</v>
      </c>
      <c r="BE302" s="156" t="s">
        <v>1493</v>
      </c>
      <c r="BF302" s="159" t="s">
        <v>1539</v>
      </c>
      <c r="BG302" s="159" t="s">
        <v>129</v>
      </c>
      <c r="BH302" s="159" t="s">
        <v>46</v>
      </c>
      <c r="BI302" s="159" t="s">
        <v>41</v>
      </c>
      <c r="BJ302" s="156">
        <v>1</v>
      </c>
      <c r="BK302" s="156"/>
      <c r="BL302" s="156"/>
      <c r="BM302" s="162"/>
      <c r="BN302" s="162"/>
      <c r="BO302" s="162"/>
      <c r="BP302" s="162"/>
      <c r="BQ302" s="162"/>
      <c r="BR302" s="162"/>
    </row>
    <row r="303" spans="1:70">
      <c r="A303" s="184" t="str">
        <f t="shared" si="4"/>
        <v>42509299</v>
      </c>
      <c r="B303" s="158" t="s">
        <v>2029</v>
      </c>
      <c r="C303" s="158" t="s">
        <v>3149</v>
      </c>
      <c r="D303" s="159" t="s">
        <v>2028</v>
      </c>
      <c r="E303" s="159"/>
      <c r="F303" s="158" t="s">
        <v>2030</v>
      </c>
      <c r="G303" s="167">
        <v>39643</v>
      </c>
      <c r="H303" s="167"/>
      <c r="I303" s="159" t="s">
        <v>2570</v>
      </c>
      <c r="J303" s="159" t="s">
        <v>2619</v>
      </c>
      <c r="K303" s="159" t="s">
        <v>81</v>
      </c>
      <c r="L303" s="159" t="s">
        <v>1977</v>
      </c>
      <c r="M303" s="158" t="s">
        <v>418</v>
      </c>
      <c r="N303" s="158" t="s">
        <v>2621</v>
      </c>
      <c r="O303" s="159" t="s">
        <v>2659</v>
      </c>
      <c r="P303" s="159" t="s">
        <v>2659</v>
      </c>
      <c r="Q303" s="159" t="s">
        <v>2840</v>
      </c>
      <c r="R303" s="159" t="s">
        <v>2863</v>
      </c>
      <c r="S303" s="159"/>
      <c r="T303" s="159" t="s">
        <v>1977</v>
      </c>
      <c r="U303" s="158" t="s">
        <v>418</v>
      </c>
      <c r="V303" s="158" t="s">
        <v>2621</v>
      </c>
      <c r="W303" s="159" t="s">
        <v>2659</v>
      </c>
      <c r="X303" s="159" t="s">
        <v>2659</v>
      </c>
      <c r="Y303" s="159" t="s">
        <v>2840</v>
      </c>
      <c r="Z303" s="159" t="s">
        <v>2863</v>
      </c>
      <c r="AA303" s="159"/>
      <c r="AB303" s="167">
        <v>45919</v>
      </c>
      <c r="AC303" s="159" t="s">
        <v>129</v>
      </c>
      <c r="AD303" s="158"/>
      <c r="AE303" s="159"/>
      <c r="AF303" s="159"/>
      <c r="AG303" s="159"/>
      <c r="AH303" s="159"/>
      <c r="AI303" s="159"/>
      <c r="AJ303" s="159"/>
      <c r="AK303" s="159" t="s">
        <v>2600</v>
      </c>
      <c r="AL303" s="159"/>
      <c r="AM303" s="159"/>
      <c r="AN303" s="159" t="s">
        <v>786</v>
      </c>
      <c r="AO303" s="172" t="s">
        <v>115</v>
      </c>
      <c r="AP303" s="172"/>
      <c r="AQ303" s="172"/>
      <c r="AR303" s="178" t="s">
        <v>2618</v>
      </c>
      <c r="AS303" s="178" t="s">
        <v>2618</v>
      </c>
      <c r="BD303" s="185" t="s">
        <v>1442</v>
      </c>
      <c r="BE303" s="156" t="s">
        <v>2304</v>
      </c>
      <c r="BF303" s="159" t="s">
        <v>1508</v>
      </c>
      <c r="BG303" s="159" t="s">
        <v>129</v>
      </c>
      <c r="BH303" s="159" t="s">
        <v>46</v>
      </c>
      <c r="BI303" s="159" t="s">
        <v>41</v>
      </c>
      <c r="BJ303" s="156">
        <v>1</v>
      </c>
      <c r="BK303" s="156"/>
      <c r="BL303" s="156"/>
    </row>
    <row r="304" spans="1:70">
      <c r="A304" s="184" t="str">
        <f t="shared" si="4"/>
        <v>22509300</v>
      </c>
      <c r="B304" s="164" t="s">
        <v>293</v>
      </c>
      <c r="C304" s="158" t="s">
        <v>3150</v>
      </c>
      <c r="D304" s="159" t="s">
        <v>292</v>
      </c>
      <c r="E304" s="226" t="s">
        <v>3381</v>
      </c>
      <c r="F304" s="158" t="s">
        <v>295</v>
      </c>
      <c r="G304" s="167">
        <v>37608</v>
      </c>
      <c r="H304" s="167" t="s">
        <v>3425</v>
      </c>
      <c r="I304" s="159" t="s">
        <v>2569</v>
      </c>
      <c r="J304" s="159" t="s">
        <v>2619</v>
      </c>
      <c r="K304" s="159" t="s">
        <v>81</v>
      </c>
      <c r="L304" s="159" t="s">
        <v>294</v>
      </c>
      <c r="M304" s="158" t="s">
        <v>2626</v>
      </c>
      <c r="N304" s="158" t="s">
        <v>2623</v>
      </c>
      <c r="O304" s="159" t="s">
        <v>2757</v>
      </c>
      <c r="P304" s="159" t="s">
        <v>2757</v>
      </c>
      <c r="Q304" s="159" t="s">
        <v>2860</v>
      </c>
      <c r="R304" s="159" t="s">
        <v>2863</v>
      </c>
      <c r="S304" s="159"/>
      <c r="T304" s="159" t="s">
        <v>686</v>
      </c>
      <c r="U304" s="158" t="s">
        <v>2622</v>
      </c>
      <c r="V304" s="158" t="s">
        <v>2625</v>
      </c>
      <c r="W304" s="159" t="s">
        <v>2666</v>
      </c>
      <c r="X304" s="159" t="s">
        <v>2662</v>
      </c>
      <c r="Y304" s="159" t="s">
        <v>2840</v>
      </c>
      <c r="Z304" s="159" t="s">
        <v>2863</v>
      </c>
      <c r="AA304" s="159"/>
      <c r="AB304" s="167">
        <v>45926</v>
      </c>
      <c r="AC304" s="159" t="s">
        <v>45</v>
      </c>
      <c r="AD304" s="158"/>
      <c r="AE304" s="159"/>
      <c r="AF304" s="159"/>
      <c r="AG304" s="159" t="s">
        <v>3487</v>
      </c>
      <c r="AH304" s="159"/>
      <c r="AI304" s="159"/>
      <c r="AJ304" s="159"/>
      <c r="AK304" s="159" t="s">
        <v>2600</v>
      </c>
      <c r="AL304" s="159"/>
      <c r="AM304" s="159"/>
      <c r="AN304" s="185" t="s">
        <v>275</v>
      </c>
      <c r="AO304" s="172" t="s">
        <v>63</v>
      </c>
      <c r="AP304" s="172"/>
      <c r="AQ304" s="172"/>
      <c r="AR304" s="178" t="s">
        <v>2618</v>
      </c>
      <c r="AS304" s="178" t="s">
        <v>2618</v>
      </c>
      <c r="BD304" s="159"/>
      <c r="BF304" s="156"/>
      <c r="BG304" s="159" t="s">
        <v>45</v>
      </c>
      <c r="BH304" s="159" t="s">
        <v>72</v>
      </c>
      <c r="BI304" s="159" t="s">
        <v>41</v>
      </c>
      <c r="BJ304" s="156">
        <v>3</v>
      </c>
      <c r="BK304" s="156"/>
      <c r="BL304" s="156"/>
    </row>
    <row r="305" spans="1:70" s="190" customFormat="1">
      <c r="A305" s="184" t="str">
        <f t="shared" si="4"/>
        <v>32509301</v>
      </c>
      <c r="B305" s="158" t="s">
        <v>790</v>
      </c>
      <c r="C305" s="158" t="s">
        <v>3151</v>
      </c>
      <c r="D305" s="159" t="s">
        <v>788</v>
      </c>
      <c r="E305" s="159"/>
      <c r="F305" s="158" t="s">
        <v>792</v>
      </c>
      <c r="G305" s="167">
        <v>33885</v>
      </c>
      <c r="H305" s="167"/>
      <c r="I305" s="159" t="s">
        <v>2569</v>
      </c>
      <c r="J305" s="159" t="s">
        <v>2619</v>
      </c>
      <c r="K305" s="159" t="s">
        <v>302</v>
      </c>
      <c r="L305" s="159" t="s">
        <v>791</v>
      </c>
      <c r="M305" s="158" t="s">
        <v>2626</v>
      </c>
      <c r="N305" s="158" t="s">
        <v>2627</v>
      </c>
      <c r="O305" s="159" t="s">
        <v>2758</v>
      </c>
      <c r="P305" s="159" t="s">
        <v>2811</v>
      </c>
      <c r="Q305" s="159" t="s">
        <v>2846</v>
      </c>
      <c r="R305" s="159" t="s">
        <v>2863</v>
      </c>
      <c r="S305" s="159"/>
      <c r="T305" s="159" t="s">
        <v>791</v>
      </c>
      <c r="U305" s="158" t="s">
        <v>2626</v>
      </c>
      <c r="V305" s="158" t="s">
        <v>2627</v>
      </c>
      <c r="W305" s="159" t="s">
        <v>2758</v>
      </c>
      <c r="X305" s="159" t="s">
        <v>2811</v>
      </c>
      <c r="Y305" s="159" t="s">
        <v>2846</v>
      </c>
      <c r="Z305" s="159" t="s">
        <v>2863</v>
      </c>
      <c r="AA305" s="159"/>
      <c r="AB305" s="167">
        <v>45929</v>
      </c>
      <c r="AC305" s="159" t="s">
        <v>71</v>
      </c>
      <c r="AD305" s="158"/>
      <c r="AE305" s="159"/>
      <c r="AF305" s="159"/>
      <c r="AG305" s="159"/>
      <c r="AH305" s="159"/>
      <c r="AI305" s="159"/>
      <c r="AJ305" s="159"/>
      <c r="AK305" s="159" t="s">
        <v>2600</v>
      </c>
      <c r="AL305" s="159"/>
      <c r="AM305" s="159"/>
      <c r="AN305" s="159" t="s">
        <v>786</v>
      </c>
      <c r="AO305" s="172" t="s">
        <v>115</v>
      </c>
      <c r="AP305" s="172"/>
      <c r="AQ305" s="172"/>
      <c r="AR305" s="178" t="s">
        <v>2618</v>
      </c>
      <c r="AS305" s="178" t="s">
        <v>2618</v>
      </c>
      <c r="AT305" s="178"/>
      <c r="AU305" s="159"/>
      <c r="AV305" s="159"/>
      <c r="AW305" s="159"/>
      <c r="AX305" s="159"/>
      <c r="AY305" s="159"/>
      <c r="AZ305" s="159"/>
      <c r="BA305" s="159"/>
      <c r="BB305" s="159"/>
      <c r="BC305" s="159"/>
      <c r="BD305" s="185" t="s">
        <v>789</v>
      </c>
      <c r="BE305" s="156"/>
      <c r="BF305" s="156"/>
      <c r="BG305" s="159" t="s">
        <v>71</v>
      </c>
      <c r="BH305" s="159" t="s">
        <v>46</v>
      </c>
      <c r="BI305" s="159" t="s">
        <v>41</v>
      </c>
      <c r="BJ305" s="156">
        <v>1</v>
      </c>
      <c r="BK305" s="156" t="s">
        <v>2240</v>
      </c>
      <c r="BL305" s="156"/>
      <c r="BM305" s="162"/>
      <c r="BN305" s="162"/>
      <c r="BO305" s="162"/>
      <c r="BP305" s="162"/>
      <c r="BQ305" s="162"/>
      <c r="BR305" s="162"/>
    </row>
    <row r="306" spans="1:70" s="190" customFormat="1">
      <c r="A306" s="184" t="str">
        <f t="shared" si="4"/>
        <v>32509302</v>
      </c>
      <c r="B306" s="158" t="s">
        <v>795</v>
      </c>
      <c r="C306" s="158" t="s">
        <v>3152</v>
      </c>
      <c r="D306" s="159" t="s">
        <v>794</v>
      </c>
      <c r="E306" s="159"/>
      <c r="F306" s="158" t="s">
        <v>797</v>
      </c>
      <c r="G306" s="167">
        <v>34063</v>
      </c>
      <c r="H306" s="167"/>
      <c r="I306" s="159" t="s">
        <v>2569</v>
      </c>
      <c r="J306" s="159" t="s">
        <v>2619</v>
      </c>
      <c r="K306" s="159" t="s">
        <v>302</v>
      </c>
      <c r="L306" s="159" t="s">
        <v>796</v>
      </c>
      <c r="M306" s="158" t="s">
        <v>2628</v>
      </c>
      <c r="N306" s="158" t="s">
        <v>2625</v>
      </c>
      <c r="O306" s="159" t="s">
        <v>2732</v>
      </c>
      <c r="P306" s="159" t="s">
        <v>2732</v>
      </c>
      <c r="Q306" s="159" t="s">
        <v>2840</v>
      </c>
      <c r="R306" s="159" t="s">
        <v>2863</v>
      </c>
      <c r="S306" s="159"/>
      <c r="T306" s="159" t="s">
        <v>796</v>
      </c>
      <c r="U306" s="158" t="s">
        <v>2628</v>
      </c>
      <c r="V306" s="158" t="s">
        <v>2625</v>
      </c>
      <c r="W306" s="159" t="s">
        <v>2732</v>
      </c>
      <c r="X306" s="159" t="s">
        <v>2732</v>
      </c>
      <c r="Y306" s="159" t="s">
        <v>2840</v>
      </c>
      <c r="Z306" s="159" t="s">
        <v>2863</v>
      </c>
      <c r="AA306" s="159"/>
      <c r="AB306" s="167">
        <v>45929</v>
      </c>
      <c r="AC306" s="159" t="s">
        <v>71</v>
      </c>
      <c r="AD306" s="158"/>
      <c r="AE306" s="159"/>
      <c r="AF306" s="159"/>
      <c r="AG306" s="159"/>
      <c r="AH306" s="159"/>
      <c r="AI306" s="159"/>
      <c r="AJ306" s="159"/>
      <c r="AK306" s="159" t="s">
        <v>2600</v>
      </c>
      <c r="AL306" s="159"/>
      <c r="AM306" s="159"/>
      <c r="AN306" s="159" t="s">
        <v>786</v>
      </c>
      <c r="AO306" s="172" t="s">
        <v>78</v>
      </c>
      <c r="AP306" s="172"/>
      <c r="AQ306" s="172"/>
      <c r="AR306" s="178" t="s">
        <v>2618</v>
      </c>
      <c r="AS306" s="178" t="s">
        <v>2618</v>
      </c>
      <c r="AT306" s="178"/>
      <c r="AU306" s="159"/>
      <c r="AV306" s="159"/>
      <c r="AW306" s="159"/>
      <c r="AX306" s="159"/>
      <c r="AY306" s="159"/>
      <c r="AZ306" s="159"/>
      <c r="BA306" s="159"/>
      <c r="BB306" s="159"/>
      <c r="BC306" s="159"/>
      <c r="BD306" s="185" t="s">
        <v>787</v>
      </c>
      <c r="BE306" s="156" t="s">
        <v>987</v>
      </c>
      <c r="BF306" s="159" t="s">
        <v>855</v>
      </c>
      <c r="BG306" s="159" t="s">
        <v>71</v>
      </c>
      <c r="BH306" s="159" t="s">
        <v>46</v>
      </c>
      <c r="BI306" s="159" t="s">
        <v>41</v>
      </c>
      <c r="BJ306" s="156">
        <v>1</v>
      </c>
      <c r="BK306" s="156" t="s">
        <v>2241</v>
      </c>
      <c r="BL306" s="156"/>
      <c r="BM306" s="162"/>
      <c r="BN306" s="162"/>
      <c r="BO306" s="162"/>
      <c r="BP306" s="162"/>
      <c r="BQ306" s="162"/>
      <c r="BR306" s="162"/>
    </row>
    <row r="307" spans="1:70" s="165" customFormat="1">
      <c r="A307" s="184" t="str">
        <f t="shared" si="4"/>
        <v>32509303</v>
      </c>
      <c r="B307" s="158" t="s">
        <v>800</v>
      </c>
      <c r="C307" s="158" t="s">
        <v>3153</v>
      </c>
      <c r="D307" s="159" t="s">
        <v>799</v>
      </c>
      <c r="E307" s="159"/>
      <c r="F307" s="158" t="s">
        <v>802</v>
      </c>
      <c r="G307" s="167">
        <v>33302</v>
      </c>
      <c r="H307" s="167"/>
      <c r="I307" s="159" t="s">
        <v>2569</v>
      </c>
      <c r="J307" s="159" t="s">
        <v>2619</v>
      </c>
      <c r="K307" s="159" t="s">
        <v>217</v>
      </c>
      <c r="L307" s="159" t="s">
        <v>801</v>
      </c>
      <c r="M307" s="158" t="s">
        <v>2621</v>
      </c>
      <c r="N307" s="158" t="s">
        <v>2621</v>
      </c>
      <c r="O307" s="159" t="s">
        <v>2759</v>
      </c>
      <c r="P307" s="159" t="s">
        <v>2659</v>
      </c>
      <c r="Q307" s="159" t="s">
        <v>2840</v>
      </c>
      <c r="R307" s="159" t="s">
        <v>2863</v>
      </c>
      <c r="S307" s="159"/>
      <c r="T307" s="159" t="s">
        <v>801</v>
      </c>
      <c r="U307" s="158" t="s">
        <v>2621</v>
      </c>
      <c r="V307" s="158" t="s">
        <v>2621</v>
      </c>
      <c r="W307" s="159" t="s">
        <v>2759</v>
      </c>
      <c r="X307" s="159" t="s">
        <v>2659</v>
      </c>
      <c r="Y307" s="159" t="s">
        <v>2840</v>
      </c>
      <c r="Z307" s="159" t="s">
        <v>2863</v>
      </c>
      <c r="AA307" s="159"/>
      <c r="AB307" s="167">
        <v>45929</v>
      </c>
      <c r="AC307" s="159" t="s">
        <v>71</v>
      </c>
      <c r="AD307" s="158"/>
      <c r="AE307" s="159"/>
      <c r="AF307" s="159"/>
      <c r="AG307" s="159"/>
      <c r="AH307" s="159"/>
      <c r="AI307" s="159"/>
      <c r="AJ307" s="159"/>
      <c r="AK307" s="159" t="s">
        <v>2600</v>
      </c>
      <c r="AL307" s="159"/>
      <c r="AM307" s="159"/>
      <c r="AN307" s="159" t="s">
        <v>786</v>
      </c>
      <c r="AO307" s="172" t="s">
        <v>115</v>
      </c>
      <c r="AP307" s="172"/>
      <c r="AQ307" s="172"/>
      <c r="AR307" s="178" t="s">
        <v>2618</v>
      </c>
      <c r="AS307" s="178" t="s">
        <v>2618</v>
      </c>
      <c r="AT307" s="178"/>
      <c r="AU307" s="159"/>
      <c r="AV307" s="159"/>
      <c r="AW307" s="159"/>
      <c r="AX307" s="159"/>
      <c r="AY307" s="159"/>
      <c r="AZ307" s="159"/>
      <c r="BA307" s="159"/>
      <c r="BB307" s="159"/>
      <c r="BC307" s="159"/>
      <c r="BD307" s="185" t="s">
        <v>789</v>
      </c>
      <c r="BE307" s="156"/>
      <c r="BF307" s="159"/>
      <c r="BG307" s="159" t="s">
        <v>71</v>
      </c>
      <c r="BH307" s="159" t="s">
        <v>46</v>
      </c>
      <c r="BI307" s="159" t="s">
        <v>41</v>
      </c>
      <c r="BJ307" s="156">
        <v>1</v>
      </c>
      <c r="BK307" s="156" t="s">
        <v>2242</v>
      </c>
      <c r="BL307" s="156"/>
      <c r="BM307" s="162"/>
      <c r="BN307" s="162"/>
      <c r="BO307" s="162"/>
      <c r="BP307" s="162"/>
      <c r="BQ307" s="162"/>
      <c r="BR307" s="162"/>
    </row>
    <row r="308" spans="1:70" s="165" customFormat="1">
      <c r="A308" s="184" t="str">
        <f t="shared" si="4"/>
        <v>42509304</v>
      </c>
      <c r="B308" s="164"/>
      <c r="C308" s="158" t="s">
        <v>3154</v>
      </c>
      <c r="D308" s="159" t="s">
        <v>2011</v>
      </c>
      <c r="E308" s="159"/>
      <c r="F308" s="164"/>
      <c r="G308" s="167"/>
      <c r="H308" s="167"/>
      <c r="I308" s="159" t="s">
        <v>2569</v>
      </c>
      <c r="J308" s="159" t="s">
        <v>2619</v>
      </c>
      <c r="K308" s="159"/>
      <c r="L308" s="159"/>
      <c r="M308" s="158"/>
      <c r="N308" s="158"/>
      <c r="O308" s="159"/>
      <c r="P308" s="159"/>
      <c r="Q308" s="159" t="s">
        <v>2840</v>
      </c>
      <c r="R308" s="159" t="s">
        <v>2863</v>
      </c>
      <c r="S308" s="159"/>
      <c r="T308" s="159"/>
      <c r="U308" s="158"/>
      <c r="V308" s="158"/>
      <c r="W308" s="159"/>
      <c r="X308" s="159"/>
      <c r="Y308" s="159"/>
      <c r="Z308" s="159"/>
      <c r="AA308" s="159"/>
      <c r="AB308" s="167">
        <v>45929</v>
      </c>
      <c r="AC308" s="159" t="s">
        <v>129</v>
      </c>
      <c r="AD308" s="158"/>
      <c r="AE308" s="159"/>
      <c r="AF308" s="159"/>
      <c r="AG308" s="159"/>
      <c r="AH308" s="159"/>
      <c r="AI308" s="159"/>
      <c r="AJ308" s="159"/>
      <c r="AK308" s="159" t="s">
        <v>2600</v>
      </c>
      <c r="AL308" s="159"/>
      <c r="AM308" s="159"/>
      <c r="AN308" s="159" t="s">
        <v>786</v>
      </c>
      <c r="AO308" s="172" t="s">
        <v>115</v>
      </c>
      <c r="AP308" s="172"/>
      <c r="AQ308" s="172"/>
      <c r="AR308" s="178" t="s">
        <v>2618</v>
      </c>
      <c r="AS308" s="178" t="s">
        <v>2618</v>
      </c>
      <c r="AT308" s="178"/>
      <c r="AU308" s="159"/>
      <c r="AV308" s="159"/>
      <c r="AW308" s="159"/>
      <c r="AX308" s="159"/>
      <c r="AY308" s="159"/>
      <c r="AZ308" s="159"/>
      <c r="BA308" s="159"/>
      <c r="BB308" s="159"/>
      <c r="BC308" s="159"/>
      <c r="BD308" s="185" t="s">
        <v>1442</v>
      </c>
      <c r="BE308" s="156" t="s">
        <v>1920</v>
      </c>
      <c r="BF308" s="159" t="s">
        <v>1539</v>
      </c>
      <c r="BG308" s="159" t="s">
        <v>129</v>
      </c>
      <c r="BH308" s="159" t="s">
        <v>46</v>
      </c>
      <c r="BI308" s="159" t="s">
        <v>41</v>
      </c>
      <c r="BJ308" s="156">
        <v>1</v>
      </c>
      <c r="BK308" s="156"/>
      <c r="BL308" s="156"/>
      <c r="BM308" s="162"/>
      <c r="BN308" s="162"/>
      <c r="BO308" s="162"/>
      <c r="BP308" s="162"/>
      <c r="BQ308" s="162"/>
      <c r="BR308" s="162"/>
    </row>
    <row r="309" spans="1:70" s="190" customFormat="1">
      <c r="A309" s="184" t="str">
        <f t="shared" si="4"/>
        <v>22510305</v>
      </c>
      <c r="B309" s="164" t="s">
        <v>773</v>
      </c>
      <c r="C309" s="158" t="s">
        <v>3155</v>
      </c>
      <c r="D309" s="159" t="s">
        <v>772</v>
      </c>
      <c r="E309" s="226" t="s">
        <v>3385</v>
      </c>
      <c r="F309" s="158" t="s">
        <v>775</v>
      </c>
      <c r="G309" s="167">
        <v>37721</v>
      </c>
      <c r="H309" s="167" t="s">
        <v>3396</v>
      </c>
      <c r="I309" s="159" t="s">
        <v>2569</v>
      </c>
      <c r="J309" s="159" t="s">
        <v>2619</v>
      </c>
      <c r="K309" s="159" t="s">
        <v>81</v>
      </c>
      <c r="L309" s="159" t="s">
        <v>774</v>
      </c>
      <c r="M309" s="158" t="s">
        <v>2628</v>
      </c>
      <c r="N309" s="158" t="s">
        <v>2623</v>
      </c>
      <c r="O309" s="159" t="s">
        <v>2760</v>
      </c>
      <c r="P309" s="159" t="s">
        <v>2824</v>
      </c>
      <c r="Q309" s="159" t="s">
        <v>2854</v>
      </c>
      <c r="R309" s="159" t="s">
        <v>2863</v>
      </c>
      <c r="S309" s="159"/>
      <c r="T309" s="159"/>
      <c r="U309" s="158"/>
      <c r="V309" s="158"/>
      <c r="W309" s="159"/>
      <c r="X309" s="159"/>
      <c r="Y309" s="159"/>
      <c r="Z309" s="159"/>
      <c r="AA309" s="159"/>
      <c r="AB309" s="167">
        <v>45932</v>
      </c>
      <c r="AC309" s="159" t="s">
        <v>45</v>
      </c>
      <c r="AD309" s="158"/>
      <c r="AE309" s="159"/>
      <c r="AF309" s="159"/>
      <c r="AG309" s="159"/>
      <c r="AH309" s="159"/>
      <c r="AI309" s="159"/>
      <c r="AJ309" s="159"/>
      <c r="AK309" s="159" t="s">
        <v>2600</v>
      </c>
      <c r="AL309" s="159"/>
      <c r="AM309" s="159"/>
      <c r="AN309" s="185" t="s">
        <v>684</v>
      </c>
      <c r="AO309" s="172" t="s">
        <v>54</v>
      </c>
      <c r="AP309" s="172"/>
      <c r="AQ309" s="172"/>
      <c r="AR309" s="178" t="s">
        <v>2618</v>
      </c>
      <c r="AS309" s="178" t="s">
        <v>2618</v>
      </c>
      <c r="AT309" s="178"/>
      <c r="AU309" s="159"/>
      <c r="AV309" s="159"/>
      <c r="AW309" s="159"/>
      <c r="AX309" s="159"/>
      <c r="AY309" s="159"/>
      <c r="AZ309" s="159"/>
      <c r="BA309" s="159"/>
      <c r="BB309" s="159"/>
      <c r="BC309" s="159"/>
      <c r="BD309" s="185" t="s">
        <v>684</v>
      </c>
      <c r="BE309" s="156"/>
      <c r="BF309" s="156"/>
      <c r="BG309" s="159" t="s">
        <v>45</v>
      </c>
      <c r="BH309" s="159" t="s">
        <v>72</v>
      </c>
      <c r="BI309" s="159" t="s">
        <v>41</v>
      </c>
      <c r="BJ309" s="156">
        <v>3</v>
      </c>
      <c r="BK309" s="156"/>
      <c r="BL309" s="156"/>
      <c r="BM309" s="162"/>
      <c r="BN309" s="162"/>
      <c r="BO309" s="162"/>
      <c r="BP309" s="162"/>
      <c r="BQ309" s="162"/>
      <c r="BR309" s="162"/>
    </row>
    <row r="310" spans="1:70" s="165" customFormat="1">
      <c r="A310" s="184" t="str">
        <f t="shared" si="4"/>
        <v>42510306</v>
      </c>
      <c r="B310" s="158" t="s">
        <v>2007</v>
      </c>
      <c r="C310" s="158" t="s">
        <v>3156</v>
      </c>
      <c r="D310" s="159" t="s">
        <v>2006</v>
      </c>
      <c r="E310" s="159"/>
      <c r="F310" s="158" t="s">
        <v>2008</v>
      </c>
      <c r="G310" s="167">
        <v>38892</v>
      </c>
      <c r="H310" s="167" t="s">
        <v>693</v>
      </c>
      <c r="I310" s="159" t="s">
        <v>2569</v>
      </c>
      <c r="J310" s="159" t="s">
        <v>2619</v>
      </c>
      <c r="K310" s="159" t="s">
        <v>81</v>
      </c>
      <c r="L310" s="159" t="s">
        <v>2003</v>
      </c>
      <c r="M310" s="158" t="s">
        <v>2623</v>
      </c>
      <c r="N310" s="158" t="s">
        <v>2623</v>
      </c>
      <c r="O310" s="159" t="s">
        <v>2699</v>
      </c>
      <c r="P310" s="159" t="s">
        <v>2659</v>
      </c>
      <c r="Q310" s="159" t="s">
        <v>2840</v>
      </c>
      <c r="R310" s="159" t="s">
        <v>2863</v>
      </c>
      <c r="S310" s="159"/>
      <c r="T310" s="159" t="s">
        <v>2003</v>
      </c>
      <c r="U310" s="158" t="s">
        <v>2623</v>
      </c>
      <c r="V310" s="158" t="s">
        <v>2623</v>
      </c>
      <c r="W310" s="159" t="s">
        <v>2699</v>
      </c>
      <c r="X310" s="159" t="s">
        <v>2659</v>
      </c>
      <c r="Y310" s="159" t="s">
        <v>2840</v>
      </c>
      <c r="Z310" s="159" t="s">
        <v>2863</v>
      </c>
      <c r="AA310" s="159"/>
      <c r="AB310" s="167">
        <v>45932</v>
      </c>
      <c r="AC310" s="159" t="s">
        <v>129</v>
      </c>
      <c r="AD310" s="158"/>
      <c r="AE310" s="159"/>
      <c r="AF310" s="159"/>
      <c r="AG310" s="159"/>
      <c r="AH310" s="159"/>
      <c r="AI310" s="159"/>
      <c r="AJ310" s="159"/>
      <c r="AK310" s="159" t="s">
        <v>2600</v>
      </c>
      <c r="AL310" s="159"/>
      <c r="AM310" s="159"/>
      <c r="AN310" s="159" t="s">
        <v>786</v>
      </c>
      <c r="AO310" s="172" t="s">
        <v>115</v>
      </c>
      <c r="AP310" s="172"/>
      <c r="AQ310" s="172"/>
      <c r="AR310" s="178" t="s">
        <v>2618</v>
      </c>
      <c r="AS310" s="178" t="s">
        <v>2618</v>
      </c>
      <c r="AT310" s="178"/>
      <c r="AU310" s="159"/>
      <c r="AV310" s="159"/>
      <c r="AW310" s="159"/>
      <c r="AX310" s="159"/>
      <c r="AY310" s="159"/>
      <c r="AZ310" s="159"/>
      <c r="BA310" s="159"/>
      <c r="BB310" s="159"/>
      <c r="BC310" s="159"/>
      <c r="BD310" s="185" t="s">
        <v>1002</v>
      </c>
      <c r="BE310" s="156" t="s">
        <v>2457</v>
      </c>
      <c r="BF310" s="159" t="s">
        <v>1042</v>
      </c>
      <c r="BG310" s="159" t="s">
        <v>129</v>
      </c>
      <c r="BH310" s="159" t="s">
        <v>46</v>
      </c>
      <c r="BI310" s="159" t="s">
        <v>41</v>
      </c>
      <c r="BJ310" s="156">
        <v>3</v>
      </c>
      <c r="BK310" s="156"/>
      <c r="BL310" s="156"/>
      <c r="BM310" s="162"/>
      <c r="BN310" s="162"/>
      <c r="BO310" s="162"/>
      <c r="BP310" s="162"/>
      <c r="BQ310" s="162"/>
      <c r="BR310" s="162"/>
    </row>
    <row r="311" spans="1:70" s="156" customFormat="1">
      <c r="A311" s="184" t="str">
        <f t="shared" si="4"/>
        <v>32510307</v>
      </c>
      <c r="B311" s="164" t="s">
        <v>2116</v>
      </c>
      <c r="C311" s="158" t="s">
        <v>3157</v>
      </c>
      <c r="D311" s="159" t="s">
        <v>2115</v>
      </c>
      <c r="E311" s="159"/>
      <c r="F311" s="164" t="s">
        <v>2118</v>
      </c>
      <c r="G311" s="167">
        <v>39311</v>
      </c>
      <c r="H311" s="167"/>
      <c r="I311" s="159" t="s">
        <v>2570</v>
      </c>
      <c r="J311" s="159" t="s">
        <v>2619</v>
      </c>
      <c r="K311" s="159" t="s">
        <v>81</v>
      </c>
      <c r="L311" s="159" t="s">
        <v>2117</v>
      </c>
      <c r="M311" s="158" t="s">
        <v>2623</v>
      </c>
      <c r="N311" s="158" t="s">
        <v>2629</v>
      </c>
      <c r="O311" s="159" t="s">
        <v>2761</v>
      </c>
      <c r="P311" s="159" t="s">
        <v>2825</v>
      </c>
      <c r="Q311" s="159" t="s">
        <v>2840</v>
      </c>
      <c r="R311" s="159" t="s">
        <v>2863</v>
      </c>
      <c r="S311" s="159"/>
      <c r="T311" s="159" t="s">
        <v>2117</v>
      </c>
      <c r="U311" s="158" t="s">
        <v>2623</v>
      </c>
      <c r="V311" s="158" t="s">
        <v>2629</v>
      </c>
      <c r="W311" s="159" t="s">
        <v>2761</v>
      </c>
      <c r="X311" s="159" t="s">
        <v>2825</v>
      </c>
      <c r="Y311" s="159" t="s">
        <v>2840</v>
      </c>
      <c r="Z311" s="159" t="s">
        <v>2863</v>
      </c>
      <c r="AA311" s="159"/>
      <c r="AB311" s="167">
        <v>45936</v>
      </c>
      <c r="AC311" s="159" t="s">
        <v>71</v>
      </c>
      <c r="AD311" s="158"/>
      <c r="AE311" s="159"/>
      <c r="AF311" s="159"/>
      <c r="AG311" s="159"/>
      <c r="AH311" s="159"/>
      <c r="AI311" s="159"/>
      <c r="AJ311" s="159"/>
      <c r="AK311" s="159" t="s">
        <v>2600</v>
      </c>
      <c r="AL311" s="159"/>
      <c r="AM311" s="159"/>
      <c r="AN311" s="185" t="s">
        <v>2065</v>
      </c>
      <c r="AO311" s="162" t="s">
        <v>2104</v>
      </c>
      <c r="AP311" s="162"/>
      <c r="AQ311" s="162"/>
      <c r="AR311" s="178" t="s">
        <v>2618</v>
      </c>
      <c r="AS311" s="178" t="s">
        <v>2618</v>
      </c>
      <c r="AT311" s="178"/>
      <c r="AU311" s="159"/>
      <c r="AV311" s="159"/>
      <c r="AW311" s="159"/>
      <c r="AX311" s="159"/>
      <c r="AY311" s="159"/>
      <c r="AZ311" s="159"/>
      <c r="BA311" s="159"/>
      <c r="BB311" s="159"/>
      <c r="BC311" s="159"/>
      <c r="BD311" s="159"/>
      <c r="BE311" s="159" t="s">
        <v>2468</v>
      </c>
      <c r="BG311" s="159" t="s">
        <v>71</v>
      </c>
      <c r="BH311" s="159" t="s">
        <v>32</v>
      </c>
      <c r="BI311" s="159" t="s">
        <v>41</v>
      </c>
      <c r="BJ311" s="156">
        <v>1</v>
      </c>
      <c r="BM311" s="162"/>
      <c r="BN311" s="162"/>
      <c r="BO311" s="162"/>
      <c r="BP311" s="162"/>
      <c r="BQ311" s="162"/>
      <c r="BR311" s="162"/>
    </row>
    <row r="312" spans="1:70">
      <c r="A312" s="184" t="str">
        <f t="shared" si="4"/>
        <v>42510308</v>
      </c>
      <c r="B312" s="158" t="s">
        <v>1976</v>
      </c>
      <c r="C312" s="158" t="s">
        <v>3158</v>
      </c>
      <c r="D312" s="159" t="s">
        <v>1975</v>
      </c>
      <c r="E312" s="159"/>
      <c r="F312" s="158" t="s">
        <v>1978</v>
      </c>
      <c r="G312" s="167">
        <v>38800</v>
      </c>
      <c r="H312" s="167"/>
      <c r="I312" s="159" t="s">
        <v>2569</v>
      </c>
      <c r="J312" s="159" t="s">
        <v>2619</v>
      </c>
      <c r="K312" s="159" t="s">
        <v>81</v>
      </c>
      <c r="L312" s="159" t="s">
        <v>1977</v>
      </c>
      <c r="M312" s="158" t="s">
        <v>2625</v>
      </c>
      <c r="N312" s="158" t="s">
        <v>2621</v>
      </c>
      <c r="O312" s="159" t="s">
        <v>2659</v>
      </c>
      <c r="P312" s="159" t="s">
        <v>2659</v>
      </c>
      <c r="Q312" s="159" t="s">
        <v>2840</v>
      </c>
      <c r="R312" s="159" t="s">
        <v>2863</v>
      </c>
      <c r="S312" s="159"/>
      <c r="T312" s="159" t="s">
        <v>1977</v>
      </c>
      <c r="U312" s="158" t="s">
        <v>2625</v>
      </c>
      <c r="V312" s="158" t="s">
        <v>2621</v>
      </c>
      <c r="W312" s="159" t="s">
        <v>2659</v>
      </c>
      <c r="X312" s="159" t="s">
        <v>2659</v>
      </c>
      <c r="Y312" s="159" t="s">
        <v>2840</v>
      </c>
      <c r="Z312" s="159" t="s">
        <v>2863</v>
      </c>
      <c r="AA312" s="159"/>
      <c r="AB312" s="167">
        <v>45938</v>
      </c>
      <c r="AC312" s="159" t="s">
        <v>129</v>
      </c>
      <c r="AD312" s="158"/>
      <c r="AE312" s="159"/>
      <c r="AF312" s="159"/>
      <c r="AG312" s="159"/>
      <c r="AH312" s="159"/>
      <c r="AI312" s="159"/>
      <c r="AJ312" s="159"/>
      <c r="AK312" s="159" t="s">
        <v>2600</v>
      </c>
      <c r="AL312" s="159"/>
      <c r="AM312" s="159"/>
      <c r="AN312" s="159" t="s">
        <v>786</v>
      </c>
      <c r="AO312" s="172" t="s">
        <v>115</v>
      </c>
      <c r="AP312" s="172"/>
      <c r="AQ312" s="172"/>
      <c r="AR312" s="178" t="s">
        <v>2618</v>
      </c>
      <c r="AS312" s="178" t="s">
        <v>2618</v>
      </c>
      <c r="BD312" s="185" t="s">
        <v>1442</v>
      </c>
      <c r="BE312" s="156" t="s">
        <v>1920</v>
      </c>
      <c r="BF312" s="159" t="s">
        <v>1508</v>
      </c>
      <c r="BG312" s="159" t="s">
        <v>129</v>
      </c>
      <c r="BH312" s="159" t="s">
        <v>46</v>
      </c>
      <c r="BI312" s="159" t="s">
        <v>41</v>
      </c>
      <c r="BJ312" s="156">
        <v>1</v>
      </c>
      <c r="BK312" s="156"/>
      <c r="BL312" s="156"/>
    </row>
    <row r="313" spans="1:70">
      <c r="A313" s="184" t="str">
        <f t="shared" si="4"/>
        <v>22510309</v>
      </c>
      <c r="B313" s="158" t="s">
        <v>2387</v>
      </c>
      <c r="C313" s="158" t="s">
        <v>3159</v>
      </c>
      <c r="D313" s="159" t="s">
        <v>1001</v>
      </c>
      <c r="E313" s="222" t="s">
        <v>3444</v>
      </c>
      <c r="F313" s="158" t="s">
        <v>3445</v>
      </c>
      <c r="G313" s="167">
        <v>34791</v>
      </c>
      <c r="H313" s="167" t="s">
        <v>2742</v>
      </c>
      <c r="I313" s="159" t="s">
        <v>2569</v>
      </c>
      <c r="J313" s="159" t="s">
        <v>2619</v>
      </c>
      <c r="K313" s="159" t="s">
        <v>302</v>
      </c>
      <c r="L313" s="159" t="s">
        <v>2388</v>
      </c>
      <c r="M313" s="158"/>
      <c r="N313" s="158"/>
      <c r="O313" s="159" t="s">
        <v>2762</v>
      </c>
      <c r="P313" s="159" t="s">
        <v>2762</v>
      </c>
      <c r="Q313" s="159" t="s">
        <v>2855</v>
      </c>
      <c r="R313" s="159" t="s">
        <v>2873</v>
      </c>
      <c r="S313" s="159"/>
      <c r="T313" s="159"/>
      <c r="U313" s="158"/>
      <c r="V313" s="158"/>
      <c r="W313" s="159"/>
      <c r="X313" s="159"/>
      <c r="Y313" s="159"/>
      <c r="Z313" s="159"/>
      <c r="AA313" s="159"/>
      <c r="AB313" s="167">
        <v>45943</v>
      </c>
      <c r="AC313" s="159" t="s">
        <v>45</v>
      </c>
      <c r="AD313" s="158"/>
      <c r="AE313" s="159"/>
      <c r="AF313" s="159"/>
      <c r="AG313" s="159" t="s">
        <v>3487</v>
      </c>
      <c r="AH313" s="159"/>
      <c r="AI313" s="159"/>
      <c r="AJ313" s="159"/>
      <c r="AK313" s="159" t="s">
        <v>2600</v>
      </c>
      <c r="AL313" s="159"/>
      <c r="AM313" s="159"/>
      <c r="AN313" s="159" t="s">
        <v>786</v>
      </c>
      <c r="AO313" s="172" t="s">
        <v>683</v>
      </c>
      <c r="AP313" s="172"/>
      <c r="AQ313" s="172"/>
      <c r="AR313" s="178" t="s">
        <v>2618</v>
      </c>
      <c r="AS313" s="178" t="s">
        <v>2618</v>
      </c>
      <c r="BD313" s="185" t="s">
        <v>1002</v>
      </c>
      <c r="BF313" s="159"/>
      <c r="BG313" s="159" t="s">
        <v>45</v>
      </c>
      <c r="BH313" s="159" t="s">
        <v>72</v>
      </c>
      <c r="BI313" s="159" t="s">
        <v>41</v>
      </c>
      <c r="BJ313" s="156">
        <v>1</v>
      </c>
      <c r="BK313" s="156"/>
      <c r="BL313" s="156"/>
    </row>
    <row r="314" spans="1:70">
      <c r="A314" s="184" t="str">
        <f t="shared" si="4"/>
        <v>32510310</v>
      </c>
      <c r="B314" s="164" t="s">
        <v>2173</v>
      </c>
      <c r="C314" s="158" t="s">
        <v>3160</v>
      </c>
      <c r="D314" s="159" t="s">
        <v>2172</v>
      </c>
      <c r="E314" s="159"/>
      <c r="F314" s="164" t="s">
        <v>2175</v>
      </c>
      <c r="G314" s="167">
        <v>36799</v>
      </c>
      <c r="H314" s="167" t="s">
        <v>3396</v>
      </c>
      <c r="I314" s="159" t="s">
        <v>2569</v>
      </c>
      <c r="J314" s="159" t="s">
        <v>2619</v>
      </c>
      <c r="K314" s="159" t="s">
        <v>302</v>
      </c>
      <c r="L314" s="159" t="s">
        <v>2174</v>
      </c>
      <c r="M314" s="158" t="s">
        <v>2621</v>
      </c>
      <c r="N314" s="158" t="s">
        <v>2642</v>
      </c>
      <c r="O314" s="159" t="s">
        <v>2739</v>
      </c>
      <c r="P314" s="159" t="s">
        <v>2818</v>
      </c>
      <c r="Q314" s="159" t="s">
        <v>2842</v>
      </c>
      <c r="R314" s="159" t="s">
        <v>2863</v>
      </c>
      <c r="S314" s="159"/>
      <c r="T314" s="159" t="s">
        <v>2174</v>
      </c>
      <c r="U314" s="158" t="s">
        <v>2621</v>
      </c>
      <c r="V314" s="158" t="s">
        <v>2642</v>
      </c>
      <c r="W314" s="159" t="s">
        <v>2739</v>
      </c>
      <c r="X314" s="159" t="s">
        <v>2818</v>
      </c>
      <c r="Y314" s="159" t="s">
        <v>2842</v>
      </c>
      <c r="Z314" s="159" t="s">
        <v>2863</v>
      </c>
      <c r="AA314" s="159"/>
      <c r="AB314" s="167">
        <v>45947</v>
      </c>
      <c r="AC314" s="159" t="s">
        <v>71</v>
      </c>
      <c r="AD314" s="158"/>
      <c r="AE314" s="159"/>
      <c r="AF314" s="159"/>
      <c r="AG314" s="159"/>
      <c r="AH314" s="159"/>
      <c r="AI314" s="159"/>
      <c r="AJ314" s="159"/>
      <c r="AK314" s="159" t="s">
        <v>2600</v>
      </c>
      <c r="AL314" s="159"/>
      <c r="AM314" s="159"/>
      <c r="AN314" s="185" t="s">
        <v>2065</v>
      </c>
      <c r="AO314" s="162" t="s">
        <v>2104</v>
      </c>
      <c r="AR314" s="178" t="s">
        <v>2618</v>
      </c>
      <c r="AS314" s="178" t="s">
        <v>2618</v>
      </c>
      <c r="BD314" s="159"/>
      <c r="BE314" s="159" t="s">
        <v>2468</v>
      </c>
      <c r="BF314" s="156"/>
      <c r="BG314" s="159" t="s">
        <v>71</v>
      </c>
      <c r="BH314" s="159" t="s">
        <v>46</v>
      </c>
      <c r="BI314" s="159" t="s">
        <v>41</v>
      </c>
      <c r="BJ314" s="156">
        <v>1</v>
      </c>
      <c r="BK314" s="156"/>
      <c r="BL314" s="156"/>
    </row>
    <row r="315" spans="1:70" s="190" customFormat="1">
      <c r="A315" s="184" t="str">
        <f t="shared" si="4"/>
        <v>32510311</v>
      </c>
      <c r="B315" s="164" t="s">
        <v>2139</v>
      </c>
      <c r="C315" s="158" t="s">
        <v>3161</v>
      </c>
      <c r="D315" s="159" t="s">
        <v>2138</v>
      </c>
      <c r="E315" s="222" t="s">
        <v>3446</v>
      </c>
      <c r="F315" s="164" t="s">
        <v>2141</v>
      </c>
      <c r="G315" s="167">
        <v>37829</v>
      </c>
      <c r="H315" s="167" t="s">
        <v>2824</v>
      </c>
      <c r="I315" s="159" t="s">
        <v>2569</v>
      </c>
      <c r="J315" s="159" t="s">
        <v>2619</v>
      </c>
      <c r="K315" s="159" t="s">
        <v>81</v>
      </c>
      <c r="L315" s="159" t="s">
        <v>2140</v>
      </c>
      <c r="M315" s="158" t="s">
        <v>2622</v>
      </c>
      <c r="N315" s="158" t="s">
        <v>2647</v>
      </c>
      <c r="O315" s="159" t="s">
        <v>2763</v>
      </c>
      <c r="P315" s="159" t="s">
        <v>2763</v>
      </c>
      <c r="Q315" s="159" t="s">
        <v>2854</v>
      </c>
      <c r="R315" s="159" t="s">
        <v>2863</v>
      </c>
      <c r="S315" s="159"/>
      <c r="T315" s="159"/>
      <c r="U315" s="158"/>
      <c r="V315" s="158"/>
      <c r="W315" s="159"/>
      <c r="X315" s="159"/>
      <c r="Y315" s="159"/>
      <c r="Z315" s="159"/>
      <c r="AA315" s="159"/>
      <c r="AB315" s="167">
        <v>45950</v>
      </c>
      <c r="AC315" s="159" t="s">
        <v>71</v>
      </c>
      <c r="AD315" s="158"/>
      <c r="AE315" s="159"/>
      <c r="AF315" s="159"/>
      <c r="AG315" s="159"/>
      <c r="AH315" s="159"/>
      <c r="AI315" s="159"/>
      <c r="AJ315" s="159"/>
      <c r="AK315" s="159" t="s">
        <v>2600</v>
      </c>
      <c r="AL315" s="159"/>
      <c r="AM315" s="159"/>
      <c r="AN315" s="185" t="s">
        <v>2065</v>
      </c>
      <c r="AO315" s="162" t="s">
        <v>2104</v>
      </c>
      <c r="AP315" s="162"/>
      <c r="AQ315" s="162"/>
      <c r="AR315" s="178" t="s">
        <v>2618</v>
      </c>
      <c r="AS315" s="178" t="s">
        <v>2618</v>
      </c>
      <c r="AT315" s="178"/>
      <c r="AU315" s="159"/>
      <c r="AV315" s="159"/>
      <c r="AW315" s="159"/>
      <c r="AX315" s="159"/>
      <c r="AY315" s="159"/>
      <c r="AZ315" s="159"/>
      <c r="BA315" s="159"/>
      <c r="BB315" s="159"/>
      <c r="BC315" s="159"/>
      <c r="BD315" s="159"/>
      <c r="BE315" s="159" t="s">
        <v>2469</v>
      </c>
      <c r="BF315" s="156"/>
      <c r="BG315" s="159" t="s">
        <v>71</v>
      </c>
      <c r="BH315" s="159" t="s">
        <v>72</v>
      </c>
      <c r="BI315" s="159" t="s">
        <v>41</v>
      </c>
      <c r="BJ315" s="156">
        <v>1</v>
      </c>
      <c r="BK315" s="156"/>
      <c r="BL315" s="156"/>
      <c r="BM315" s="162"/>
      <c r="BN315" s="162"/>
      <c r="BO315" s="162"/>
      <c r="BP315" s="162"/>
      <c r="BQ315" s="162"/>
      <c r="BR315" s="162"/>
    </row>
    <row r="316" spans="1:70" s="190" customFormat="1">
      <c r="A316" s="184" t="str">
        <f t="shared" si="4"/>
        <v>22510312</v>
      </c>
      <c r="B316" s="164" t="s">
        <v>2381</v>
      </c>
      <c r="C316" s="158" t="s">
        <v>3162</v>
      </c>
      <c r="D316" s="156" t="s">
        <v>2298</v>
      </c>
      <c r="E316" s="224" t="s">
        <v>3447</v>
      </c>
      <c r="F316" s="164" t="s">
        <v>3448</v>
      </c>
      <c r="G316" s="170">
        <v>37022</v>
      </c>
      <c r="H316" s="170" t="s">
        <v>2866</v>
      </c>
      <c r="I316" s="159" t="s">
        <v>2569</v>
      </c>
      <c r="J316" s="159" t="s">
        <v>2620</v>
      </c>
      <c r="K316" s="159" t="s">
        <v>81</v>
      </c>
      <c r="L316" s="159" t="s">
        <v>2382</v>
      </c>
      <c r="M316" s="158" t="s">
        <v>2646</v>
      </c>
      <c r="N316" s="158" t="s">
        <v>2652</v>
      </c>
      <c r="O316" s="159" t="s">
        <v>2764</v>
      </c>
      <c r="P316" s="159" t="s">
        <v>2826</v>
      </c>
      <c r="Q316" s="159" t="s">
        <v>2865</v>
      </c>
      <c r="R316" s="159" t="s">
        <v>2866</v>
      </c>
      <c r="S316" s="159"/>
      <c r="T316" s="159"/>
      <c r="U316" s="158"/>
      <c r="V316" s="158"/>
      <c r="W316" s="159"/>
      <c r="X316" s="159"/>
      <c r="Y316" s="159"/>
      <c r="Z316" s="159"/>
      <c r="AA316" s="159"/>
      <c r="AB316" s="170">
        <v>45951</v>
      </c>
      <c r="AC316" s="159" t="s">
        <v>45</v>
      </c>
      <c r="AD316" s="158"/>
      <c r="AE316" s="159"/>
      <c r="AF316" s="159"/>
      <c r="AG316" s="159"/>
      <c r="AH316" s="159"/>
      <c r="AI316" s="159"/>
      <c r="AJ316" s="159"/>
      <c r="AK316" s="159" t="s">
        <v>2600</v>
      </c>
      <c r="AL316" s="159"/>
      <c r="AM316" s="159"/>
      <c r="AN316" s="156" t="s">
        <v>543</v>
      </c>
      <c r="AO316" s="162" t="s">
        <v>54</v>
      </c>
      <c r="AP316" s="162"/>
      <c r="AQ316" s="162"/>
      <c r="AR316" s="178" t="s">
        <v>2618</v>
      </c>
      <c r="AS316" s="178" t="s">
        <v>2618</v>
      </c>
      <c r="AT316" s="178"/>
      <c r="AU316" s="159"/>
      <c r="AV316" s="159"/>
      <c r="AW316" s="159"/>
      <c r="AX316" s="159"/>
      <c r="AY316" s="159"/>
      <c r="AZ316" s="159"/>
      <c r="BA316" s="159"/>
      <c r="BB316" s="159"/>
      <c r="BC316" s="159"/>
      <c r="BD316" s="156" t="s">
        <v>530</v>
      </c>
      <c r="BE316" s="156"/>
      <c r="BF316" s="156"/>
      <c r="BG316" s="159" t="s">
        <v>45</v>
      </c>
      <c r="BH316" s="156" t="s">
        <v>72</v>
      </c>
      <c r="BI316" s="159" t="s">
        <v>41</v>
      </c>
      <c r="BJ316" s="156">
        <v>2</v>
      </c>
      <c r="BK316" s="156"/>
      <c r="BL316" s="156"/>
      <c r="BM316" s="162"/>
      <c r="BN316" s="162"/>
      <c r="BO316" s="162"/>
      <c r="BP316" s="162"/>
      <c r="BQ316" s="162"/>
      <c r="BR316" s="162"/>
    </row>
    <row r="317" spans="1:70">
      <c r="A317" s="184" t="str">
        <f t="shared" si="4"/>
        <v>22510313</v>
      </c>
      <c r="B317" s="158" t="s">
        <v>700</v>
      </c>
      <c r="C317" s="158" t="s">
        <v>3163</v>
      </c>
      <c r="D317" s="159" t="s">
        <v>699</v>
      </c>
      <c r="E317" s="226" t="s">
        <v>3386</v>
      </c>
      <c r="F317" s="158" t="s">
        <v>702</v>
      </c>
      <c r="G317" s="167">
        <v>34914</v>
      </c>
      <c r="H317" s="167" t="s">
        <v>3404</v>
      </c>
      <c r="I317" s="159" t="s">
        <v>2569</v>
      </c>
      <c r="J317" s="159" t="s">
        <v>2619</v>
      </c>
      <c r="K317" s="159" t="s">
        <v>81</v>
      </c>
      <c r="L317" s="159" t="s">
        <v>701</v>
      </c>
      <c r="M317" s="158" t="s">
        <v>2622</v>
      </c>
      <c r="N317" s="158" t="s">
        <v>2621</v>
      </c>
      <c r="O317" s="159" t="s">
        <v>2765</v>
      </c>
      <c r="P317" s="159" t="s">
        <v>2827</v>
      </c>
      <c r="Q317" s="159" t="s">
        <v>2856</v>
      </c>
      <c r="R317" s="159" t="s">
        <v>2863</v>
      </c>
      <c r="S317" s="159"/>
      <c r="T317" s="159"/>
      <c r="U317" s="158"/>
      <c r="V317" s="158"/>
      <c r="W317" s="159"/>
      <c r="X317" s="159"/>
      <c r="Y317" s="159"/>
      <c r="Z317" s="159"/>
      <c r="AA317" s="159"/>
      <c r="AB317" s="167">
        <v>45957</v>
      </c>
      <c r="AC317" s="159" t="s">
        <v>45</v>
      </c>
      <c r="AD317" s="158"/>
      <c r="AE317" s="159"/>
      <c r="AF317" s="159"/>
      <c r="AG317" s="159"/>
      <c r="AH317" s="159"/>
      <c r="AI317" s="159"/>
      <c r="AJ317" s="159"/>
      <c r="AK317" s="159" t="s">
        <v>2600</v>
      </c>
      <c r="AL317" s="159"/>
      <c r="AM317" s="159"/>
      <c r="AN317" s="159" t="s">
        <v>684</v>
      </c>
      <c r="AO317" s="172" t="s">
        <v>54</v>
      </c>
      <c r="AP317" s="172"/>
      <c r="AQ317" s="172"/>
      <c r="AR317" s="178" t="s">
        <v>2618</v>
      </c>
      <c r="AS317" s="178" t="s">
        <v>2618</v>
      </c>
      <c r="BD317" s="159" t="s">
        <v>689</v>
      </c>
      <c r="BF317" s="159"/>
      <c r="BG317" s="159" t="s">
        <v>45</v>
      </c>
      <c r="BH317" s="159" t="s">
        <v>46</v>
      </c>
      <c r="BI317" s="159" t="s">
        <v>41</v>
      </c>
      <c r="BJ317" s="156">
        <v>3</v>
      </c>
      <c r="BK317" s="156"/>
      <c r="BL317" s="156"/>
      <c r="BM317" s="165"/>
      <c r="BN317" s="165"/>
      <c r="BO317" s="165"/>
      <c r="BP317" s="165"/>
      <c r="BQ317" s="165"/>
      <c r="BR317" s="165"/>
    </row>
    <row r="318" spans="1:70">
      <c r="A318" s="184" t="str">
        <f t="shared" si="4"/>
        <v>22510314</v>
      </c>
      <c r="B318" s="158" t="s">
        <v>546</v>
      </c>
      <c r="C318" s="158" t="s">
        <v>3164</v>
      </c>
      <c r="D318" s="159" t="s">
        <v>545</v>
      </c>
      <c r="E318" s="226" t="s">
        <v>3383</v>
      </c>
      <c r="F318" s="158" t="s">
        <v>548</v>
      </c>
      <c r="G318" s="167">
        <v>37504</v>
      </c>
      <c r="H318" s="167" t="s">
        <v>693</v>
      </c>
      <c r="I318" s="159" t="s">
        <v>2570</v>
      </c>
      <c r="J318" s="159" t="s">
        <v>2619</v>
      </c>
      <c r="K318" s="159" t="s">
        <v>81</v>
      </c>
      <c r="L318" s="159" t="s">
        <v>547</v>
      </c>
      <c r="M318" s="158" t="s">
        <v>2622</v>
      </c>
      <c r="N318" s="158" t="s">
        <v>2650</v>
      </c>
      <c r="O318" s="159" t="s">
        <v>2766</v>
      </c>
      <c r="P318" s="159" t="s">
        <v>2828</v>
      </c>
      <c r="Q318" s="159" t="s">
        <v>2840</v>
      </c>
      <c r="R318" s="159" t="s">
        <v>2863</v>
      </c>
      <c r="S318" s="159"/>
      <c r="T318" s="159" t="s">
        <v>547</v>
      </c>
      <c r="U318" s="158" t="s">
        <v>2622</v>
      </c>
      <c r="V318" s="158" t="s">
        <v>2650</v>
      </c>
      <c r="W318" s="159" t="s">
        <v>2766</v>
      </c>
      <c r="X318" s="159" t="s">
        <v>2828</v>
      </c>
      <c r="Y318" s="159" t="s">
        <v>2840</v>
      </c>
      <c r="Z318" s="159" t="s">
        <v>2863</v>
      </c>
      <c r="AA318" s="159"/>
      <c r="AB318" s="167">
        <v>45958</v>
      </c>
      <c r="AC318" s="159" t="s">
        <v>45</v>
      </c>
      <c r="AD318" s="158"/>
      <c r="AE318" s="159"/>
      <c r="AF318" s="159"/>
      <c r="AG318" s="159" t="s">
        <v>3489</v>
      </c>
      <c r="AH318" s="157">
        <v>46231</v>
      </c>
      <c r="AI318" s="159"/>
      <c r="AJ318" s="159"/>
      <c r="AK318" s="159" t="s">
        <v>2600</v>
      </c>
      <c r="AL318" s="159"/>
      <c r="AM318" s="159"/>
      <c r="AN318" s="159" t="s">
        <v>543</v>
      </c>
      <c r="AO318" s="172" t="s">
        <v>54</v>
      </c>
      <c r="AP318" s="172"/>
      <c r="AQ318" s="172"/>
      <c r="AR318" s="178" t="s">
        <v>2618</v>
      </c>
      <c r="AS318" s="178" t="s">
        <v>2618</v>
      </c>
      <c r="BD318" s="156"/>
      <c r="BF318" s="159"/>
      <c r="BG318" s="159" t="s">
        <v>45</v>
      </c>
      <c r="BH318" s="159" t="s">
        <v>72</v>
      </c>
      <c r="BI318" s="159" t="s">
        <v>41</v>
      </c>
      <c r="BJ318" s="156">
        <v>2</v>
      </c>
      <c r="BK318" s="156"/>
      <c r="BL318" s="156"/>
    </row>
    <row r="319" spans="1:70" s="190" customFormat="1">
      <c r="A319" s="184" t="str">
        <f t="shared" si="4"/>
        <v>22511315</v>
      </c>
      <c r="B319" s="164" t="s">
        <v>2373</v>
      </c>
      <c r="C319" s="158" t="s">
        <v>3165</v>
      </c>
      <c r="D319" s="187" t="s">
        <v>540</v>
      </c>
      <c r="E319" s="227" t="s">
        <v>3384</v>
      </c>
      <c r="F319" s="164" t="s">
        <v>3449</v>
      </c>
      <c r="G319" s="188">
        <v>36941</v>
      </c>
      <c r="H319" s="188" t="s">
        <v>528</v>
      </c>
      <c r="I319" s="159" t="s">
        <v>2570</v>
      </c>
      <c r="J319" s="159" t="s">
        <v>2620</v>
      </c>
      <c r="K319" s="159" t="s">
        <v>81</v>
      </c>
      <c r="L319" s="187" t="s">
        <v>541</v>
      </c>
      <c r="M319" s="158" t="s">
        <v>2626</v>
      </c>
      <c r="N319" s="158" t="s">
        <v>2629</v>
      </c>
      <c r="O319" s="159" t="s">
        <v>2767</v>
      </c>
      <c r="P319" s="159" t="s">
        <v>2779</v>
      </c>
      <c r="Q319" s="159" t="s">
        <v>2846</v>
      </c>
      <c r="R319" s="159" t="s">
        <v>2863</v>
      </c>
      <c r="S319" s="159"/>
      <c r="T319" s="159"/>
      <c r="U319" s="158"/>
      <c r="V319" s="158"/>
      <c r="W319" s="159"/>
      <c r="X319" s="159"/>
      <c r="Y319" s="159"/>
      <c r="Z319" s="159"/>
      <c r="AA319" s="159"/>
      <c r="AB319" s="188">
        <v>45971</v>
      </c>
      <c r="AC319" s="159" t="s">
        <v>45</v>
      </c>
      <c r="AD319" s="158" t="s">
        <v>3450</v>
      </c>
      <c r="AE319" s="159"/>
      <c r="AF319" s="159"/>
      <c r="AG319" s="159" t="s">
        <v>3487</v>
      </c>
      <c r="AH319" s="159"/>
      <c r="AI319" s="159"/>
      <c r="AJ319" s="159"/>
      <c r="AK319" s="159" t="s">
        <v>2600</v>
      </c>
      <c r="AL319" s="159"/>
      <c r="AM319" s="159"/>
      <c r="AN319" s="185" t="s">
        <v>536</v>
      </c>
      <c r="AO319" s="172" t="s">
        <v>54</v>
      </c>
      <c r="AP319" s="172"/>
      <c r="AQ319" s="172"/>
      <c r="AR319" s="178" t="s">
        <v>2618</v>
      </c>
      <c r="AS319" s="178" t="s">
        <v>2618</v>
      </c>
      <c r="AT319" s="178"/>
      <c r="AU319" s="159"/>
      <c r="AV319" s="159"/>
      <c r="AW319" s="159"/>
      <c r="AX319" s="159"/>
      <c r="AY319" s="159"/>
      <c r="AZ319" s="159"/>
      <c r="BA319" s="159"/>
      <c r="BB319" s="159"/>
      <c r="BC319" s="159"/>
      <c r="BD319" s="159"/>
      <c r="BE319" s="156"/>
      <c r="BF319" s="156"/>
      <c r="BG319" s="159" t="s">
        <v>45</v>
      </c>
      <c r="BH319" s="159" t="s">
        <v>72</v>
      </c>
      <c r="BI319" s="159" t="s">
        <v>41</v>
      </c>
      <c r="BJ319" s="156">
        <v>2</v>
      </c>
      <c r="BK319" s="156"/>
      <c r="BL319" s="156"/>
      <c r="BM319" s="162"/>
      <c r="BN319" s="162"/>
      <c r="BO319" s="162"/>
      <c r="BP319" s="162"/>
      <c r="BQ319" s="162"/>
      <c r="BR319" s="162"/>
    </row>
    <row r="320" spans="1:70" s="165" customFormat="1">
      <c r="A320" s="184" t="str">
        <f t="shared" si="4"/>
        <v>32511316</v>
      </c>
      <c r="B320" s="158" t="s">
        <v>678</v>
      </c>
      <c r="C320" s="158" t="s">
        <v>3166</v>
      </c>
      <c r="D320" s="159" t="s">
        <v>677</v>
      </c>
      <c r="E320" s="222" t="s">
        <v>3451</v>
      </c>
      <c r="F320" s="158" t="s">
        <v>680</v>
      </c>
      <c r="G320" s="167">
        <v>37817</v>
      </c>
      <c r="H320" s="167" t="s">
        <v>3452</v>
      </c>
      <c r="I320" s="159" t="s">
        <v>2569</v>
      </c>
      <c r="J320" s="159" t="s">
        <v>2619</v>
      </c>
      <c r="K320" s="159" t="s">
        <v>81</v>
      </c>
      <c r="L320" s="159" t="s">
        <v>679</v>
      </c>
      <c r="M320" s="158" t="s">
        <v>2626</v>
      </c>
      <c r="N320" s="158" t="s">
        <v>2623</v>
      </c>
      <c r="O320" s="159" t="s">
        <v>2768</v>
      </c>
      <c r="P320" s="159" t="s">
        <v>2768</v>
      </c>
      <c r="Q320" s="159" t="s">
        <v>2857</v>
      </c>
      <c r="R320" s="159" t="s">
        <v>2863</v>
      </c>
      <c r="S320" s="159"/>
      <c r="T320" s="159"/>
      <c r="U320" s="158"/>
      <c r="V320" s="158"/>
      <c r="W320" s="159"/>
      <c r="X320" s="159"/>
      <c r="Y320" s="159"/>
      <c r="Z320" s="159"/>
      <c r="AA320" s="159"/>
      <c r="AB320" s="167">
        <v>45975</v>
      </c>
      <c r="AC320" s="159" t="s">
        <v>71</v>
      </c>
      <c r="AD320" s="158"/>
      <c r="AE320" s="159"/>
      <c r="AF320" s="159"/>
      <c r="AG320" s="159"/>
      <c r="AH320" s="159"/>
      <c r="AI320" s="159"/>
      <c r="AJ320" s="159"/>
      <c r="AK320" s="159" t="s">
        <v>2600</v>
      </c>
      <c r="AL320" s="159"/>
      <c r="AM320" s="159"/>
      <c r="AN320" s="159" t="s">
        <v>553</v>
      </c>
      <c r="AO320" s="172" t="s">
        <v>564</v>
      </c>
      <c r="AP320" s="172"/>
      <c r="AQ320" s="172"/>
      <c r="AR320" s="178" t="s">
        <v>2618</v>
      </c>
      <c r="AS320" s="178" t="s">
        <v>2618</v>
      </c>
      <c r="AT320" s="178"/>
      <c r="AU320" s="159"/>
      <c r="AV320" s="159"/>
      <c r="AW320" s="159"/>
      <c r="AX320" s="159"/>
      <c r="AY320" s="159"/>
      <c r="AZ320" s="159"/>
      <c r="BA320" s="159"/>
      <c r="BB320" s="159"/>
      <c r="BC320" s="159"/>
      <c r="BD320" s="156" t="s">
        <v>584</v>
      </c>
      <c r="BE320" s="156" t="s">
        <v>639</v>
      </c>
      <c r="BF320" s="159"/>
      <c r="BG320" s="159" t="s">
        <v>71</v>
      </c>
      <c r="BH320" s="159" t="s">
        <v>299</v>
      </c>
      <c r="BI320" s="159" t="s">
        <v>41</v>
      </c>
      <c r="BJ320" s="156">
        <v>3</v>
      </c>
      <c r="BK320" s="156"/>
      <c r="BL320" s="156"/>
      <c r="BM320" s="162"/>
      <c r="BN320" s="162"/>
      <c r="BO320" s="162"/>
      <c r="BP320" s="162"/>
      <c r="BQ320" s="162"/>
      <c r="BR320" s="162"/>
    </row>
    <row r="321" spans="1:70" s="190" customFormat="1">
      <c r="A321" s="184" t="str">
        <f t="shared" si="4"/>
        <v>22511317</v>
      </c>
      <c r="B321" s="164" t="s">
        <v>2347</v>
      </c>
      <c r="C321" s="158" t="s">
        <v>3167</v>
      </c>
      <c r="D321" s="159" t="s">
        <v>552</v>
      </c>
      <c r="E321" s="222" t="s">
        <v>3453</v>
      </c>
      <c r="F321" s="158" t="s">
        <v>3454</v>
      </c>
      <c r="G321" s="167">
        <v>34805</v>
      </c>
      <c r="H321" s="167" t="s">
        <v>2872</v>
      </c>
      <c r="I321" s="159" t="s">
        <v>2569</v>
      </c>
      <c r="J321" s="159" t="s">
        <v>2619</v>
      </c>
      <c r="K321" s="187" t="s">
        <v>217</v>
      </c>
      <c r="L321" s="201" t="s">
        <v>555</v>
      </c>
      <c r="M321" s="201" t="s">
        <v>2629</v>
      </c>
      <c r="N321" s="201" t="s">
        <v>2628</v>
      </c>
      <c r="O321" s="187" t="s">
        <v>2769</v>
      </c>
      <c r="P321" s="187" t="s">
        <v>2769</v>
      </c>
      <c r="Q321" s="159" t="s">
        <v>2858</v>
      </c>
      <c r="R321" s="159" t="s">
        <v>2864</v>
      </c>
      <c r="S321" s="187"/>
      <c r="T321" s="187"/>
      <c r="U321" s="201"/>
      <c r="V321" s="201"/>
      <c r="W321" s="187"/>
      <c r="X321" s="187"/>
      <c r="Y321" s="187"/>
      <c r="Z321" s="187"/>
      <c r="AA321" s="187"/>
      <c r="AB321" s="167">
        <v>45981</v>
      </c>
      <c r="AC321" s="159" t="s">
        <v>45</v>
      </c>
      <c r="AD321" s="158"/>
      <c r="AE321" s="159"/>
      <c r="AF321" s="159"/>
      <c r="AG321" s="159"/>
      <c r="AH321" s="159"/>
      <c r="AI321" s="159"/>
      <c r="AJ321" s="159"/>
      <c r="AK321" s="159" t="s">
        <v>2600</v>
      </c>
      <c r="AL321" s="159"/>
      <c r="AM321" s="159"/>
      <c r="AN321" s="159" t="s">
        <v>553</v>
      </c>
      <c r="AO321" s="172" t="s">
        <v>683</v>
      </c>
      <c r="AP321" s="172"/>
      <c r="AQ321" s="172"/>
      <c r="AR321" s="178" t="s">
        <v>2618</v>
      </c>
      <c r="AS321" s="178" t="s">
        <v>2618</v>
      </c>
      <c r="AT321" s="178"/>
      <c r="AU321" s="159"/>
      <c r="AV321" s="159"/>
      <c r="AW321" s="159"/>
      <c r="AX321" s="159"/>
      <c r="AY321" s="159"/>
      <c r="AZ321" s="159"/>
      <c r="BA321" s="159"/>
      <c r="BB321" s="159"/>
      <c r="BC321" s="159"/>
      <c r="BD321" s="159"/>
      <c r="BE321" s="202"/>
      <c r="BF321" s="159"/>
      <c r="BG321" s="159" t="s">
        <v>45</v>
      </c>
      <c r="BH321" s="159" t="s">
        <v>72</v>
      </c>
      <c r="BI321" s="159" t="s">
        <v>41</v>
      </c>
      <c r="BJ321" s="156">
        <v>3</v>
      </c>
      <c r="BK321" s="156"/>
      <c r="BL321" s="156"/>
      <c r="BM321" s="162"/>
      <c r="BN321" s="162"/>
      <c r="BO321" s="162"/>
      <c r="BP321" s="162"/>
      <c r="BQ321" s="162"/>
      <c r="BR321" s="162"/>
    </row>
    <row r="322" spans="1:70">
      <c r="A322" s="184" t="str">
        <f t="shared" si="4"/>
        <v>32511318</v>
      </c>
      <c r="B322" s="158" t="s">
        <v>2370</v>
      </c>
      <c r="C322" s="158" t="s">
        <v>3168</v>
      </c>
      <c r="D322" s="159" t="s">
        <v>465</v>
      </c>
      <c r="E322" s="159"/>
      <c r="F322" s="158"/>
      <c r="G322" s="167">
        <v>36821</v>
      </c>
      <c r="H322" s="167"/>
      <c r="I322" s="159" t="s">
        <v>2569</v>
      </c>
      <c r="J322" s="159" t="s">
        <v>2619</v>
      </c>
      <c r="K322" s="158" t="s">
        <v>2372</v>
      </c>
      <c r="L322" s="159" t="s">
        <v>2371</v>
      </c>
      <c r="M322" s="158" t="s">
        <v>2632</v>
      </c>
      <c r="N322" s="158" t="s">
        <v>2622</v>
      </c>
      <c r="O322" s="158" t="s">
        <v>2662</v>
      </c>
      <c r="P322" s="158" t="s">
        <v>2662</v>
      </c>
      <c r="Q322" s="159" t="s">
        <v>2840</v>
      </c>
      <c r="R322" s="159" t="s">
        <v>2863</v>
      </c>
      <c r="S322" s="158"/>
      <c r="T322" s="159" t="s">
        <v>2371</v>
      </c>
      <c r="U322" s="158" t="s">
        <v>2632</v>
      </c>
      <c r="V322" s="158" t="s">
        <v>2622</v>
      </c>
      <c r="W322" s="158" t="s">
        <v>2662</v>
      </c>
      <c r="X322" s="158" t="s">
        <v>2662</v>
      </c>
      <c r="Y322" s="159" t="s">
        <v>2840</v>
      </c>
      <c r="Z322" s="159" t="s">
        <v>2863</v>
      </c>
      <c r="AA322" s="158"/>
      <c r="AB322" s="167">
        <v>45986</v>
      </c>
      <c r="AC322" s="159" t="s">
        <v>71</v>
      </c>
      <c r="AD322" s="158"/>
      <c r="AE322" s="159"/>
      <c r="AF322" s="159"/>
      <c r="AG322" s="159"/>
      <c r="AH322" s="159"/>
      <c r="AI322" s="159"/>
      <c r="AJ322" s="159"/>
      <c r="AK322" s="159" t="s">
        <v>2600</v>
      </c>
      <c r="AL322" s="159"/>
      <c r="AM322" s="159"/>
      <c r="AN322" s="159" t="s">
        <v>392</v>
      </c>
      <c r="AO322" s="172" t="s">
        <v>115</v>
      </c>
      <c r="AP322" s="172"/>
      <c r="AQ322" s="172"/>
      <c r="AR322" s="178" t="s">
        <v>2618</v>
      </c>
      <c r="AS322" s="178" t="s">
        <v>2618</v>
      </c>
      <c r="BD322" s="159" t="s">
        <v>401</v>
      </c>
      <c r="BF322" s="159"/>
      <c r="BG322" s="159" t="s">
        <v>71</v>
      </c>
      <c r="BH322" s="159" t="s">
        <v>46</v>
      </c>
      <c r="BI322" s="159" t="s">
        <v>41</v>
      </c>
      <c r="BJ322" s="156">
        <v>1</v>
      </c>
      <c r="BK322" s="156"/>
      <c r="BL322" s="156"/>
    </row>
    <row r="323" spans="1:70">
      <c r="A323" s="184" t="str">
        <f t="shared" si="4"/>
        <v>42512319</v>
      </c>
      <c r="B323" s="203" t="s">
        <v>1950</v>
      </c>
      <c r="C323" s="158" t="s">
        <v>3169</v>
      </c>
      <c r="D323" s="159" t="s">
        <v>1948</v>
      </c>
      <c r="E323" s="159"/>
      <c r="F323" s="203" t="s">
        <v>1951</v>
      </c>
      <c r="G323" s="188">
        <v>36213</v>
      </c>
      <c r="H323" s="188"/>
      <c r="I323" s="159" t="s">
        <v>2569</v>
      </c>
      <c r="J323" s="159" t="s">
        <v>2619</v>
      </c>
      <c r="K323" s="204" t="s">
        <v>81</v>
      </c>
      <c r="L323" s="204" t="s">
        <v>471</v>
      </c>
      <c r="M323" s="203" t="s">
        <v>2623</v>
      </c>
      <c r="N323" s="203" t="s">
        <v>2623</v>
      </c>
      <c r="O323" s="204" t="s">
        <v>2662</v>
      </c>
      <c r="P323" s="158" t="s">
        <v>2662</v>
      </c>
      <c r="Q323" s="159" t="s">
        <v>2840</v>
      </c>
      <c r="R323" s="159" t="s">
        <v>2863</v>
      </c>
      <c r="S323" s="204"/>
      <c r="T323" s="204" t="s">
        <v>471</v>
      </c>
      <c r="U323" s="203" t="s">
        <v>2623</v>
      </c>
      <c r="V323" s="203" t="s">
        <v>2623</v>
      </c>
      <c r="W323" s="204" t="s">
        <v>2662</v>
      </c>
      <c r="X323" s="158" t="s">
        <v>2662</v>
      </c>
      <c r="Y323" s="159" t="s">
        <v>2840</v>
      </c>
      <c r="Z323" s="159" t="s">
        <v>2863</v>
      </c>
      <c r="AA323" s="204"/>
      <c r="AB323" s="167">
        <v>45994</v>
      </c>
      <c r="AC323" s="159" t="s">
        <v>129</v>
      </c>
      <c r="AD323" s="158"/>
      <c r="AE323" s="159"/>
      <c r="AF323" s="159"/>
      <c r="AG323" s="159"/>
      <c r="AH323" s="159"/>
      <c r="AI323" s="159"/>
      <c r="AJ323" s="159"/>
      <c r="AK323" s="159" t="s">
        <v>2600</v>
      </c>
      <c r="AL323" s="159"/>
      <c r="AM323" s="159"/>
      <c r="AN323" s="159" t="s">
        <v>786</v>
      </c>
      <c r="AO323" s="172" t="s">
        <v>115</v>
      </c>
      <c r="AP323" s="172"/>
      <c r="AQ323" s="172"/>
      <c r="AR323" s="178" t="s">
        <v>2618</v>
      </c>
      <c r="AS323" s="178" t="s">
        <v>2618</v>
      </c>
      <c r="BD323" s="185" t="s">
        <v>1002</v>
      </c>
      <c r="BE323" s="156" t="s">
        <v>1145</v>
      </c>
      <c r="BF323" s="159" t="s">
        <v>1049</v>
      </c>
      <c r="BG323" s="159" t="s">
        <v>129</v>
      </c>
      <c r="BH323" s="204" t="s">
        <v>46</v>
      </c>
      <c r="BI323" s="159" t="s">
        <v>41</v>
      </c>
      <c r="BJ323" s="156">
        <v>1</v>
      </c>
      <c r="BK323" s="156"/>
      <c r="BL323" s="156"/>
    </row>
    <row r="324" spans="1:70">
      <c r="A324" s="184" t="str">
        <f t="shared" si="4"/>
        <v>22512320</v>
      </c>
      <c r="B324" s="205" t="s">
        <v>2067</v>
      </c>
      <c r="C324" s="158" t="s">
        <v>3170</v>
      </c>
      <c r="D324" s="206" t="s">
        <v>2066</v>
      </c>
      <c r="E324" s="226" t="s">
        <v>3387</v>
      </c>
      <c r="F324" s="164" t="s">
        <v>2069</v>
      </c>
      <c r="G324" s="169">
        <v>34042</v>
      </c>
      <c r="H324" s="169" t="s">
        <v>693</v>
      </c>
      <c r="I324" s="159" t="s">
        <v>2569</v>
      </c>
      <c r="J324" s="159" t="s">
        <v>2619</v>
      </c>
      <c r="K324" s="160" t="s">
        <v>302</v>
      </c>
      <c r="L324" s="205" t="s">
        <v>2068</v>
      </c>
      <c r="M324" s="208" t="s">
        <v>2627</v>
      </c>
      <c r="N324" s="208" t="s">
        <v>2622</v>
      </c>
      <c r="O324" s="160" t="s">
        <v>2732</v>
      </c>
      <c r="P324" s="160" t="s">
        <v>2732</v>
      </c>
      <c r="Q324" s="159" t="s">
        <v>2840</v>
      </c>
      <c r="R324" s="159" t="s">
        <v>2863</v>
      </c>
      <c r="S324" s="160"/>
      <c r="T324" s="160"/>
      <c r="U324" s="208"/>
      <c r="V324" s="208"/>
      <c r="W324" s="160"/>
      <c r="X324" s="160"/>
      <c r="Y324" s="160"/>
      <c r="Z324" s="160"/>
      <c r="AA324" s="160"/>
      <c r="AB324" s="167">
        <v>46003</v>
      </c>
      <c r="AC324" s="159" t="s">
        <v>45</v>
      </c>
      <c r="AD324" s="158"/>
      <c r="AE324" s="159"/>
      <c r="AF324" s="159"/>
      <c r="AG324" s="159" t="s">
        <v>3487</v>
      </c>
      <c r="AH324" s="159"/>
      <c r="AI324" s="159"/>
      <c r="AJ324" s="159"/>
      <c r="AK324" s="159" t="s">
        <v>2600</v>
      </c>
      <c r="AL324" s="159"/>
      <c r="AM324" s="159"/>
      <c r="AN324" s="185" t="s">
        <v>2065</v>
      </c>
      <c r="AO324" s="162" t="s">
        <v>54</v>
      </c>
      <c r="AR324" s="178" t="s">
        <v>2618</v>
      </c>
      <c r="AS324" s="178" t="s">
        <v>2618</v>
      </c>
      <c r="BD324" s="185"/>
      <c r="BE324" s="185" t="s">
        <v>2474</v>
      </c>
      <c r="BF324" s="156"/>
      <c r="BG324" s="159" t="s">
        <v>45</v>
      </c>
      <c r="BH324" s="159" t="s">
        <v>72</v>
      </c>
      <c r="BI324" s="159" t="s">
        <v>41</v>
      </c>
      <c r="BJ324" s="156">
        <v>3</v>
      </c>
      <c r="BK324" s="156"/>
      <c r="BL324" s="156"/>
    </row>
    <row r="325" spans="1:70">
      <c r="A325" s="184" t="str">
        <f t="shared" si="4"/>
        <v>32512321</v>
      </c>
      <c r="B325" s="164" t="s">
        <v>2384</v>
      </c>
      <c r="C325" s="158" t="s">
        <v>3171</v>
      </c>
      <c r="D325" s="159" t="s">
        <v>2137</v>
      </c>
      <c r="E325" s="159"/>
      <c r="F325" s="207" t="s">
        <v>2386</v>
      </c>
      <c r="G325" s="167">
        <v>33745</v>
      </c>
      <c r="H325" s="167" t="s">
        <v>693</v>
      </c>
      <c r="I325" s="159" t="s">
        <v>2569</v>
      </c>
      <c r="J325" s="159" t="s">
        <v>2619</v>
      </c>
      <c r="K325" s="159" t="s">
        <v>2372</v>
      </c>
      <c r="L325" s="159" t="s">
        <v>2385</v>
      </c>
      <c r="M325" s="158" t="s">
        <v>2623</v>
      </c>
      <c r="N325" s="158" t="s">
        <v>2621</v>
      </c>
      <c r="O325" s="159" t="s">
        <v>2829</v>
      </c>
      <c r="P325" s="159" t="s">
        <v>2830</v>
      </c>
      <c r="Q325" s="159" t="s">
        <v>2840</v>
      </c>
      <c r="R325" s="159" t="s">
        <v>2863</v>
      </c>
      <c r="S325" s="159"/>
      <c r="T325" s="159"/>
      <c r="U325" s="158"/>
      <c r="V325" s="158"/>
      <c r="W325" s="159"/>
      <c r="X325" s="159"/>
      <c r="Y325" s="159"/>
      <c r="Z325" s="159"/>
      <c r="AA325" s="159"/>
      <c r="AB325" s="167">
        <v>46010</v>
      </c>
      <c r="AC325" s="159" t="s">
        <v>71</v>
      </c>
      <c r="AD325" s="158"/>
      <c r="AE325" s="159"/>
      <c r="AF325" s="159"/>
      <c r="AG325" s="159"/>
      <c r="AH325" s="159"/>
      <c r="AI325" s="159"/>
      <c r="AJ325" s="159"/>
      <c r="AK325" s="159" t="s">
        <v>2600</v>
      </c>
      <c r="AL325" s="159"/>
      <c r="AM325" s="159"/>
      <c r="AN325" s="185" t="s">
        <v>2065</v>
      </c>
      <c r="AO325" s="162" t="s">
        <v>2104</v>
      </c>
      <c r="AR325" s="178" t="s">
        <v>2618</v>
      </c>
      <c r="AS325" s="178" t="s">
        <v>2618</v>
      </c>
      <c r="BD325" s="159"/>
      <c r="BE325" s="159" t="s">
        <v>2468</v>
      </c>
      <c r="BF325" s="156"/>
      <c r="BG325" s="159" t="s">
        <v>71</v>
      </c>
      <c r="BH325" s="159" t="s">
        <v>2383</v>
      </c>
      <c r="BI325" s="159" t="s">
        <v>41</v>
      </c>
      <c r="BJ325" s="156">
        <v>1</v>
      </c>
      <c r="BK325" s="156"/>
      <c r="BL325" s="156"/>
    </row>
    <row r="326" spans="1:70" s="190" customFormat="1">
      <c r="A326" s="184" t="str">
        <f t="shared" ref="A326:A389" si="5">IF(AC326="Tetap","1",IF(AC326="Kontrak","2",IF(AC326="Harian Lepas","3",IF(AC326="Borongan","4"))))&amp;TEXT(AB326,"YY")&amp;TEXT(AB326,"MM")&amp;TEXT(C326,"00")</f>
        <v>42605322</v>
      </c>
      <c r="B326" s="176"/>
      <c r="C326" s="158" t="s">
        <v>3172</v>
      </c>
      <c r="D326" s="162" t="s">
        <v>2328</v>
      </c>
      <c r="E326" s="162"/>
      <c r="F326" s="156"/>
      <c r="G326" s="171">
        <v>37563</v>
      </c>
      <c r="H326" s="171"/>
      <c r="I326" s="159" t="s">
        <v>2569</v>
      </c>
      <c r="J326" s="159" t="s">
        <v>2619</v>
      </c>
      <c r="K326" s="159" t="s">
        <v>81</v>
      </c>
      <c r="L326" s="166"/>
      <c r="M326" s="158"/>
      <c r="N326" s="158"/>
      <c r="O326" s="159"/>
      <c r="P326" s="159"/>
      <c r="Q326" s="159" t="s">
        <v>2840</v>
      </c>
      <c r="R326" s="159" t="s">
        <v>2863</v>
      </c>
      <c r="S326" s="159"/>
      <c r="T326" s="159"/>
      <c r="U326" s="158"/>
      <c r="V326" s="158"/>
      <c r="W326" s="159"/>
      <c r="X326" s="159"/>
      <c r="Y326" s="159"/>
      <c r="Z326" s="159"/>
      <c r="AA326" s="159"/>
      <c r="AB326" s="171">
        <v>46148</v>
      </c>
      <c r="AC326" s="159" t="s">
        <v>129</v>
      </c>
      <c r="AD326" s="158"/>
      <c r="AE326" s="159"/>
      <c r="AF326" s="159"/>
      <c r="AG326" s="159"/>
      <c r="AH326" s="159"/>
      <c r="AI326" s="159"/>
      <c r="AJ326" s="159"/>
      <c r="AK326" s="159" t="s">
        <v>2600</v>
      </c>
      <c r="AL326" s="159"/>
      <c r="AM326" s="159"/>
      <c r="AN326" s="162" t="s">
        <v>786</v>
      </c>
      <c r="AO326" s="162" t="s">
        <v>115</v>
      </c>
      <c r="AP326" s="162"/>
      <c r="AQ326" s="162"/>
      <c r="AR326" s="178" t="s">
        <v>2618</v>
      </c>
      <c r="AS326" s="178" t="s">
        <v>2618</v>
      </c>
      <c r="AT326" s="178"/>
      <c r="AU326" s="159"/>
      <c r="AV326" s="159"/>
      <c r="AW326" s="159"/>
      <c r="AX326" s="159"/>
      <c r="AY326" s="159"/>
      <c r="AZ326" s="159"/>
      <c r="BA326" s="159"/>
      <c r="BB326" s="159"/>
      <c r="BC326" s="159"/>
      <c r="BD326" s="162" t="s">
        <v>787</v>
      </c>
      <c r="BE326" s="156" t="s">
        <v>2322</v>
      </c>
      <c r="BF326" s="162" t="s">
        <v>841</v>
      </c>
      <c r="BG326" s="159" t="s">
        <v>129</v>
      </c>
      <c r="BH326" s="159" t="s">
        <v>46</v>
      </c>
      <c r="BI326" s="159" t="s">
        <v>41</v>
      </c>
      <c r="BJ326" s="156">
        <v>1</v>
      </c>
      <c r="BK326" s="162"/>
      <c r="BL326" s="156"/>
      <c r="BM326" s="162"/>
      <c r="BN326" s="162"/>
      <c r="BO326" s="162"/>
      <c r="BP326" s="162"/>
      <c r="BQ326" s="162"/>
      <c r="BR326" s="162"/>
    </row>
    <row r="327" spans="1:70" s="190" customFormat="1">
      <c r="A327" s="184" t="str">
        <f t="shared" si="5"/>
        <v>22601323</v>
      </c>
      <c r="B327" s="164" t="s">
        <v>2379</v>
      </c>
      <c r="C327" s="158" t="s">
        <v>3173</v>
      </c>
      <c r="D327" s="156" t="s">
        <v>2299</v>
      </c>
      <c r="E327" s="224" t="s">
        <v>3389</v>
      </c>
      <c r="F327" s="164" t="s">
        <v>3408</v>
      </c>
      <c r="G327" s="170">
        <v>34880</v>
      </c>
      <c r="H327" s="170" t="s">
        <v>3409</v>
      </c>
      <c r="I327" s="159" t="s">
        <v>2569</v>
      </c>
      <c r="J327" s="159" t="s">
        <v>2619</v>
      </c>
      <c r="K327" s="159" t="s">
        <v>81</v>
      </c>
      <c r="L327" s="159" t="s">
        <v>2380</v>
      </c>
      <c r="M327" s="158" t="s">
        <v>2626</v>
      </c>
      <c r="N327" s="158" t="s">
        <v>2623</v>
      </c>
      <c r="O327" s="159" t="s">
        <v>2770</v>
      </c>
      <c r="P327" s="159" t="s">
        <v>2770</v>
      </c>
      <c r="Q327" s="159" t="s">
        <v>2860</v>
      </c>
      <c r="R327" s="159" t="s">
        <v>2863</v>
      </c>
      <c r="S327" s="159"/>
      <c r="T327" s="159"/>
      <c r="U327" s="158"/>
      <c r="V327" s="158"/>
      <c r="W327" s="159"/>
      <c r="X327" s="159"/>
      <c r="Y327" s="159"/>
      <c r="Z327" s="159"/>
      <c r="AA327" s="159"/>
      <c r="AB327" s="170">
        <v>46028</v>
      </c>
      <c r="AC327" s="159" t="s">
        <v>45</v>
      </c>
      <c r="AD327" s="158"/>
      <c r="AE327" s="159">
        <v>26044410491</v>
      </c>
      <c r="AF327" s="159"/>
      <c r="AG327" s="159" t="s">
        <v>3489</v>
      </c>
      <c r="AH327" s="157">
        <v>46178</v>
      </c>
      <c r="AI327" s="159"/>
      <c r="AJ327" s="159"/>
      <c r="AK327" s="159" t="s">
        <v>2600</v>
      </c>
      <c r="AL327" s="159"/>
      <c r="AM327" s="159"/>
      <c r="AN327" s="156" t="s">
        <v>543</v>
      </c>
      <c r="AO327" s="162" t="s">
        <v>54</v>
      </c>
      <c r="AP327" s="162"/>
      <c r="AQ327" s="162"/>
      <c r="AR327" s="178" t="s">
        <v>2618</v>
      </c>
      <c r="AS327" s="178" t="s">
        <v>2618</v>
      </c>
      <c r="AT327" s="178"/>
      <c r="AU327" s="159"/>
      <c r="AV327" s="159"/>
      <c r="AW327" s="159"/>
      <c r="AX327" s="159"/>
      <c r="AY327" s="159"/>
      <c r="AZ327" s="159"/>
      <c r="BA327" s="159"/>
      <c r="BB327" s="159"/>
      <c r="BC327" s="159"/>
      <c r="BD327" s="156" t="s">
        <v>530</v>
      </c>
      <c r="BE327" s="156"/>
      <c r="BF327" s="156"/>
      <c r="BG327" s="159" t="s">
        <v>45</v>
      </c>
      <c r="BH327" s="156" t="s">
        <v>72</v>
      </c>
      <c r="BI327" s="159" t="s">
        <v>41</v>
      </c>
      <c r="BJ327" s="156">
        <v>2</v>
      </c>
      <c r="BK327" s="156"/>
      <c r="BL327" s="156"/>
      <c r="BM327" s="162"/>
      <c r="BN327" s="162"/>
      <c r="BO327" s="162"/>
      <c r="BP327" s="162"/>
      <c r="BQ327" s="162"/>
      <c r="BR327" s="162"/>
    </row>
    <row r="328" spans="1:70" s="156" customFormat="1">
      <c r="A328" s="184" t="str">
        <f t="shared" si="5"/>
        <v>22601324</v>
      </c>
      <c r="B328" s="164" t="s">
        <v>2376</v>
      </c>
      <c r="C328" s="158" t="s">
        <v>3174</v>
      </c>
      <c r="D328" s="156" t="s">
        <v>2303</v>
      </c>
      <c r="E328" s="224" t="s">
        <v>3435</v>
      </c>
      <c r="F328" s="164" t="s">
        <v>2378</v>
      </c>
      <c r="G328" s="170">
        <v>36738</v>
      </c>
      <c r="H328" s="170" t="s">
        <v>528</v>
      </c>
      <c r="I328" s="159" t="s">
        <v>2569</v>
      </c>
      <c r="J328" s="159" t="s">
        <v>2620</v>
      </c>
      <c r="K328" s="159" t="s">
        <v>81</v>
      </c>
      <c r="L328" s="159" t="s">
        <v>2377</v>
      </c>
      <c r="M328" s="158" t="s">
        <v>2629</v>
      </c>
      <c r="N328" s="158" t="s">
        <v>2623</v>
      </c>
      <c r="O328" s="159" t="s">
        <v>2771</v>
      </c>
      <c r="P328" s="159" t="s">
        <v>2831</v>
      </c>
      <c r="Q328" s="159" t="s">
        <v>2859</v>
      </c>
      <c r="R328" s="159" t="s">
        <v>2863</v>
      </c>
      <c r="S328" s="159"/>
      <c r="T328" s="159" t="s">
        <v>2377</v>
      </c>
      <c r="U328" s="158" t="s">
        <v>2629</v>
      </c>
      <c r="V328" s="158" t="s">
        <v>2623</v>
      </c>
      <c r="W328" s="159" t="s">
        <v>2771</v>
      </c>
      <c r="X328" s="159" t="s">
        <v>2831</v>
      </c>
      <c r="Y328" s="159" t="s">
        <v>2859</v>
      </c>
      <c r="Z328" s="159" t="s">
        <v>2863</v>
      </c>
      <c r="AA328" s="159"/>
      <c r="AB328" s="170">
        <v>46041</v>
      </c>
      <c r="AC328" s="159" t="s">
        <v>45</v>
      </c>
      <c r="AD328" s="158"/>
      <c r="AE328" s="159">
        <v>26044410509</v>
      </c>
      <c r="AF328" s="159"/>
      <c r="AG328" s="159"/>
      <c r="AH328" s="159"/>
      <c r="AI328" s="159"/>
      <c r="AJ328" s="159"/>
      <c r="AK328" s="159" t="s">
        <v>2600</v>
      </c>
      <c r="AL328" s="159"/>
      <c r="AM328" s="159"/>
      <c r="AO328" s="162" t="s">
        <v>54</v>
      </c>
      <c r="AP328" s="162"/>
      <c r="AQ328" s="162"/>
      <c r="AR328" s="178" t="s">
        <v>2618</v>
      </c>
      <c r="AS328" s="178" t="s">
        <v>2618</v>
      </c>
      <c r="AT328" s="178"/>
      <c r="AU328" s="159"/>
      <c r="AV328" s="159"/>
      <c r="AW328" s="159"/>
      <c r="AX328" s="159"/>
      <c r="AY328" s="159"/>
      <c r="AZ328" s="159"/>
      <c r="BA328" s="159"/>
      <c r="BB328" s="159"/>
      <c r="BC328" s="159"/>
      <c r="BG328" s="159" t="s">
        <v>45</v>
      </c>
      <c r="BH328" s="156" t="s">
        <v>72</v>
      </c>
      <c r="BI328" s="159" t="s">
        <v>41</v>
      </c>
      <c r="BJ328" s="156">
        <v>2</v>
      </c>
      <c r="BL328" s="162"/>
      <c r="BM328" s="162"/>
      <c r="BN328" s="162"/>
      <c r="BO328" s="162"/>
      <c r="BP328" s="162"/>
      <c r="BQ328" s="162"/>
      <c r="BR328" s="162"/>
    </row>
    <row r="329" spans="1:70" s="156" customFormat="1">
      <c r="A329" s="184" t="str">
        <f t="shared" si="5"/>
        <v>42601325</v>
      </c>
      <c r="B329" s="158" t="s">
        <v>1580</v>
      </c>
      <c r="C329" s="158" t="s">
        <v>3175</v>
      </c>
      <c r="D329" s="159" t="s">
        <v>1579</v>
      </c>
      <c r="E329" s="159"/>
      <c r="F329" s="158" t="s">
        <v>1582</v>
      </c>
      <c r="G329" s="167">
        <v>38210</v>
      </c>
      <c r="H329" s="167" t="s">
        <v>3396</v>
      </c>
      <c r="I329" s="159" t="s">
        <v>2569</v>
      </c>
      <c r="J329" s="159" t="s">
        <v>2619</v>
      </c>
      <c r="K329" s="159" t="s">
        <v>81</v>
      </c>
      <c r="L329" s="159" t="s">
        <v>1581</v>
      </c>
      <c r="M329" s="158" t="s">
        <v>2623</v>
      </c>
      <c r="N329" s="158" t="s">
        <v>2626</v>
      </c>
      <c r="O329" s="159" t="s">
        <v>2739</v>
      </c>
      <c r="P329" s="159" t="s">
        <v>2818</v>
      </c>
      <c r="Q329" s="159" t="s">
        <v>2842</v>
      </c>
      <c r="R329" s="159" t="s">
        <v>2863</v>
      </c>
      <c r="S329" s="159"/>
      <c r="T329" s="159" t="s">
        <v>1581</v>
      </c>
      <c r="U329" s="158" t="s">
        <v>2623</v>
      </c>
      <c r="V329" s="158" t="s">
        <v>2626</v>
      </c>
      <c r="W329" s="159" t="s">
        <v>2739</v>
      </c>
      <c r="X329" s="159" t="s">
        <v>2818</v>
      </c>
      <c r="Y329" s="159" t="s">
        <v>2842</v>
      </c>
      <c r="Z329" s="159" t="s">
        <v>2863</v>
      </c>
      <c r="AA329" s="159"/>
      <c r="AB329" s="167">
        <v>46048</v>
      </c>
      <c r="AC329" s="159" t="s">
        <v>129</v>
      </c>
      <c r="AD329" s="158"/>
      <c r="AE329" s="159"/>
      <c r="AF329" s="159"/>
      <c r="AG329" s="159"/>
      <c r="AH329" s="159"/>
      <c r="AI329" s="159"/>
      <c r="AJ329" s="159"/>
      <c r="AK329" s="159" t="s">
        <v>2600</v>
      </c>
      <c r="AL329" s="159"/>
      <c r="AM329" s="159"/>
      <c r="AN329" s="159" t="s">
        <v>786</v>
      </c>
      <c r="AO329" s="172" t="s">
        <v>115</v>
      </c>
      <c r="AP329" s="172"/>
      <c r="AQ329" s="172"/>
      <c r="AR329" s="178" t="s">
        <v>2618</v>
      </c>
      <c r="AS329" s="178" t="s">
        <v>2618</v>
      </c>
      <c r="AT329" s="178"/>
      <c r="AU329" s="159"/>
      <c r="AV329" s="159"/>
      <c r="AW329" s="159"/>
      <c r="AX329" s="159"/>
      <c r="AY329" s="159"/>
      <c r="AZ329" s="159"/>
      <c r="BA329" s="159"/>
      <c r="BB329" s="159"/>
      <c r="BC329" s="159"/>
      <c r="BD329" s="185" t="s">
        <v>1442</v>
      </c>
      <c r="BE329" s="156" t="s">
        <v>1526</v>
      </c>
      <c r="BF329" s="159" t="s">
        <v>1539</v>
      </c>
      <c r="BG329" s="159" t="s">
        <v>129</v>
      </c>
      <c r="BH329" s="159" t="s">
        <v>46</v>
      </c>
      <c r="BI329" s="159" t="s">
        <v>41</v>
      </c>
      <c r="BJ329" s="156">
        <v>1</v>
      </c>
      <c r="BM329" s="162"/>
      <c r="BN329" s="162"/>
      <c r="BO329" s="162"/>
      <c r="BP329" s="162"/>
      <c r="BQ329" s="162"/>
      <c r="BR329" s="162"/>
    </row>
    <row r="330" spans="1:70" s="156" customFormat="1">
      <c r="A330" s="184" t="str">
        <f t="shared" si="5"/>
        <v>42601326</v>
      </c>
      <c r="B330" s="158" t="s">
        <v>1585</v>
      </c>
      <c r="C330" s="158" t="s">
        <v>3176</v>
      </c>
      <c r="D330" s="159" t="s">
        <v>1583</v>
      </c>
      <c r="E330" s="159"/>
      <c r="F330" s="158" t="s">
        <v>1587</v>
      </c>
      <c r="G330" s="167" t="s">
        <v>1584</v>
      </c>
      <c r="H330" s="167"/>
      <c r="I330" s="159" t="s">
        <v>2569</v>
      </c>
      <c r="J330" s="159" t="s">
        <v>2619</v>
      </c>
      <c r="K330" s="159" t="s">
        <v>81</v>
      </c>
      <c r="L330" s="159" t="s">
        <v>1586</v>
      </c>
      <c r="M330" s="158" t="s">
        <v>2621</v>
      </c>
      <c r="N330" s="158" t="s">
        <v>2622</v>
      </c>
      <c r="O330" s="159" t="s">
        <v>2666</v>
      </c>
      <c r="P330" s="159" t="s">
        <v>2662</v>
      </c>
      <c r="Q330" s="159" t="s">
        <v>2840</v>
      </c>
      <c r="R330" s="159" t="s">
        <v>2863</v>
      </c>
      <c r="S330" s="159"/>
      <c r="T330" s="159" t="s">
        <v>1586</v>
      </c>
      <c r="U330" s="158" t="s">
        <v>2621</v>
      </c>
      <c r="V330" s="158" t="s">
        <v>2622</v>
      </c>
      <c r="W330" s="159" t="s">
        <v>2666</v>
      </c>
      <c r="X330" s="159" t="s">
        <v>2662</v>
      </c>
      <c r="Y330" s="159" t="s">
        <v>2840</v>
      </c>
      <c r="Z330" s="159" t="s">
        <v>2863</v>
      </c>
      <c r="AA330" s="159"/>
      <c r="AB330" s="167">
        <v>46048</v>
      </c>
      <c r="AC330" s="159" t="s">
        <v>129</v>
      </c>
      <c r="AD330" s="158"/>
      <c r="AE330" s="159"/>
      <c r="AF330" s="159"/>
      <c r="AG330" s="159"/>
      <c r="AH330" s="159"/>
      <c r="AI330" s="159"/>
      <c r="AJ330" s="159"/>
      <c r="AK330" s="159" t="s">
        <v>2600</v>
      </c>
      <c r="AL330" s="159"/>
      <c r="AM330" s="159"/>
      <c r="AN330" s="159" t="s">
        <v>786</v>
      </c>
      <c r="AO330" s="172" t="s">
        <v>115</v>
      </c>
      <c r="AP330" s="172"/>
      <c r="AQ330" s="172"/>
      <c r="AR330" s="178" t="s">
        <v>2618</v>
      </c>
      <c r="AS330" s="178" t="s">
        <v>2618</v>
      </c>
      <c r="AT330" s="178"/>
      <c r="AU330" s="159"/>
      <c r="AV330" s="159"/>
      <c r="AW330" s="159"/>
      <c r="AX330" s="159"/>
      <c r="AY330" s="159"/>
      <c r="AZ330" s="159"/>
      <c r="BA330" s="159"/>
      <c r="BB330" s="159"/>
      <c r="BC330" s="159"/>
      <c r="BD330" s="185" t="s">
        <v>1442</v>
      </c>
      <c r="BE330" s="156" t="s">
        <v>1526</v>
      </c>
      <c r="BF330" s="159" t="s">
        <v>1508</v>
      </c>
      <c r="BG330" s="159" t="s">
        <v>129</v>
      </c>
      <c r="BH330" s="159" t="s">
        <v>46</v>
      </c>
      <c r="BI330" s="159" t="s">
        <v>41</v>
      </c>
      <c r="BJ330" s="156">
        <v>1</v>
      </c>
      <c r="BM330" s="162"/>
      <c r="BN330" s="162"/>
      <c r="BO330" s="162"/>
      <c r="BP330" s="162"/>
      <c r="BQ330" s="162"/>
      <c r="BR330" s="162"/>
    </row>
    <row r="331" spans="1:70" s="190" customFormat="1">
      <c r="A331" s="184" t="str">
        <f t="shared" si="5"/>
        <v>42601327</v>
      </c>
      <c r="B331" s="158" t="s">
        <v>1590</v>
      </c>
      <c r="C331" s="158" t="s">
        <v>3177</v>
      </c>
      <c r="D331" s="159" t="s">
        <v>1588</v>
      </c>
      <c r="E331" s="159"/>
      <c r="F331" s="158" t="s">
        <v>1591</v>
      </c>
      <c r="G331" s="167" t="s">
        <v>1589</v>
      </c>
      <c r="H331" s="167"/>
      <c r="I331" s="159" t="s">
        <v>2569</v>
      </c>
      <c r="J331" s="159" t="s">
        <v>2619</v>
      </c>
      <c r="K331" s="159" t="s">
        <v>217</v>
      </c>
      <c r="L331" s="159" t="s">
        <v>617</v>
      </c>
      <c r="M331" s="158" t="s">
        <v>2623</v>
      </c>
      <c r="N331" s="158" t="s">
        <v>2621</v>
      </c>
      <c r="O331" s="159" t="s">
        <v>2657</v>
      </c>
      <c r="P331" s="159" t="s">
        <v>2662</v>
      </c>
      <c r="Q331" s="159" t="s">
        <v>2840</v>
      </c>
      <c r="R331" s="159" t="s">
        <v>2863</v>
      </c>
      <c r="S331" s="159"/>
      <c r="T331" s="159" t="s">
        <v>617</v>
      </c>
      <c r="U331" s="158" t="s">
        <v>2623</v>
      </c>
      <c r="V331" s="158" t="s">
        <v>2621</v>
      </c>
      <c r="W331" s="159" t="s">
        <v>2657</v>
      </c>
      <c r="X331" s="159" t="s">
        <v>2662</v>
      </c>
      <c r="Y331" s="159" t="s">
        <v>2840</v>
      </c>
      <c r="Z331" s="159" t="s">
        <v>2863</v>
      </c>
      <c r="AA331" s="159"/>
      <c r="AB331" s="167">
        <v>46048</v>
      </c>
      <c r="AC331" s="159" t="s">
        <v>129</v>
      </c>
      <c r="AD331" s="158"/>
      <c r="AE331" s="159"/>
      <c r="AF331" s="159"/>
      <c r="AG331" s="159"/>
      <c r="AH331" s="159"/>
      <c r="AI331" s="159"/>
      <c r="AJ331" s="159"/>
      <c r="AK331" s="159" t="s">
        <v>2600</v>
      </c>
      <c r="AL331" s="159"/>
      <c r="AM331" s="159"/>
      <c r="AN331" s="159" t="s">
        <v>786</v>
      </c>
      <c r="AO331" s="172" t="s">
        <v>115</v>
      </c>
      <c r="AP331" s="172"/>
      <c r="AQ331" s="172"/>
      <c r="AR331" s="178" t="s">
        <v>2618</v>
      </c>
      <c r="AS331" s="178" t="s">
        <v>2618</v>
      </c>
      <c r="AT331" s="178"/>
      <c r="AU331" s="159"/>
      <c r="AV331" s="159"/>
      <c r="AW331" s="159"/>
      <c r="AX331" s="159"/>
      <c r="AY331" s="159"/>
      <c r="AZ331" s="159"/>
      <c r="BA331" s="159"/>
      <c r="BB331" s="159"/>
      <c r="BC331" s="159"/>
      <c r="BD331" s="185" t="s">
        <v>1442</v>
      </c>
      <c r="BE331" s="156" t="s">
        <v>1526</v>
      </c>
      <c r="BF331" s="159" t="s">
        <v>1482</v>
      </c>
      <c r="BG331" s="159" t="s">
        <v>129</v>
      </c>
      <c r="BH331" s="159" t="s">
        <v>46</v>
      </c>
      <c r="BI331" s="159" t="s">
        <v>41</v>
      </c>
      <c r="BJ331" s="156">
        <v>1</v>
      </c>
      <c r="BK331" s="156"/>
      <c r="BL331" s="156"/>
      <c r="BM331" s="162"/>
      <c r="BN331" s="162"/>
      <c r="BO331" s="162"/>
      <c r="BP331" s="162"/>
      <c r="BQ331" s="162"/>
      <c r="BR331" s="162"/>
    </row>
    <row r="332" spans="1:70">
      <c r="A332" s="184" t="str">
        <f t="shared" si="5"/>
        <v>42601328</v>
      </c>
      <c r="B332" s="158" t="s">
        <v>1593</v>
      </c>
      <c r="C332" s="158" t="s">
        <v>3178</v>
      </c>
      <c r="D332" s="159" t="s">
        <v>1592</v>
      </c>
      <c r="E332" s="159"/>
      <c r="F332" s="158" t="s">
        <v>1595</v>
      </c>
      <c r="G332" s="167">
        <v>35838</v>
      </c>
      <c r="H332" s="167"/>
      <c r="I332" s="159" t="s">
        <v>2569</v>
      </c>
      <c r="J332" s="159" t="s">
        <v>2619</v>
      </c>
      <c r="K332" s="159" t="s">
        <v>81</v>
      </c>
      <c r="L332" s="159" t="s">
        <v>1594</v>
      </c>
      <c r="M332" s="158" t="s">
        <v>2621</v>
      </c>
      <c r="N332" s="158" t="s">
        <v>2626</v>
      </c>
      <c r="O332" s="159" t="s">
        <v>2772</v>
      </c>
      <c r="P332" s="159" t="s">
        <v>2711</v>
      </c>
      <c r="Q332" s="159" t="s">
        <v>2840</v>
      </c>
      <c r="R332" s="159" t="s">
        <v>2863</v>
      </c>
      <c r="S332" s="159"/>
      <c r="T332" s="159" t="s">
        <v>1594</v>
      </c>
      <c r="U332" s="158" t="s">
        <v>2621</v>
      </c>
      <c r="V332" s="158" t="s">
        <v>2626</v>
      </c>
      <c r="W332" s="159" t="s">
        <v>2772</v>
      </c>
      <c r="X332" s="159" t="s">
        <v>2711</v>
      </c>
      <c r="Y332" s="159" t="s">
        <v>2840</v>
      </c>
      <c r="Z332" s="159" t="s">
        <v>2863</v>
      </c>
      <c r="AA332" s="159"/>
      <c r="AB332" s="167">
        <v>46048</v>
      </c>
      <c r="AC332" s="159" t="s">
        <v>129</v>
      </c>
      <c r="AD332" s="158"/>
      <c r="AE332" s="159"/>
      <c r="AF332" s="159"/>
      <c r="AG332" s="159"/>
      <c r="AH332" s="159"/>
      <c r="AI332" s="159"/>
      <c r="AJ332" s="159"/>
      <c r="AK332" s="159" t="s">
        <v>2600</v>
      </c>
      <c r="AL332" s="159"/>
      <c r="AM332" s="159"/>
      <c r="AN332" s="159" t="s">
        <v>786</v>
      </c>
      <c r="AO332" s="172" t="s">
        <v>115</v>
      </c>
      <c r="AP332" s="172"/>
      <c r="AQ332" s="172"/>
      <c r="AR332" s="178" t="s">
        <v>2618</v>
      </c>
      <c r="AS332" s="178" t="s">
        <v>2618</v>
      </c>
      <c r="BD332" s="185" t="s">
        <v>1442</v>
      </c>
      <c r="BE332" s="156" t="s">
        <v>1920</v>
      </c>
      <c r="BF332" s="159" t="s">
        <v>1482</v>
      </c>
      <c r="BG332" s="159" t="s">
        <v>129</v>
      </c>
      <c r="BH332" s="159" t="s">
        <v>46</v>
      </c>
      <c r="BI332" s="159" t="s">
        <v>41</v>
      </c>
      <c r="BJ332" s="156">
        <v>1</v>
      </c>
      <c r="BK332" s="156"/>
      <c r="BL332" s="156"/>
    </row>
    <row r="333" spans="1:70">
      <c r="A333" s="184" t="str">
        <f t="shared" si="5"/>
        <v>32602329</v>
      </c>
      <c r="B333" s="164" t="s">
        <v>764</v>
      </c>
      <c r="C333" s="158" t="s">
        <v>3179</v>
      </c>
      <c r="D333" s="159" t="s">
        <v>763</v>
      </c>
      <c r="E333" s="159"/>
      <c r="F333" s="164" t="s">
        <v>766</v>
      </c>
      <c r="G333" s="167">
        <v>37423</v>
      </c>
      <c r="H333" s="167"/>
      <c r="I333" s="159" t="s">
        <v>2569</v>
      </c>
      <c r="J333" s="159" t="s">
        <v>2619</v>
      </c>
      <c r="K333" s="159" t="s">
        <v>81</v>
      </c>
      <c r="L333" s="159" t="s">
        <v>765</v>
      </c>
      <c r="M333" s="158" t="s">
        <v>2623</v>
      </c>
      <c r="N333" s="158" t="s">
        <v>2621</v>
      </c>
      <c r="O333" s="159" t="s">
        <v>2773</v>
      </c>
      <c r="P333" s="159" t="s">
        <v>2832</v>
      </c>
      <c r="Q333" s="159" t="s">
        <v>2859</v>
      </c>
      <c r="R333" s="159" t="s">
        <v>2863</v>
      </c>
      <c r="S333" s="159"/>
      <c r="T333" s="159" t="s">
        <v>765</v>
      </c>
      <c r="U333" s="158" t="s">
        <v>2623</v>
      </c>
      <c r="V333" s="158" t="s">
        <v>2621</v>
      </c>
      <c r="W333" s="159" t="s">
        <v>2773</v>
      </c>
      <c r="X333" s="159" t="s">
        <v>2832</v>
      </c>
      <c r="Y333" s="159" t="s">
        <v>2859</v>
      </c>
      <c r="Z333" s="159" t="s">
        <v>2863</v>
      </c>
      <c r="AA333" s="159"/>
      <c r="AB333" s="167">
        <v>46057</v>
      </c>
      <c r="AC333" s="159" t="s">
        <v>71</v>
      </c>
      <c r="AD333" s="158"/>
      <c r="AE333" s="159"/>
      <c r="AF333" s="159"/>
      <c r="AG333" s="159"/>
      <c r="AH333" s="159"/>
      <c r="AI333" s="159"/>
      <c r="AJ333" s="159"/>
      <c r="AK333" s="159" t="s">
        <v>2600</v>
      </c>
      <c r="AL333" s="159"/>
      <c r="AM333" s="159"/>
      <c r="AN333" s="185" t="s">
        <v>684</v>
      </c>
      <c r="AO333" s="172" t="s">
        <v>78</v>
      </c>
      <c r="AP333" s="172"/>
      <c r="AQ333" s="172"/>
      <c r="AR333" s="178" t="s">
        <v>2618</v>
      </c>
      <c r="AS333" s="178" t="s">
        <v>2618</v>
      </c>
      <c r="BD333" s="159" t="s">
        <v>733</v>
      </c>
      <c r="BF333" s="156"/>
      <c r="BG333" s="159" t="s">
        <v>71</v>
      </c>
      <c r="BH333" s="159" t="s">
        <v>46</v>
      </c>
      <c r="BI333" s="159" t="s">
        <v>41</v>
      </c>
      <c r="BJ333" s="156">
        <v>3</v>
      </c>
      <c r="BK333" s="156"/>
      <c r="BL333" s="156"/>
    </row>
    <row r="334" spans="1:70">
      <c r="A334" s="184" t="str">
        <f t="shared" si="5"/>
        <v>22602330</v>
      </c>
      <c r="B334" s="158" t="s">
        <v>685</v>
      </c>
      <c r="C334" s="158" t="s">
        <v>3180</v>
      </c>
      <c r="D334" s="159" t="s">
        <v>682</v>
      </c>
      <c r="E334" s="222" t="s">
        <v>3392</v>
      </c>
      <c r="F334" s="158" t="s">
        <v>687</v>
      </c>
      <c r="G334" s="167">
        <v>32663</v>
      </c>
      <c r="H334" s="167" t="s">
        <v>2871</v>
      </c>
      <c r="I334" s="159" t="s">
        <v>2569</v>
      </c>
      <c r="J334" s="159" t="s">
        <v>2620</v>
      </c>
      <c r="K334" s="159" t="s">
        <v>81</v>
      </c>
      <c r="L334" s="159" t="s">
        <v>2867</v>
      </c>
      <c r="M334" s="158" t="s">
        <v>2621</v>
      </c>
      <c r="N334" s="158" t="s">
        <v>2621</v>
      </c>
      <c r="O334" s="159" t="s">
        <v>2868</v>
      </c>
      <c r="P334" s="159" t="s">
        <v>2868</v>
      </c>
      <c r="Q334" s="159" t="s">
        <v>2869</v>
      </c>
      <c r="R334" s="159" t="s">
        <v>2870</v>
      </c>
      <c r="S334" s="159"/>
      <c r="T334" s="159" t="s">
        <v>686</v>
      </c>
      <c r="U334" s="158" t="s">
        <v>2622</v>
      </c>
      <c r="V334" s="158" t="s">
        <v>2625</v>
      </c>
      <c r="W334" s="159" t="s">
        <v>2666</v>
      </c>
      <c r="X334" s="159" t="s">
        <v>2662</v>
      </c>
      <c r="Y334" s="159" t="s">
        <v>2840</v>
      </c>
      <c r="Z334" s="159" t="s">
        <v>2863</v>
      </c>
      <c r="AA334" s="159"/>
      <c r="AB334" s="167">
        <v>46071</v>
      </c>
      <c r="AC334" s="159" t="s">
        <v>45</v>
      </c>
      <c r="AD334" s="158"/>
      <c r="AE334" s="159">
        <v>26044410525</v>
      </c>
      <c r="AF334" s="159"/>
      <c r="AG334" s="159"/>
      <c r="AH334" s="159"/>
      <c r="AI334" s="159"/>
      <c r="AJ334" s="159"/>
      <c r="AK334" s="159" t="s">
        <v>2600</v>
      </c>
      <c r="AL334" s="159"/>
      <c r="AM334" s="159"/>
      <c r="AN334" s="185" t="s">
        <v>684</v>
      </c>
      <c r="AO334" s="172" t="s">
        <v>683</v>
      </c>
      <c r="AP334" s="172"/>
      <c r="AQ334" s="172"/>
      <c r="AR334" s="178" t="s">
        <v>2618</v>
      </c>
      <c r="AS334" s="178" t="s">
        <v>2618</v>
      </c>
      <c r="BD334" s="159"/>
      <c r="BF334" s="159"/>
      <c r="BG334" s="159" t="s">
        <v>45</v>
      </c>
      <c r="BH334" s="159" t="s">
        <v>72</v>
      </c>
      <c r="BI334" s="159" t="s">
        <v>41</v>
      </c>
      <c r="BJ334" s="156">
        <v>3</v>
      </c>
      <c r="BK334" s="156"/>
      <c r="BL334" s="156"/>
    </row>
    <row r="335" spans="1:70">
      <c r="A335" s="184" t="str">
        <f t="shared" si="5"/>
        <v>22602331</v>
      </c>
      <c r="B335" s="208" t="s">
        <v>2061</v>
      </c>
      <c r="C335" s="158" t="s">
        <v>3181</v>
      </c>
      <c r="D335" s="160" t="s">
        <v>2059</v>
      </c>
      <c r="E335" s="223" t="s">
        <v>3391</v>
      </c>
      <c r="F335" s="208" t="s">
        <v>2063</v>
      </c>
      <c r="G335" s="169">
        <v>35732</v>
      </c>
      <c r="H335" s="169" t="s">
        <v>3393</v>
      </c>
      <c r="I335" s="160" t="s">
        <v>2569</v>
      </c>
      <c r="J335" s="159" t="s">
        <v>2619</v>
      </c>
      <c r="K335" s="160" t="s">
        <v>302</v>
      </c>
      <c r="L335" s="160" t="s">
        <v>2062</v>
      </c>
      <c r="M335" s="208" t="s">
        <v>2629</v>
      </c>
      <c r="N335" s="208" t="s">
        <v>2623</v>
      </c>
      <c r="O335" s="160" t="s">
        <v>2774</v>
      </c>
      <c r="P335" s="160" t="s">
        <v>2814</v>
      </c>
      <c r="Q335" s="159" t="s">
        <v>2842</v>
      </c>
      <c r="R335" s="159" t="s">
        <v>2863</v>
      </c>
      <c r="S335" s="160"/>
      <c r="T335" s="160" t="s">
        <v>2062</v>
      </c>
      <c r="U335" s="208" t="s">
        <v>2629</v>
      </c>
      <c r="V335" s="208" t="s">
        <v>2623</v>
      </c>
      <c r="W335" s="160" t="s">
        <v>2774</v>
      </c>
      <c r="X335" s="160" t="s">
        <v>2814</v>
      </c>
      <c r="Y335" s="159" t="s">
        <v>2842</v>
      </c>
      <c r="Z335" s="159" t="s">
        <v>2863</v>
      </c>
      <c r="AA335" s="160"/>
      <c r="AB335" s="167">
        <v>46071</v>
      </c>
      <c r="AC335" s="160" t="s">
        <v>45</v>
      </c>
      <c r="AD335" s="208"/>
      <c r="AE335" s="160">
        <v>26044410533</v>
      </c>
      <c r="AF335" s="160"/>
      <c r="AG335" s="160"/>
      <c r="AH335" s="160"/>
      <c r="AI335" s="160"/>
      <c r="AJ335" s="160"/>
      <c r="AK335" s="159" t="s">
        <v>2600</v>
      </c>
      <c r="AL335" s="160"/>
      <c r="AM335" s="160"/>
      <c r="AN335" s="159" t="s">
        <v>2065</v>
      </c>
      <c r="AO335" s="172" t="s">
        <v>683</v>
      </c>
      <c r="AP335" s="172"/>
      <c r="AQ335" s="172"/>
      <c r="AR335" s="178" t="s">
        <v>2618</v>
      </c>
      <c r="AS335" s="178" t="s">
        <v>2618</v>
      </c>
      <c r="BD335" s="185"/>
      <c r="BF335" s="187"/>
      <c r="BG335" s="160" t="s">
        <v>45</v>
      </c>
      <c r="BH335" s="160" t="s">
        <v>2060</v>
      </c>
      <c r="BI335" s="159" t="s">
        <v>41</v>
      </c>
      <c r="BJ335" s="156">
        <v>3</v>
      </c>
      <c r="BK335" s="154"/>
      <c r="BL335" s="156"/>
    </row>
    <row r="336" spans="1:70">
      <c r="A336" s="184" t="str">
        <f t="shared" si="5"/>
        <v>22603332</v>
      </c>
      <c r="B336" s="158" t="s">
        <v>2307</v>
      </c>
      <c r="C336" s="158" t="s">
        <v>3182</v>
      </c>
      <c r="D336" s="159" t="s">
        <v>2306</v>
      </c>
      <c r="E336" s="226" t="s">
        <v>3382</v>
      </c>
      <c r="F336" s="158" t="s">
        <v>2309</v>
      </c>
      <c r="G336" s="167">
        <v>37198</v>
      </c>
      <c r="H336" s="167"/>
      <c r="I336" s="159" t="s">
        <v>2569</v>
      </c>
      <c r="J336" s="159" t="s">
        <v>2619</v>
      </c>
      <c r="K336" s="159" t="s">
        <v>81</v>
      </c>
      <c r="L336" s="159" t="s">
        <v>2308</v>
      </c>
      <c r="M336" s="158" t="s">
        <v>2623</v>
      </c>
      <c r="N336" s="158" t="s">
        <v>2621</v>
      </c>
      <c r="O336" s="159" t="s">
        <v>2775</v>
      </c>
      <c r="P336" s="159" t="s">
        <v>2732</v>
      </c>
      <c r="Q336" s="159" t="s">
        <v>2840</v>
      </c>
      <c r="R336" s="159" t="s">
        <v>2863</v>
      </c>
      <c r="S336" s="159"/>
      <c r="T336" s="159"/>
      <c r="U336" s="158"/>
      <c r="V336" s="158"/>
      <c r="W336" s="159"/>
      <c r="X336" s="159"/>
      <c r="Y336" s="159"/>
      <c r="Z336" s="159"/>
      <c r="AA336" s="159"/>
      <c r="AB336" s="167">
        <v>46107</v>
      </c>
      <c r="AC336" s="159" t="s">
        <v>45</v>
      </c>
      <c r="AD336" s="158"/>
      <c r="AE336" s="159"/>
      <c r="AF336" s="159"/>
      <c r="AG336" s="159"/>
      <c r="AH336" s="159"/>
      <c r="AI336" s="159"/>
      <c r="AJ336" s="159"/>
      <c r="AK336" s="159" t="s">
        <v>2600</v>
      </c>
      <c r="AL336" s="159"/>
      <c r="AM336" s="159"/>
      <c r="AN336" s="159" t="s">
        <v>553</v>
      </c>
      <c r="AO336" s="172" t="s">
        <v>564</v>
      </c>
      <c r="AP336" s="172"/>
      <c r="AQ336" s="172"/>
      <c r="AR336" s="178" t="s">
        <v>2618</v>
      </c>
      <c r="AS336" s="178" t="s">
        <v>2618</v>
      </c>
      <c r="BD336" s="156" t="s">
        <v>557</v>
      </c>
      <c r="BE336" s="156" t="s">
        <v>557</v>
      </c>
      <c r="BF336" s="159"/>
      <c r="BG336" s="159" t="s">
        <v>45</v>
      </c>
      <c r="BH336" s="159" t="s">
        <v>72</v>
      </c>
      <c r="BI336" s="159" t="s">
        <v>41</v>
      </c>
      <c r="BJ336" s="156">
        <v>3</v>
      </c>
      <c r="BK336" s="156"/>
      <c r="BL336" s="156"/>
    </row>
    <row r="337" spans="1:70">
      <c r="A337" s="184" t="str">
        <f t="shared" si="5"/>
        <v>32604333</v>
      </c>
      <c r="B337" s="158" t="s">
        <v>2311</v>
      </c>
      <c r="C337" s="158" t="s">
        <v>3183</v>
      </c>
      <c r="D337" s="156" t="s">
        <v>2310</v>
      </c>
      <c r="E337" s="156"/>
      <c r="F337" s="164" t="s">
        <v>2313</v>
      </c>
      <c r="G337" s="170">
        <v>35021</v>
      </c>
      <c r="H337" s="170" t="s">
        <v>3455</v>
      </c>
      <c r="I337" s="159" t="s">
        <v>2569</v>
      </c>
      <c r="J337" s="159" t="s">
        <v>2619</v>
      </c>
      <c r="K337" s="159" t="s">
        <v>81</v>
      </c>
      <c r="L337" s="159" t="s">
        <v>2312</v>
      </c>
      <c r="M337" s="158" t="s">
        <v>2623</v>
      </c>
      <c r="N337" s="158" t="s">
        <v>2625</v>
      </c>
      <c r="O337" s="159" t="s">
        <v>2776</v>
      </c>
      <c r="P337" s="159" t="s">
        <v>2776</v>
      </c>
      <c r="Q337" s="159" t="s">
        <v>2847</v>
      </c>
      <c r="R337" s="159" t="s">
        <v>2863</v>
      </c>
      <c r="S337" s="159"/>
      <c r="T337" s="159" t="s">
        <v>2312</v>
      </c>
      <c r="U337" s="158" t="s">
        <v>2623</v>
      </c>
      <c r="V337" s="158" t="s">
        <v>2625</v>
      </c>
      <c r="W337" s="159" t="s">
        <v>2776</v>
      </c>
      <c r="X337" s="159" t="s">
        <v>2776</v>
      </c>
      <c r="Y337" s="159" t="s">
        <v>2847</v>
      </c>
      <c r="Z337" s="159" t="s">
        <v>2863</v>
      </c>
      <c r="AA337" s="159"/>
      <c r="AB337" s="170">
        <v>46118</v>
      </c>
      <c r="AC337" s="159" t="s">
        <v>71</v>
      </c>
      <c r="AD337" s="158"/>
      <c r="AE337" s="159"/>
      <c r="AF337" s="159"/>
      <c r="AG337" s="159"/>
      <c r="AH337" s="159"/>
      <c r="AI337" s="159"/>
      <c r="AJ337" s="159"/>
      <c r="AK337" s="159" t="s">
        <v>2600</v>
      </c>
      <c r="AL337" s="159"/>
      <c r="AM337" s="159"/>
      <c r="AN337" s="185" t="s">
        <v>2065</v>
      </c>
      <c r="AO337" s="166" t="s">
        <v>78</v>
      </c>
      <c r="AP337" s="166"/>
      <c r="AQ337" s="166"/>
      <c r="AR337" s="178" t="s">
        <v>2618</v>
      </c>
      <c r="AS337" s="178" t="s">
        <v>2618</v>
      </c>
      <c r="BD337" s="159"/>
      <c r="BE337" s="159" t="s">
        <v>2341</v>
      </c>
      <c r="BF337" s="156"/>
      <c r="BG337" s="159" t="s">
        <v>71</v>
      </c>
      <c r="BH337" s="159" t="s">
        <v>46</v>
      </c>
      <c r="BI337" s="159" t="s">
        <v>41</v>
      </c>
      <c r="BJ337" s="156">
        <v>3</v>
      </c>
      <c r="BK337" s="156"/>
      <c r="BL337" s="156"/>
    </row>
    <row r="338" spans="1:70">
      <c r="A338" s="184" t="str">
        <f t="shared" si="5"/>
        <v>42604334</v>
      </c>
      <c r="B338" s="158" t="s">
        <v>2315</v>
      </c>
      <c r="C338" s="158" t="s">
        <v>3184</v>
      </c>
      <c r="D338" s="159" t="s">
        <v>2314</v>
      </c>
      <c r="E338" s="159"/>
      <c r="F338" s="158" t="s">
        <v>2317</v>
      </c>
      <c r="G338" s="167">
        <v>35784</v>
      </c>
      <c r="H338" s="167"/>
      <c r="I338" s="159" t="s">
        <v>2569</v>
      </c>
      <c r="J338" s="159" t="s">
        <v>2619</v>
      </c>
      <c r="K338" s="159" t="s">
        <v>81</v>
      </c>
      <c r="L338" s="159" t="s">
        <v>2316</v>
      </c>
      <c r="M338" s="158" t="s">
        <v>2625</v>
      </c>
      <c r="N338" s="158" t="s">
        <v>2622</v>
      </c>
      <c r="O338" s="159" t="s">
        <v>2662</v>
      </c>
      <c r="P338" s="159" t="s">
        <v>2662</v>
      </c>
      <c r="Q338" s="159" t="s">
        <v>2840</v>
      </c>
      <c r="R338" s="159" t="s">
        <v>2863</v>
      </c>
      <c r="S338" s="159"/>
      <c r="T338" s="159" t="s">
        <v>2316</v>
      </c>
      <c r="U338" s="158" t="s">
        <v>2625</v>
      </c>
      <c r="V338" s="158" t="s">
        <v>2622</v>
      </c>
      <c r="W338" s="159" t="s">
        <v>2662</v>
      </c>
      <c r="X338" s="159" t="s">
        <v>2662</v>
      </c>
      <c r="Y338" s="159" t="s">
        <v>2840</v>
      </c>
      <c r="Z338" s="159" t="s">
        <v>2863</v>
      </c>
      <c r="AA338" s="159"/>
      <c r="AB338" s="167">
        <v>46129</v>
      </c>
      <c r="AC338" s="159" t="s">
        <v>129</v>
      </c>
      <c r="AD338" s="158"/>
      <c r="AE338" s="159"/>
      <c r="AF338" s="159"/>
      <c r="AG338" s="159"/>
      <c r="AH338" s="159"/>
      <c r="AI338" s="159"/>
      <c r="AJ338" s="159"/>
      <c r="AK338" s="159" t="s">
        <v>2600</v>
      </c>
      <c r="AL338" s="159"/>
      <c r="AM338" s="159"/>
      <c r="AN338" s="159" t="s">
        <v>786</v>
      </c>
      <c r="AO338" s="172" t="s">
        <v>115</v>
      </c>
      <c r="AP338" s="172"/>
      <c r="AQ338" s="172"/>
      <c r="AR338" s="178" t="s">
        <v>2618</v>
      </c>
      <c r="AS338" s="178" t="s">
        <v>2618</v>
      </c>
      <c r="BD338" s="185" t="s">
        <v>1442</v>
      </c>
      <c r="BE338" s="156" t="s">
        <v>1920</v>
      </c>
      <c r="BF338" s="159" t="s">
        <v>1508</v>
      </c>
      <c r="BG338" s="159" t="s">
        <v>129</v>
      </c>
      <c r="BH338" s="159" t="s">
        <v>46</v>
      </c>
      <c r="BI338" s="159" t="s">
        <v>41</v>
      </c>
      <c r="BJ338" s="156">
        <v>1</v>
      </c>
      <c r="BK338" s="156"/>
      <c r="BL338" s="156"/>
    </row>
    <row r="339" spans="1:70" s="186" customFormat="1">
      <c r="A339" s="184" t="str">
        <f t="shared" si="5"/>
        <v>42604335</v>
      </c>
      <c r="B339" s="158" t="s">
        <v>2319</v>
      </c>
      <c r="C339" s="158" t="s">
        <v>3185</v>
      </c>
      <c r="D339" s="159" t="s">
        <v>2318</v>
      </c>
      <c r="E339" s="159"/>
      <c r="F339" s="158" t="s">
        <v>2321</v>
      </c>
      <c r="G339" s="167">
        <v>38789</v>
      </c>
      <c r="H339" s="167"/>
      <c r="I339" s="159" t="s">
        <v>2569</v>
      </c>
      <c r="J339" s="159" t="s">
        <v>2619</v>
      </c>
      <c r="K339" s="159" t="s">
        <v>81</v>
      </c>
      <c r="L339" s="159" t="s">
        <v>2320</v>
      </c>
      <c r="M339" s="158" t="s">
        <v>2629</v>
      </c>
      <c r="N339" s="158" t="s">
        <v>2621</v>
      </c>
      <c r="O339" s="159" t="s">
        <v>2712</v>
      </c>
      <c r="P339" s="159" t="s">
        <v>2662</v>
      </c>
      <c r="Q339" s="159" t="s">
        <v>2840</v>
      </c>
      <c r="R339" s="159" t="s">
        <v>2863</v>
      </c>
      <c r="S339" s="159"/>
      <c r="T339" s="159" t="s">
        <v>2320</v>
      </c>
      <c r="U339" s="158" t="s">
        <v>2629</v>
      </c>
      <c r="V339" s="158" t="s">
        <v>2621</v>
      </c>
      <c r="W339" s="159" t="s">
        <v>2712</v>
      </c>
      <c r="X339" s="159" t="s">
        <v>2662</v>
      </c>
      <c r="Y339" s="159" t="s">
        <v>2840</v>
      </c>
      <c r="Z339" s="159" t="s">
        <v>2863</v>
      </c>
      <c r="AA339" s="159"/>
      <c r="AB339" s="167">
        <v>46134</v>
      </c>
      <c r="AC339" s="159" t="s">
        <v>129</v>
      </c>
      <c r="AD339" s="158"/>
      <c r="AE339" s="159"/>
      <c r="AF339" s="159"/>
      <c r="AG339" s="159"/>
      <c r="AH339" s="159"/>
      <c r="AI339" s="159"/>
      <c r="AJ339" s="159"/>
      <c r="AK339" s="159" t="s">
        <v>2600</v>
      </c>
      <c r="AL339" s="159"/>
      <c r="AM339" s="159"/>
      <c r="AN339" s="159" t="s">
        <v>786</v>
      </c>
      <c r="AO339" s="172" t="s">
        <v>115</v>
      </c>
      <c r="AP339" s="172"/>
      <c r="AQ339" s="172"/>
      <c r="AR339" s="178" t="s">
        <v>2618</v>
      </c>
      <c r="AS339" s="178" t="s">
        <v>2618</v>
      </c>
      <c r="AT339" s="178"/>
      <c r="AU339" s="159"/>
      <c r="AV339" s="159"/>
      <c r="AW339" s="159"/>
      <c r="AX339" s="159"/>
      <c r="AY339" s="159"/>
      <c r="AZ339" s="159"/>
      <c r="BA339" s="159"/>
      <c r="BB339" s="159"/>
      <c r="BC339" s="159"/>
      <c r="BD339" s="185" t="s">
        <v>1442</v>
      </c>
      <c r="BE339" s="156" t="s">
        <v>1920</v>
      </c>
      <c r="BF339" s="159" t="s">
        <v>1508</v>
      </c>
      <c r="BG339" s="159" t="s">
        <v>129</v>
      </c>
      <c r="BH339" s="159" t="s">
        <v>46</v>
      </c>
      <c r="BI339" s="159" t="s">
        <v>41</v>
      </c>
      <c r="BJ339" s="156">
        <v>1</v>
      </c>
      <c r="BK339" s="156"/>
      <c r="BL339" s="156"/>
      <c r="BM339" s="162"/>
      <c r="BN339" s="162"/>
      <c r="BO339" s="162"/>
      <c r="BP339" s="162"/>
      <c r="BQ339" s="162"/>
      <c r="BR339" s="162"/>
    </row>
    <row r="340" spans="1:70">
      <c r="A340" s="184" t="str">
        <f t="shared" si="5"/>
        <v>42604336</v>
      </c>
      <c r="C340" s="158" t="s">
        <v>3186</v>
      </c>
      <c r="D340" s="162" t="s">
        <v>2323</v>
      </c>
      <c r="F340" s="176" t="s">
        <v>2329</v>
      </c>
      <c r="G340" s="171">
        <v>37563</v>
      </c>
      <c r="I340" s="159" t="s">
        <v>2569</v>
      </c>
      <c r="J340" s="159" t="s">
        <v>2619</v>
      </c>
      <c r="K340" s="159" t="s">
        <v>81</v>
      </c>
      <c r="L340" s="166" t="s">
        <v>2324</v>
      </c>
      <c r="M340" s="158" t="s">
        <v>2621</v>
      </c>
      <c r="N340" s="158" t="s">
        <v>2629</v>
      </c>
      <c r="O340" s="159" t="s">
        <v>2659</v>
      </c>
      <c r="P340" s="159" t="s">
        <v>2659</v>
      </c>
      <c r="Q340" s="159" t="s">
        <v>2840</v>
      </c>
      <c r="R340" s="159" t="s">
        <v>2863</v>
      </c>
      <c r="S340" s="159"/>
      <c r="T340" s="166" t="s">
        <v>2324</v>
      </c>
      <c r="U340" s="158" t="s">
        <v>2621</v>
      </c>
      <c r="V340" s="158" t="s">
        <v>2629</v>
      </c>
      <c r="W340" s="159" t="s">
        <v>2659</v>
      </c>
      <c r="X340" s="159" t="s">
        <v>2659</v>
      </c>
      <c r="Y340" s="159" t="s">
        <v>2840</v>
      </c>
      <c r="Z340" s="159" t="s">
        <v>2863</v>
      </c>
      <c r="AA340" s="159"/>
      <c r="AB340" s="171">
        <v>46139</v>
      </c>
      <c r="AC340" s="159" t="s">
        <v>129</v>
      </c>
      <c r="AD340" s="158"/>
      <c r="AE340" s="159"/>
      <c r="AF340" s="159"/>
      <c r="AG340" s="159"/>
      <c r="AH340" s="159"/>
      <c r="AI340" s="159"/>
      <c r="AJ340" s="159"/>
      <c r="AK340" s="159" t="s">
        <v>2600</v>
      </c>
      <c r="AL340" s="159"/>
      <c r="AM340" s="159"/>
      <c r="AN340" s="162" t="s">
        <v>786</v>
      </c>
      <c r="AO340" s="162" t="s">
        <v>115</v>
      </c>
      <c r="AR340" s="178" t="s">
        <v>2618</v>
      </c>
      <c r="AS340" s="178" t="s">
        <v>2618</v>
      </c>
      <c r="BD340" s="162" t="s">
        <v>787</v>
      </c>
      <c r="BE340" s="156" t="s">
        <v>2322</v>
      </c>
      <c r="BF340" s="162" t="s">
        <v>841</v>
      </c>
      <c r="BG340" s="159" t="s">
        <v>129</v>
      </c>
      <c r="BH340" s="159" t="s">
        <v>46</v>
      </c>
      <c r="BI340" s="159" t="s">
        <v>41</v>
      </c>
      <c r="BJ340" s="156">
        <v>1</v>
      </c>
      <c r="BL340" s="156"/>
    </row>
    <row r="341" spans="1:70">
      <c r="A341" s="184" t="str">
        <f t="shared" si="5"/>
        <v>32605337</v>
      </c>
      <c r="B341" s="158" t="s">
        <v>2374</v>
      </c>
      <c r="C341" s="158" t="s">
        <v>3187</v>
      </c>
      <c r="D341" s="159" t="s">
        <v>804</v>
      </c>
      <c r="E341" s="159"/>
      <c r="F341" s="176" t="s">
        <v>3401</v>
      </c>
      <c r="G341" s="167">
        <v>38779</v>
      </c>
      <c r="H341" s="167" t="s">
        <v>693</v>
      </c>
      <c r="I341" s="159" t="s">
        <v>2569</v>
      </c>
      <c r="J341" s="159" t="s">
        <v>2619</v>
      </c>
      <c r="K341" s="158" t="s">
        <v>302</v>
      </c>
      <c r="L341" s="159" t="s">
        <v>902</v>
      </c>
      <c r="M341" s="158" t="s">
        <v>2778</v>
      </c>
      <c r="N341" s="158" t="s">
        <v>2626</v>
      </c>
      <c r="O341" s="158" t="s">
        <v>2662</v>
      </c>
      <c r="P341" s="158" t="s">
        <v>2662</v>
      </c>
      <c r="Q341" s="159" t="s">
        <v>2840</v>
      </c>
      <c r="R341" s="159" t="s">
        <v>2863</v>
      </c>
      <c r="S341" s="158"/>
      <c r="T341" s="159" t="s">
        <v>902</v>
      </c>
      <c r="U341" s="158" t="s">
        <v>2778</v>
      </c>
      <c r="V341" s="158" t="s">
        <v>2626</v>
      </c>
      <c r="W341" s="158" t="s">
        <v>2662</v>
      </c>
      <c r="X341" s="158" t="s">
        <v>2662</v>
      </c>
      <c r="Y341" s="159" t="s">
        <v>2840</v>
      </c>
      <c r="Z341" s="159" t="s">
        <v>2863</v>
      </c>
      <c r="AA341" s="158"/>
      <c r="AB341" s="167">
        <v>46143</v>
      </c>
      <c r="AC341" s="159" t="s">
        <v>71</v>
      </c>
      <c r="AD341" s="158"/>
      <c r="AE341" s="159"/>
      <c r="AF341" s="159"/>
      <c r="AG341" s="159"/>
      <c r="AH341" s="159"/>
      <c r="AI341" s="159"/>
      <c r="AJ341" s="159"/>
      <c r="AK341" s="159" t="s">
        <v>2600</v>
      </c>
      <c r="AL341" s="159"/>
      <c r="AM341" s="159"/>
      <c r="AN341" s="159" t="s">
        <v>786</v>
      </c>
      <c r="AO341" s="172" t="s">
        <v>115</v>
      </c>
      <c r="AP341" s="172"/>
      <c r="AQ341" s="172"/>
      <c r="AR341" s="178" t="s">
        <v>2618</v>
      </c>
      <c r="AS341" s="178" t="s">
        <v>2618</v>
      </c>
      <c r="BD341" s="185" t="s">
        <v>789</v>
      </c>
      <c r="BF341" s="159"/>
      <c r="BG341" s="159" t="s">
        <v>71</v>
      </c>
      <c r="BH341" s="159" t="s">
        <v>46</v>
      </c>
      <c r="BI341" s="159" t="s">
        <v>41</v>
      </c>
      <c r="BJ341" s="156">
        <v>1</v>
      </c>
      <c r="BK341" s="156" t="s">
        <v>2239</v>
      </c>
      <c r="BL341" s="156"/>
    </row>
    <row r="342" spans="1:70">
      <c r="A342" s="184" t="str">
        <f t="shared" si="5"/>
        <v>32605338</v>
      </c>
      <c r="B342" s="209" t="s">
        <v>2335</v>
      </c>
      <c r="C342" s="158" t="s">
        <v>3188</v>
      </c>
      <c r="D342" s="166" t="s">
        <v>2334</v>
      </c>
      <c r="E342" s="166"/>
      <c r="F342" s="209" t="s">
        <v>2337</v>
      </c>
      <c r="G342" s="168">
        <v>35256</v>
      </c>
      <c r="H342" s="168"/>
      <c r="I342" s="159" t="s">
        <v>2569</v>
      </c>
      <c r="J342" s="159" t="s">
        <v>2619</v>
      </c>
      <c r="K342" s="159" t="s">
        <v>81</v>
      </c>
      <c r="L342" s="166" t="s">
        <v>2336</v>
      </c>
      <c r="M342" s="158" t="s">
        <v>2621</v>
      </c>
      <c r="N342" s="158" t="s">
        <v>2623</v>
      </c>
      <c r="O342" s="159" t="s">
        <v>2777</v>
      </c>
      <c r="P342" s="159" t="s">
        <v>2833</v>
      </c>
      <c r="Q342" s="159" t="s">
        <v>2847</v>
      </c>
      <c r="R342" s="159" t="s">
        <v>2863</v>
      </c>
      <c r="S342" s="159"/>
      <c r="T342" s="166" t="s">
        <v>2336</v>
      </c>
      <c r="U342" s="158" t="s">
        <v>2621</v>
      </c>
      <c r="V342" s="158" t="s">
        <v>2623</v>
      </c>
      <c r="W342" s="159" t="s">
        <v>2777</v>
      </c>
      <c r="X342" s="159" t="s">
        <v>2833</v>
      </c>
      <c r="Y342" s="159" t="s">
        <v>2847</v>
      </c>
      <c r="Z342" s="159" t="s">
        <v>2863</v>
      </c>
      <c r="AA342" s="159"/>
      <c r="AB342" s="168">
        <v>46160</v>
      </c>
      <c r="AC342" s="159" t="s">
        <v>71</v>
      </c>
      <c r="AD342" s="158"/>
      <c r="AE342" s="159"/>
      <c r="AF342" s="159"/>
      <c r="AG342" s="159"/>
      <c r="AH342" s="159"/>
      <c r="AI342" s="159"/>
      <c r="AJ342" s="159"/>
      <c r="AK342" s="159" t="s">
        <v>2600</v>
      </c>
      <c r="AL342" s="159"/>
      <c r="AM342" s="159"/>
      <c r="AN342" s="166"/>
      <c r="AO342" s="172" t="s">
        <v>564</v>
      </c>
      <c r="AP342" s="172"/>
      <c r="AQ342" s="172"/>
      <c r="AR342" s="178" t="s">
        <v>2618</v>
      </c>
      <c r="AS342" s="178" t="s">
        <v>2618</v>
      </c>
      <c r="BD342" s="166"/>
      <c r="BF342" s="159"/>
      <c r="BG342" s="159" t="s">
        <v>71</v>
      </c>
      <c r="BH342" s="166" t="s">
        <v>46</v>
      </c>
      <c r="BI342" s="159" t="s">
        <v>41</v>
      </c>
      <c r="BJ342" s="156">
        <v>3</v>
      </c>
      <c r="BL342" s="156"/>
    </row>
    <row r="343" spans="1:70" s="155" customFormat="1">
      <c r="A343" s="184" t="str">
        <f t="shared" si="5"/>
        <v>42605339</v>
      </c>
      <c r="B343" s="176" t="s">
        <v>2375</v>
      </c>
      <c r="C343" s="158" t="s">
        <v>3189</v>
      </c>
      <c r="D343" s="162" t="s">
        <v>2338</v>
      </c>
      <c r="E343" s="162"/>
      <c r="F343" s="176" t="s">
        <v>2340</v>
      </c>
      <c r="G343" s="171">
        <v>37250</v>
      </c>
      <c r="H343" s="171"/>
      <c r="I343" s="159" t="s">
        <v>2569</v>
      </c>
      <c r="J343" s="159" t="s">
        <v>2619</v>
      </c>
      <c r="K343" s="159" t="s">
        <v>81</v>
      </c>
      <c r="L343" s="166" t="s">
        <v>2339</v>
      </c>
      <c r="M343" s="158" t="s">
        <v>2626</v>
      </c>
      <c r="N343" s="158" t="s">
        <v>2621</v>
      </c>
      <c r="O343" s="159" t="s">
        <v>2660</v>
      </c>
      <c r="P343" s="158" t="s">
        <v>2662</v>
      </c>
      <c r="Q343" s="159" t="s">
        <v>2840</v>
      </c>
      <c r="R343" s="159" t="s">
        <v>2863</v>
      </c>
      <c r="S343" s="159"/>
      <c r="T343" s="166" t="s">
        <v>2339</v>
      </c>
      <c r="U343" s="158" t="s">
        <v>2626</v>
      </c>
      <c r="V343" s="158" t="s">
        <v>2621</v>
      </c>
      <c r="W343" s="159" t="s">
        <v>2660</v>
      </c>
      <c r="X343" s="158" t="s">
        <v>2662</v>
      </c>
      <c r="Y343" s="159" t="s">
        <v>2840</v>
      </c>
      <c r="Z343" s="159" t="s">
        <v>2863</v>
      </c>
      <c r="AA343" s="159"/>
      <c r="AB343" s="171">
        <v>46161</v>
      </c>
      <c r="AC343" s="159" t="s">
        <v>129</v>
      </c>
      <c r="AD343" s="158"/>
      <c r="AE343" s="159"/>
      <c r="AF343" s="159"/>
      <c r="AG343" s="159"/>
      <c r="AH343" s="159"/>
      <c r="AI343" s="159"/>
      <c r="AJ343" s="159"/>
      <c r="AK343" s="159" t="s">
        <v>2600</v>
      </c>
      <c r="AL343" s="159"/>
      <c r="AM343" s="159"/>
      <c r="AN343" s="162" t="s">
        <v>786</v>
      </c>
      <c r="AO343" s="162" t="s">
        <v>115</v>
      </c>
      <c r="AP343" s="162"/>
      <c r="AQ343" s="162"/>
      <c r="AR343" s="178" t="s">
        <v>2618</v>
      </c>
      <c r="AS343" s="178" t="s">
        <v>2618</v>
      </c>
      <c r="AT343" s="178"/>
      <c r="AU343" s="159"/>
      <c r="AV343" s="159"/>
      <c r="AW343" s="159"/>
      <c r="AX343" s="159"/>
      <c r="AY343" s="159"/>
      <c r="AZ343" s="159"/>
      <c r="BA343" s="159"/>
      <c r="BB343" s="159"/>
      <c r="BC343" s="159"/>
      <c r="BD343" s="162" t="s">
        <v>787</v>
      </c>
      <c r="BE343" s="156" t="s">
        <v>2322</v>
      </c>
      <c r="BF343" s="162" t="s">
        <v>841</v>
      </c>
      <c r="BG343" s="159" t="s">
        <v>129</v>
      </c>
      <c r="BH343" s="159" t="s">
        <v>46</v>
      </c>
      <c r="BI343" s="159" t="s">
        <v>41</v>
      </c>
      <c r="BJ343" s="156">
        <v>1</v>
      </c>
      <c r="BK343" s="162"/>
      <c r="BL343" s="156"/>
      <c r="BM343" s="162"/>
      <c r="BN343" s="162"/>
      <c r="BO343" s="162"/>
      <c r="BP343" s="162"/>
      <c r="BQ343" s="162"/>
      <c r="BR343" s="162"/>
    </row>
    <row r="344" spans="1:70" s="155" customFormat="1">
      <c r="A344" s="184" t="str">
        <f t="shared" si="5"/>
        <v>22605340</v>
      </c>
      <c r="B344" s="209" t="s">
        <v>2343</v>
      </c>
      <c r="C344" s="158" t="s">
        <v>3190</v>
      </c>
      <c r="D344" s="166" t="s">
        <v>2342</v>
      </c>
      <c r="E344" s="226" t="s">
        <v>3388</v>
      </c>
      <c r="F344" s="209" t="s">
        <v>2345</v>
      </c>
      <c r="G344" s="168">
        <v>33514</v>
      </c>
      <c r="H344" s="168" t="s">
        <v>528</v>
      </c>
      <c r="I344" s="159" t="s">
        <v>2569</v>
      </c>
      <c r="J344" s="159" t="s">
        <v>2619</v>
      </c>
      <c r="K344" s="160" t="s">
        <v>217</v>
      </c>
      <c r="L344" s="166" t="s">
        <v>2344</v>
      </c>
      <c r="M344" s="208" t="s">
        <v>2630</v>
      </c>
      <c r="N344" s="208" t="s">
        <v>2629</v>
      </c>
      <c r="O344" s="160" t="s">
        <v>2779</v>
      </c>
      <c r="P344" s="160" t="s">
        <v>2779</v>
      </c>
      <c r="Q344" s="159" t="s">
        <v>2859</v>
      </c>
      <c r="R344" s="159" t="s">
        <v>2863</v>
      </c>
      <c r="S344" s="160"/>
      <c r="T344" s="160" t="s">
        <v>3410</v>
      </c>
      <c r="U344" s="208"/>
      <c r="V344" s="208"/>
      <c r="W344" s="160" t="s">
        <v>3411</v>
      </c>
      <c r="X344" s="160" t="s">
        <v>3396</v>
      </c>
      <c r="Y344" s="160" t="s">
        <v>3396</v>
      </c>
      <c r="Z344" s="159" t="s">
        <v>2863</v>
      </c>
      <c r="AA344" s="160"/>
      <c r="AB344" s="168">
        <v>46168</v>
      </c>
      <c r="AC344" s="159" t="s">
        <v>45</v>
      </c>
      <c r="AD344" s="158"/>
      <c r="AE344" s="159"/>
      <c r="AF344" s="159"/>
      <c r="AG344" s="159"/>
      <c r="AH344" s="159"/>
      <c r="AI344" s="159"/>
      <c r="AJ344" s="159"/>
      <c r="AK344" s="159" t="s">
        <v>2600</v>
      </c>
      <c r="AL344" s="159"/>
      <c r="AM344" s="159"/>
      <c r="AN344" s="159" t="s">
        <v>786</v>
      </c>
      <c r="AO344" s="162" t="s">
        <v>78</v>
      </c>
      <c r="AP344" s="162"/>
      <c r="AQ344" s="162"/>
      <c r="AR344" s="178" t="s">
        <v>2618</v>
      </c>
      <c r="AS344" s="178" t="s">
        <v>2618</v>
      </c>
      <c r="AT344" s="178"/>
      <c r="AU344" s="159"/>
      <c r="AV344" s="159"/>
      <c r="AW344" s="159"/>
      <c r="AX344" s="159"/>
      <c r="AY344" s="159"/>
      <c r="AZ344" s="159"/>
      <c r="BA344" s="159"/>
      <c r="BB344" s="159"/>
      <c r="BC344" s="159"/>
      <c r="BD344" s="185" t="s">
        <v>1002</v>
      </c>
      <c r="BE344" s="156" t="s">
        <v>1434</v>
      </c>
      <c r="BF344" s="159"/>
      <c r="BG344" s="159" t="s">
        <v>45</v>
      </c>
      <c r="BH344" s="166" t="s">
        <v>72</v>
      </c>
      <c r="BI344" s="159" t="s">
        <v>41</v>
      </c>
      <c r="BJ344" s="156">
        <v>1</v>
      </c>
      <c r="BK344" s="162"/>
      <c r="BL344" s="156"/>
      <c r="BM344" s="162"/>
      <c r="BN344" s="162"/>
      <c r="BO344" s="162"/>
      <c r="BP344" s="162"/>
      <c r="BQ344" s="162"/>
      <c r="BR344" s="162"/>
    </row>
    <row r="345" spans="1:70" s="155" customFormat="1">
      <c r="A345" s="184" t="str">
        <f t="shared" si="5"/>
        <v>20001341</v>
      </c>
      <c r="B345" s="164"/>
      <c r="C345" s="158" t="s">
        <v>3191</v>
      </c>
      <c r="D345" s="156" t="s">
        <v>2269</v>
      </c>
      <c r="E345" s="156"/>
      <c r="F345" s="164"/>
      <c r="G345" s="170"/>
      <c r="H345" s="170"/>
      <c r="I345" s="159" t="s">
        <v>2570</v>
      </c>
      <c r="J345" s="159" t="s">
        <v>2619</v>
      </c>
      <c r="K345" s="159"/>
      <c r="L345" s="159"/>
      <c r="M345" s="158"/>
      <c r="N345" s="158"/>
      <c r="O345" s="159"/>
      <c r="P345" s="159"/>
      <c r="Q345" s="159" t="s">
        <v>2840</v>
      </c>
      <c r="R345" s="159" t="s">
        <v>2863</v>
      </c>
      <c r="S345" s="159"/>
      <c r="T345" s="159"/>
      <c r="U345" s="158"/>
      <c r="V345" s="158"/>
      <c r="W345" s="159"/>
      <c r="X345" s="159"/>
      <c r="Y345" s="159"/>
      <c r="Z345" s="159"/>
      <c r="AA345" s="159"/>
      <c r="AB345" s="170"/>
      <c r="AC345" s="159" t="s">
        <v>45</v>
      </c>
      <c r="AD345" s="158"/>
      <c r="AE345" s="159"/>
      <c r="AF345" s="159"/>
      <c r="AG345" s="159"/>
      <c r="AH345" s="159"/>
      <c r="AI345" s="159"/>
      <c r="AJ345" s="159"/>
      <c r="AK345" s="159" t="s">
        <v>2600</v>
      </c>
      <c r="AL345" s="159"/>
      <c r="AM345" s="159"/>
      <c r="AN345" s="156" t="s">
        <v>2273</v>
      </c>
      <c r="AO345" s="162" t="s">
        <v>54</v>
      </c>
      <c r="AP345" s="162"/>
      <c r="AQ345" s="162"/>
      <c r="AR345" s="178" t="s">
        <v>2618</v>
      </c>
      <c r="AS345" s="178" t="s">
        <v>2618</v>
      </c>
      <c r="AT345" s="178"/>
      <c r="AU345" s="159"/>
      <c r="AV345" s="159"/>
      <c r="AW345" s="159"/>
      <c r="AX345" s="159"/>
      <c r="AY345" s="159"/>
      <c r="AZ345" s="159"/>
      <c r="BA345" s="159"/>
      <c r="BB345" s="159"/>
      <c r="BC345" s="159"/>
      <c r="BD345" s="156"/>
      <c r="BE345" s="154"/>
      <c r="BF345" s="156"/>
      <c r="BG345" s="159" t="s">
        <v>45</v>
      </c>
      <c r="BH345" s="156"/>
      <c r="BI345" s="159" t="s">
        <v>41</v>
      </c>
      <c r="BJ345" s="156">
        <v>2</v>
      </c>
      <c r="BL345" s="156"/>
      <c r="BM345" s="162"/>
      <c r="BN345" s="162"/>
      <c r="BO345" s="162"/>
      <c r="BP345" s="162"/>
      <c r="BQ345" s="162"/>
      <c r="BR345" s="162"/>
    </row>
    <row r="346" spans="1:70">
      <c r="A346" s="184" t="str">
        <f t="shared" si="5"/>
        <v>10001342</v>
      </c>
      <c r="B346" s="164"/>
      <c r="C346" s="158" t="s">
        <v>3192</v>
      </c>
      <c r="D346" s="159" t="s">
        <v>526</v>
      </c>
      <c r="E346" s="159"/>
      <c r="F346" s="164"/>
      <c r="G346" s="167">
        <v>30585</v>
      </c>
      <c r="H346" s="167"/>
      <c r="I346" s="159" t="s">
        <v>2569</v>
      </c>
      <c r="J346" s="159" t="s">
        <v>2619</v>
      </c>
      <c r="K346" s="159"/>
      <c r="L346" s="159" t="s">
        <v>528</v>
      </c>
      <c r="M346" s="158"/>
      <c r="N346" s="158"/>
      <c r="O346" s="159"/>
      <c r="P346" s="159"/>
      <c r="Q346" s="159" t="s">
        <v>2859</v>
      </c>
      <c r="R346" s="159" t="s">
        <v>2863</v>
      </c>
      <c r="S346" s="159"/>
      <c r="T346" s="159"/>
      <c r="U346" s="158"/>
      <c r="V346" s="158"/>
      <c r="W346" s="159"/>
      <c r="X346" s="159"/>
      <c r="Y346" s="159"/>
      <c r="Z346" s="159"/>
      <c r="AA346" s="159"/>
      <c r="AB346" s="167"/>
      <c r="AC346" s="159" t="s">
        <v>30</v>
      </c>
      <c r="AD346" s="158"/>
      <c r="AE346" s="159"/>
      <c r="AF346" s="159"/>
      <c r="AG346" s="159"/>
      <c r="AH346" s="159"/>
      <c r="AI346" s="159"/>
      <c r="AJ346" s="159"/>
      <c r="AK346" s="159" t="s">
        <v>2600</v>
      </c>
      <c r="AL346" s="159"/>
      <c r="AM346" s="159"/>
      <c r="AN346" s="185" t="s">
        <v>527</v>
      </c>
      <c r="AO346" s="172" t="s">
        <v>54</v>
      </c>
      <c r="AP346" s="172"/>
      <c r="AQ346" s="172"/>
      <c r="AR346" s="178" t="s">
        <v>2618</v>
      </c>
      <c r="AS346" s="178" t="s">
        <v>2618</v>
      </c>
      <c r="BD346" s="159"/>
      <c r="BF346" s="156"/>
      <c r="BG346" s="159" t="s">
        <v>30</v>
      </c>
      <c r="BH346" s="159" t="s">
        <v>72</v>
      </c>
      <c r="BI346" s="159" t="s">
        <v>41</v>
      </c>
      <c r="BJ346" s="162">
        <v>3</v>
      </c>
      <c r="BL346" s="156"/>
    </row>
    <row r="347" spans="1:70">
      <c r="A347" s="184" t="str">
        <f t="shared" si="5"/>
        <v>10001343</v>
      </c>
      <c r="B347" s="158" t="s">
        <v>33</v>
      </c>
      <c r="C347" s="158" t="s">
        <v>3193</v>
      </c>
      <c r="D347" s="159" t="s">
        <v>27</v>
      </c>
      <c r="E347" s="159"/>
      <c r="F347" s="158" t="s">
        <v>36</v>
      </c>
      <c r="G347" s="167">
        <v>29404</v>
      </c>
      <c r="H347" s="167"/>
      <c r="I347" s="159" t="s">
        <v>2569</v>
      </c>
      <c r="J347" s="159" t="s">
        <v>2619</v>
      </c>
      <c r="K347" s="159" t="s">
        <v>35</v>
      </c>
      <c r="L347" s="159" t="s">
        <v>34</v>
      </c>
      <c r="M347" s="158" t="s">
        <v>2644</v>
      </c>
      <c r="N347" s="158" t="s">
        <v>2629</v>
      </c>
      <c r="O347" s="159" t="s">
        <v>2732</v>
      </c>
      <c r="P347" s="159" t="s">
        <v>2732</v>
      </c>
      <c r="Q347" s="159" t="s">
        <v>2840</v>
      </c>
      <c r="R347" s="159" t="s">
        <v>2863</v>
      </c>
      <c r="S347" s="159"/>
      <c r="T347" s="159"/>
      <c r="U347" s="158"/>
      <c r="V347" s="158"/>
      <c r="W347" s="159"/>
      <c r="X347" s="159"/>
      <c r="Y347" s="159"/>
      <c r="Z347" s="159"/>
      <c r="AA347" s="159"/>
      <c r="AB347" s="167"/>
      <c r="AC347" s="159" t="s">
        <v>30</v>
      </c>
      <c r="AD347" s="158"/>
      <c r="AE347" s="159"/>
      <c r="AF347" s="159"/>
      <c r="AG347" s="159"/>
      <c r="AH347" s="159"/>
      <c r="AI347" s="159"/>
      <c r="AJ347" s="159"/>
      <c r="AK347" s="159" t="s">
        <v>2600</v>
      </c>
      <c r="AL347" s="159"/>
      <c r="AM347" s="159"/>
      <c r="AN347" s="159" t="s">
        <v>29</v>
      </c>
      <c r="AO347" s="172" t="s">
        <v>28</v>
      </c>
      <c r="AP347" s="172"/>
      <c r="AQ347" s="172"/>
      <c r="AR347" s="178" t="s">
        <v>2618</v>
      </c>
      <c r="AS347" s="178" t="s">
        <v>2618</v>
      </c>
      <c r="BD347" s="159"/>
      <c r="BF347" s="159"/>
      <c r="BG347" s="159" t="s">
        <v>30</v>
      </c>
      <c r="BH347" s="159" t="s">
        <v>32</v>
      </c>
      <c r="BI347" s="159" t="s">
        <v>41</v>
      </c>
      <c r="BJ347" s="156">
        <v>3</v>
      </c>
      <c r="BL347" s="156"/>
    </row>
    <row r="348" spans="1:70">
      <c r="A348" s="184" t="str">
        <f t="shared" si="5"/>
        <v>20001344</v>
      </c>
      <c r="B348" s="158" t="s">
        <v>56</v>
      </c>
      <c r="C348" s="158" t="s">
        <v>3194</v>
      </c>
      <c r="D348" s="159" t="s">
        <v>53</v>
      </c>
      <c r="E348" s="159"/>
      <c r="F348" s="158" t="s">
        <v>58</v>
      </c>
      <c r="G348" s="167">
        <v>31610</v>
      </c>
      <c r="H348" s="167"/>
      <c r="I348" s="159" t="s">
        <v>2570</v>
      </c>
      <c r="J348" s="159" t="s">
        <v>2619</v>
      </c>
      <c r="K348" s="159" t="s">
        <v>35</v>
      </c>
      <c r="L348" s="159" t="s">
        <v>57</v>
      </c>
      <c r="M348" s="158" t="s">
        <v>2630</v>
      </c>
      <c r="N348" s="158" t="s">
        <v>2623</v>
      </c>
      <c r="O348" s="159" t="s">
        <v>2681</v>
      </c>
      <c r="P348" s="158" t="s">
        <v>2662</v>
      </c>
      <c r="Q348" s="159" t="s">
        <v>2840</v>
      </c>
      <c r="R348" s="159" t="s">
        <v>2863</v>
      </c>
      <c r="S348" s="159"/>
      <c r="T348" s="159"/>
      <c r="U348" s="158"/>
      <c r="V348" s="158"/>
      <c r="W348" s="159"/>
      <c r="X348" s="159"/>
      <c r="Y348" s="159"/>
      <c r="Z348" s="159"/>
      <c r="AA348" s="159"/>
      <c r="AB348" s="167"/>
      <c r="AC348" s="159" t="s">
        <v>45</v>
      </c>
      <c r="AD348" s="158"/>
      <c r="AE348" s="159"/>
      <c r="AF348" s="159"/>
      <c r="AG348" s="159"/>
      <c r="AH348" s="159"/>
      <c r="AI348" s="159"/>
      <c r="AJ348" s="159"/>
      <c r="AK348" s="159" t="s">
        <v>2600</v>
      </c>
      <c r="AL348" s="159"/>
      <c r="AM348" s="159"/>
      <c r="AN348" s="159" t="s">
        <v>29</v>
      </c>
      <c r="AO348" s="172" t="s">
        <v>54</v>
      </c>
      <c r="AP348" s="172"/>
      <c r="AQ348" s="172"/>
      <c r="AR348" s="178" t="s">
        <v>2618</v>
      </c>
      <c r="AS348" s="178" t="s">
        <v>2618</v>
      </c>
      <c r="BD348" s="159"/>
      <c r="BF348" s="159"/>
      <c r="BG348" s="159" t="s">
        <v>45</v>
      </c>
      <c r="BH348" s="159" t="s">
        <v>32</v>
      </c>
      <c r="BI348" s="159" t="s">
        <v>41</v>
      </c>
      <c r="BJ348" s="156">
        <v>3</v>
      </c>
      <c r="BL348" s="156"/>
    </row>
    <row r="349" spans="1:70">
      <c r="A349" s="184" t="str">
        <f t="shared" si="5"/>
        <v>20001345</v>
      </c>
      <c r="B349" s="158"/>
      <c r="C349" s="158" t="s">
        <v>3195</v>
      </c>
      <c r="D349" s="159" t="s">
        <v>89</v>
      </c>
      <c r="E349" s="159"/>
      <c r="F349" s="158"/>
      <c r="G349" s="167"/>
      <c r="H349" s="167"/>
      <c r="I349" s="159"/>
      <c r="J349" s="159" t="s">
        <v>2619</v>
      </c>
      <c r="K349" s="159"/>
      <c r="L349" s="159"/>
      <c r="M349" s="158"/>
      <c r="N349" s="158"/>
      <c r="O349" s="159"/>
      <c r="P349" s="159"/>
      <c r="Q349" s="159" t="s">
        <v>2840</v>
      </c>
      <c r="R349" s="159" t="s">
        <v>2863</v>
      </c>
      <c r="S349" s="159"/>
      <c r="T349" s="159"/>
      <c r="U349" s="158"/>
      <c r="V349" s="158"/>
      <c r="W349" s="159"/>
      <c r="X349" s="159"/>
      <c r="Y349" s="159"/>
      <c r="Z349" s="159"/>
      <c r="AA349" s="159"/>
      <c r="AB349" s="167"/>
      <c r="AC349" s="159" t="s">
        <v>45</v>
      </c>
      <c r="AD349" s="158"/>
      <c r="AE349" s="159"/>
      <c r="AF349" s="159"/>
      <c r="AG349" s="159"/>
      <c r="AH349" s="159"/>
      <c r="AI349" s="159"/>
      <c r="AJ349" s="159"/>
      <c r="AK349" s="159" t="s">
        <v>2600</v>
      </c>
      <c r="AL349" s="159"/>
      <c r="AM349" s="159"/>
      <c r="AN349" s="159" t="s">
        <v>29</v>
      </c>
      <c r="AO349" s="172" t="s">
        <v>78</v>
      </c>
      <c r="AP349" s="172"/>
      <c r="AQ349" s="172"/>
      <c r="AR349" s="178" t="s">
        <v>2618</v>
      </c>
      <c r="AS349" s="178" t="s">
        <v>2618</v>
      </c>
      <c r="BD349" s="156"/>
      <c r="BF349" s="159"/>
      <c r="BG349" s="159" t="s">
        <v>45</v>
      </c>
      <c r="BH349" s="159"/>
      <c r="BI349" s="159" t="s">
        <v>41</v>
      </c>
      <c r="BJ349" s="156">
        <v>1</v>
      </c>
      <c r="BL349" s="156"/>
    </row>
    <row r="350" spans="1:70">
      <c r="A350" s="184" t="str">
        <f t="shared" si="5"/>
        <v>30001346</v>
      </c>
      <c r="B350" s="158" t="s">
        <v>122</v>
      </c>
      <c r="C350" s="158" t="s">
        <v>3196</v>
      </c>
      <c r="D350" s="159" t="s">
        <v>120</v>
      </c>
      <c r="E350" s="159"/>
      <c r="F350" s="158" t="s">
        <v>124</v>
      </c>
      <c r="G350" s="167">
        <v>28113</v>
      </c>
      <c r="H350" s="167"/>
      <c r="I350" s="159" t="s">
        <v>2569</v>
      </c>
      <c r="J350" s="159" t="s">
        <v>2619</v>
      </c>
      <c r="K350" s="159" t="s">
        <v>35</v>
      </c>
      <c r="L350" s="159" t="s">
        <v>123</v>
      </c>
      <c r="M350" s="158" t="s">
        <v>2625</v>
      </c>
      <c r="N350" s="158" t="s">
        <v>2621</v>
      </c>
      <c r="O350" s="159" t="s">
        <v>2658</v>
      </c>
      <c r="P350" s="159" t="s">
        <v>2808</v>
      </c>
      <c r="Q350" s="159" t="s">
        <v>2843</v>
      </c>
      <c r="R350" s="159" t="s">
        <v>2863</v>
      </c>
      <c r="S350" s="159"/>
      <c r="T350" s="159"/>
      <c r="U350" s="158"/>
      <c r="V350" s="158"/>
      <c r="W350" s="159"/>
      <c r="X350" s="159"/>
      <c r="Y350" s="159"/>
      <c r="Z350" s="159"/>
      <c r="AA350" s="159"/>
      <c r="AB350" s="167"/>
      <c r="AC350" s="159" t="s">
        <v>71</v>
      </c>
      <c r="AD350" s="158"/>
      <c r="AE350" s="159"/>
      <c r="AF350" s="159"/>
      <c r="AG350" s="159"/>
      <c r="AH350" s="159"/>
      <c r="AI350" s="159"/>
      <c r="AJ350" s="159"/>
      <c r="AK350" s="159" t="s">
        <v>2600</v>
      </c>
      <c r="AL350" s="159"/>
      <c r="AM350" s="159"/>
      <c r="AN350" s="159" t="s">
        <v>29</v>
      </c>
      <c r="AO350" s="172" t="s">
        <v>115</v>
      </c>
      <c r="AP350" s="172"/>
      <c r="AQ350" s="172"/>
      <c r="AR350" s="178" t="s">
        <v>2618</v>
      </c>
      <c r="AS350" s="178" t="s">
        <v>2618</v>
      </c>
      <c r="BD350" s="156"/>
      <c r="BF350" s="159"/>
      <c r="BG350" s="159" t="s">
        <v>71</v>
      </c>
      <c r="BH350" s="159" t="s">
        <v>121</v>
      </c>
      <c r="BI350" s="159" t="s">
        <v>41</v>
      </c>
      <c r="BJ350" s="156">
        <v>1</v>
      </c>
      <c r="BL350" s="156"/>
    </row>
    <row r="351" spans="1:70" s="186" customFormat="1">
      <c r="A351" s="184" t="str">
        <f t="shared" si="5"/>
        <v>30001347</v>
      </c>
      <c r="B351" s="158"/>
      <c r="C351" s="158" t="s">
        <v>3197</v>
      </c>
      <c r="D351" s="159" t="s">
        <v>126</v>
      </c>
      <c r="E351" s="159"/>
      <c r="F351" s="158"/>
      <c r="G351" s="167"/>
      <c r="H351" s="167"/>
      <c r="I351" s="159"/>
      <c r="J351" s="159" t="s">
        <v>2619</v>
      </c>
      <c r="K351" s="159"/>
      <c r="L351" s="159"/>
      <c r="M351" s="158"/>
      <c r="N351" s="158"/>
      <c r="O351" s="159"/>
      <c r="P351" s="159"/>
      <c r="Q351" s="159" t="s">
        <v>2840</v>
      </c>
      <c r="R351" s="159" t="s">
        <v>2863</v>
      </c>
      <c r="S351" s="159"/>
      <c r="T351" s="159"/>
      <c r="U351" s="158"/>
      <c r="V351" s="158"/>
      <c r="W351" s="159"/>
      <c r="X351" s="159"/>
      <c r="Y351" s="159"/>
      <c r="Z351" s="159"/>
      <c r="AA351" s="159"/>
      <c r="AB351" s="167"/>
      <c r="AC351" s="159" t="s">
        <v>71</v>
      </c>
      <c r="AD351" s="158"/>
      <c r="AE351" s="159"/>
      <c r="AF351" s="159"/>
      <c r="AG351" s="159"/>
      <c r="AH351" s="159"/>
      <c r="AI351" s="159"/>
      <c r="AJ351" s="159"/>
      <c r="AK351" s="159" t="s">
        <v>2600</v>
      </c>
      <c r="AL351" s="159"/>
      <c r="AM351" s="159"/>
      <c r="AN351" s="159" t="s">
        <v>29</v>
      </c>
      <c r="AO351" s="172" t="s">
        <v>115</v>
      </c>
      <c r="AP351" s="172"/>
      <c r="AQ351" s="172"/>
      <c r="AR351" s="178" t="s">
        <v>2618</v>
      </c>
      <c r="AS351" s="178" t="s">
        <v>2618</v>
      </c>
      <c r="AT351" s="178"/>
      <c r="AU351" s="159"/>
      <c r="AV351" s="159"/>
      <c r="AW351" s="159"/>
      <c r="AX351" s="159"/>
      <c r="AY351" s="159"/>
      <c r="AZ351" s="159"/>
      <c r="BA351" s="159"/>
      <c r="BB351" s="159"/>
      <c r="BC351" s="159"/>
      <c r="BD351" s="156"/>
      <c r="BE351" s="156"/>
      <c r="BF351" s="159"/>
      <c r="BG351" s="159" t="s">
        <v>71</v>
      </c>
      <c r="BH351" s="159"/>
      <c r="BI351" s="159" t="s">
        <v>41</v>
      </c>
      <c r="BJ351" s="156">
        <v>1</v>
      </c>
      <c r="BL351" s="156"/>
      <c r="BM351" s="162"/>
      <c r="BN351" s="162"/>
      <c r="BO351" s="162"/>
      <c r="BP351" s="162"/>
      <c r="BQ351" s="162"/>
      <c r="BR351" s="162"/>
    </row>
    <row r="352" spans="1:70" s="186" customFormat="1">
      <c r="A352" s="184" t="str">
        <f t="shared" si="5"/>
        <v>40001348</v>
      </c>
      <c r="B352" s="158" t="s">
        <v>130</v>
      </c>
      <c r="C352" s="158" t="s">
        <v>3198</v>
      </c>
      <c r="D352" s="159" t="s">
        <v>127</v>
      </c>
      <c r="E352" s="159"/>
      <c r="F352" s="158" t="s">
        <v>132</v>
      </c>
      <c r="G352" s="167">
        <v>33239</v>
      </c>
      <c r="H352" s="167"/>
      <c r="I352" s="159" t="s">
        <v>2569</v>
      </c>
      <c r="J352" s="159" t="s">
        <v>2619</v>
      </c>
      <c r="K352" s="159" t="s">
        <v>35</v>
      </c>
      <c r="L352" s="159" t="s">
        <v>131</v>
      </c>
      <c r="M352" s="158" t="s">
        <v>2623</v>
      </c>
      <c r="N352" s="158" t="s">
        <v>2623</v>
      </c>
      <c r="O352" s="159" t="s">
        <v>2677</v>
      </c>
      <c r="P352" s="159" t="s">
        <v>2659</v>
      </c>
      <c r="Q352" s="159" t="s">
        <v>2840</v>
      </c>
      <c r="R352" s="159" t="s">
        <v>2863</v>
      </c>
      <c r="S352" s="159"/>
      <c r="T352" s="159"/>
      <c r="U352" s="158"/>
      <c r="V352" s="158"/>
      <c r="W352" s="159"/>
      <c r="X352" s="159"/>
      <c r="Y352" s="159"/>
      <c r="Z352" s="159"/>
      <c r="AA352" s="159"/>
      <c r="AB352" s="167"/>
      <c r="AC352" s="159" t="s">
        <v>129</v>
      </c>
      <c r="AD352" s="158"/>
      <c r="AE352" s="159"/>
      <c r="AF352" s="159"/>
      <c r="AG352" s="159"/>
      <c r="AH352" s="159"/>
      <c r="AI352" s="159"/>
      <c r="AJ352" s="159"/>
      <c r="AK352" s="159" t="s">
        <v>2600</v>
      </c>
      <c r="AL352" s="159"/>
      <c r="AM352" s="159"/>
      <c r="AN352" s="159" t="s">
        <v>29</v>
      </c>
      <c r="AO352" s="172" t="s">
        <v>115</v>
      </c>
      <c r="AP352" s="172"/>
      <c r="AQ352" s="172"/>
      <c r="AR352" s="178" t="s">
        <v>2618</v>
      </c>
      <c r="AS352" s="178" t="s">
        <v>2618</v>
      </c>
      <c r="AT352" s="178"/>
      <c r="AU352" s="159"/>
      <c r="AV352" s="159"/>
      <c r="AW352" s="159"/>
      <c r="AX352" s="159"/>
      <c r="AY352" s="159"/>
      <c r="AZ352" s="159"/>
      <c r="BA352" s="159"/>
      <c r="BB352" s="159"/>
      <c r="BC352" s="159"/>
      <c r="BD352" s="156"/>
      <c r="BE352" s="185" t="s">
        <v>128</v>
      </c>
      <c r="BF352" s="159"/>
      <c r="BG352" s="159" t="s">
        <v>129</v>
      </c>
      <c r="BH352" s="159" t="s">
        <v>46</v>
      </c>
      <c r="BI352" s="159" t="s">
        <v>41</v>
      </c>
      <c r="BJ352" s="156">
        <v>1</v>
      </c>
      <c r="BL352" s="156"/>
      <c r="BM352" s="162"/>
      <c r="BN352" s="162"/>
      <c r="BO352" s="162"/>
      <c r="BP352" s="162"/>
      <c r="BQ352" s="162"/>
      <c r="BR352" s="162"/>
    </row>
    <row r="353" spans="1:70" s="190" customFormat="1">
      <c r="A353" s="184" t="str">
        <f t="shared" si="5"/>
        <v>40001349</v>
      </c>
      <c r="B353" s="158" t="s">
        <v>154</v>
      </c>
      <c r="C353" s="158" t="s">
        <v>3199</v>
      </c>
      <c r="D353" s="159" t="s">
        <v>153</v>
      </c>
      <c r="E353" s="159"/>
      <c r="F353" s="158" t="s">
        <v>156</v>
      </c>
      <c r="G353" s="167">
        <v>34845</v>
      </c>
      <c r="H353" s="167"/>
      <c r="I353" s="159" t="s">
        <v>2569</v>
      </c>
      <c r="J353" s="159" t="s">
        <v>2619</v>
      </c>
      <c r="K353" s="159" t="s">
        <v>35</v>
      </c>
      <c r="L353" s="159" t="s">
        <v>155</v>
      </c>
      <c r="M353" s="158" t="s">
        <v>2629</v>
      </c>
      <c r="N353" s="158" t="s">
        <v>2623</v>
      </c>
      <c r="O353" s="159" t="s">
        <v>2668</v>
      </c>
      <c r="P353" s="158" t="s">
        <v>2662</v>
      </c>
      <c r="Q353" s="159" t="s">
        <v>2840</v>
      </c>
      <c r="R353" s="159" t="s">
        <v>2863</v>
      </c>
      <c r="S353" s="159"/>
      <c r="T353" s="159"/>
      <c r="U353" s="158"/>
      <c r="V353" s="158"/>
      <c r="W353" s="159"/>
      <c r="X353" s="159"/>
      <c r="Y353" s="159"/>
      <c r="Z353" s="159"/>
      <c r="AA353" s="159"/>
      <c r="AB353" s="167"/>
      <c r="AC353" s="159" t="s">
        <v>129</v>
      </c>
      <c r="AD353" s="158"/>
      <c r="AE353" s="159"/>
      <c r="AF353" s="159"/>
      <c r="AG353" s="159"/>
      <c r="AH353" s="159"/>
      <c r="AI353" s="159"/>
      <c r="AJ353" s="159"/>
      <c r="AK353" s="159" t="s">
        <v>2600</v>
      </c>
      <c r="AL353" s="159"/>
      <c r="AM353" s="159"/>
      <c r="AN353" s="159" t="s">
        <v>29</v>
      </c>
      <c r="AO353" s="172" t="s">
        <v>115</v>
      </c>
      <c r="AP353" s="172"/>
      <c r="AQ353" s="172"/>
      <c r="AR353" s="178" t="s">
        <v>2618</v>
      </c>
      <c r="AS353" s="178" t="s">
        <v>2618</v>
      </c>
      <c r="AT353" s="178"/>
      <c r="AU353" s="159"/>
      <c r="AV353" s="159"/>
      <c r="AW353" s="159"/>
      <c r="AX353" s="159"/>
      <c r="AY353" s="159"/>
      <c r="AZ353" s="159"/>
      <c r="BA353" s="159"/>
      <c r="BB353" s="159"/>
      <c r="BC353" s="159"/>
      <c r="BD353" s="156"/>
      <c r="BE353" s="185" t="s">
        <v>128</v>
      </c>
      <c r="BF353" s="159"/>
      <c r="BG353" s="159" t="s">
        <v>129</v>
      </c>
      <c r="BH353" s="159" t="s">
        <v>121</v>
      </c>
      <c r="BI353" s="159" t="s">
        <v>41</v>
      </c>
      <c r="BJ353" s="156">
        <v>1</v>
      </c>
      <c r="BL353" s="156"/>
      <c r="BM353" s="162"/>
      <c r="BN353" s="162"/>
      <c r="BO353" s="162"/>
      <c r="BP353" s="162"/>
      <c r="BQ353" s="162"/>
      <c r="BR353" s="162"/>
    </row>
    <row r="354" spans="1:70" s="156" customFormat="1">
      <c r="A354" s="184" t="str">
        <f t="shared" si="5"/>
        <v>40001350</v>
      </c>
      <c r="B354" s="158" t="s">
        <v>159</v>
      </c>
      <c r="C354" s="158" t="s">
        <v>3200</v>
      </c>
      <c r="D354" s="159" t="s">
        <v>157</v>
      </c>
      <c r="E354" s="159"/>
      <c r="F354" s="158"/>
      <c r="G354" s="167">
        <v>29755</v>
      </c>
      <c r="H354" s="167"/>
      <c r="I354" s="159" t="s">
        <v>2569</v>
      </c>
      <c r="J354" s="159" t="s">
        <v>2619</v>
      </c>
      <c r="K354" s="159" t="s">
        <v>35</v>
      </c>
      <c r="L354" s="159" t="s">
        <v>160</v>
      </c>
      <c r="M354" s="158" t="s">
        <v>2625</v>
      </c>
      <c r="N354" s="158" t="s">
        <v>2623</v>
      </c>
      <c r="O354" s="159" t="s">
        <v>2668</v>
      </c>
      <c r="P354" s="158" t="s">
        <v>2662</v>
      </c>
      <c r="Q354" s="159" t="s">
        <v>2840</v>
      </c>
      <c r="R354" s="159" t="s">
        <v>2863</v>
      </c>
      <c r="S354" s="159"/>
      <c r="T354" s="159"/>
      <c r="U354" s="158"/>
      <c r="V354" s="158"/>
      <c r="W354" s="159"/>
      <c r="X354" s="159"/>
      <c r="Y354" s="159"/>
      <c r="Z354" s="159"/>
      <c r="AA354" s="159"/>
      <c r="AB354" s="167"/>
      <c r="AC354" s="159" t="s">
        <v>129</v>
      </c>
      <c r="AD354" s="158"/>
      <c r="AE354" s="159"/>
      <c r="AF354" s="159"/>
      <c r="AG354" s="159"/>
      <c r="AH354" s="159"/>
      <c r="AI354" s="159"/>
      <c r="AJ354" s="159"/>
      <c r="AK354" s="159" t="s">
        <v>2600</v>
      </c>
      <c r="AL354" s="159"/>
      <c r="AM354" s="159"/>
      <c r="AN354" s="159" t="s">
        <v>29</v>
      </c>
      <c r="AO354" s="172" t="s">
        <v>115</v>
      </c>
      <c r="AP354" s="172"/>
      <c r="AQ354" s="172"/>
      <c r="AR354" s="178" t="s">
        <v>2618</v>
      </c>
      <c r="AS354" s="178" t="s">
        <v>2618</v>
      </c>
      <c r="AT354" s="178"/>
      <c r="AU354" s="159"/>
      <c r="AV354" s="159"/>
      <c r="AW354" s="159"/>
      <c r="AX354" s="159"/>
      <c r="AY354" s="159"/>
      <c r="AZ354" s="159"/>
      <c r="BA354" s="159"/>
      <c r="BB354" s="159"/>
      <c r="BC354" s="159"/>
      <c r="BE354" s="185" t="s">
        <v>128</v>
      </c>
      <c r="BF354" s="159"/>
      <c r="BG354" s="159" t="s">
        <v>129</v>
      </c>
      <c r="BH354" s="159" t="s">
        <v>158</v>
      </c>
      <c r="BI354" s="159" t="s">
        <v>41</v>
      </c>
      <c r="BJ354" s="156">
        <v>1</v>
      </c>
      <c r="BM354" s="162"/>
      <c r="BN354" s="162"/>
      <c r="BO354" s="162"/>
      <c r="BP354" s="162"/>
      <c r="BQ354" s="162"/>
      <c r="BR354" s="162"/>
    </row>
    <row r="355" spans="1:70" s="186" customFormat="1">
      <c r="A355" s="184" t="str">
        <f t="shared" si="5"/>
        <v>40001351</v>
      </c>
      <c r="B355" s="158" t="s">
        <v>168</v>
      </c>
      <c r="C355" s="158" t="s">
        <v>3201</v>
      </c>
      <c r="D355" s="159" t="s">
        <v>167</v>
      </c>
      <c r="E355" s="159"/>
      <c r="F355" s="158" t="s">
        <v>169</v>
      </c>
      <c r="G355" s="167">
        <v>29157</v>
      </c>
      <c r="H355" s="167"/>
      <c r="I355" s="159" t="s">
        <v>2569</v>
      </c>
      <c r="J355" s="159" t="s">
        <v>2619</v>
      </c>
      <c r="K355" s="159" t="s">
        <v>35</v>
      </c>
      <c r="L355" s="159" t="s">
        <v>136</v>
      </c>
      <c r="M355" s="158" t="s">
        <v>2626</v>
      </c>
      <c r="N355" s="158" t="s">
        <v>2639</v>
      </c>
      <c r="O355" s="159" t="s">
        <v>2699</v>
      </c>
      <c r="P355" s="159" t="s">
        <v>2659</v>
      </c>
      <c r="Q355" s="159" t="s">
        <v>2840</v>
      </c>
      <c r="R355" s="159" t="s">
        <v>2863</v>
      </c>
      <c r="S355" s="159"/>
      <c r="T355" s="159"/>
      <c r="U355" s="158"/>
      <c r="V355" s="158"/>
      <c r="W355" s="159"/>
      <c r="X355" s="159"/>
      <c r="Y355" s="159"/>
      <c r="Z355" s="159"/>
      <c r="AA355" s="159"/>
      <c r="AB355" s="167"/>
      <c r="AC355" s="159" t="s">
        <v>129</v>
      </c>
      <c r="AD355" s="158"/>
      <c r="AE355" s="159"/>
      <c r="AF355" s="159"/>
      <c r="AG355" s="159"/>
      <c r="AH355" s="159"/>
      <c r="AI355" s="159"/>
      <c r="AJ355" s="159"/>
      <c r="AK355" s="159" t="s">
        <v>2600</v>
      </c>
      <c r="AL355" s="159"/>
      <c r="AM355" s="159"/>
      <c r="AN355" s="159" t="s">
        <v>29</v>
      </c>
      <c r="AO355" s="172" t="s">
        <v>115</v>
      </c>
      <c r="AP355" s="172"/>
      <c r="AQ355" s="172"/>
      <c r="AR355" s="178" t="s">
        <v>2618</v>
      </c>
      <c r="AS355" s="178" t="s">
        <v>2618</v>
      </c>
      <c r="AT355" s="178"/>
      <c r="AU355" s="159"/>
      <c r="AV355" s="159"/>
      <c r="AW355" s="159"/>
      <c r="AX355" s="159"/>
      <c r="AY355" s="159"/>
      <c r="AZ355" s="159"/>
      <c r="BA355" s="159"/>
      <c r="BB355" s="159"/>
      <c r="BC355" s="159"/>
      <c r="BD355" s="156"/>
      <c r="BE355" s="185" t="s">
        <v>128</v>
      </c>
      <c r="BF355" s="159"/>
      <c r="BG355" s="159" t="s">
        <v>129</v>
      </c>
      <c r="BH355" s="159" t="s">
        <v>46</v>
      </c>
      <c r="BI355" s="159" t="s">
        <v>41</v>
      </c>
      <c r="BJ355" s="156">
        <v>1</v>
      </c>
      <c r="BL355" s="156"/>
      <c r="BM355" s="162"/>
      <c r="BN355" s="162"/>
      <c r="BO355" s="162"/>
      <c r="BP355" s="162"/>
      <c r="BQ355" s="162"/>
      <c r="BR355" s="162"/>
    </row>
    <row r="356" spans="1:70" s="190" customFormat="1">
      <c r="A356" s="184" t="str">
        <f t="shared" si="5"/>
        <v>40001352</v>
      </c>
      <c r="B356" s="158" t="s">
        <v>172</v>
      </c>
      <c r="C356" s="158" t="s">
        <v>3202</v>
      </c>
      <c r="D356" s="159" t="s">
        <v>171</v>
      </c>
      <c r="E356" s="159"/>
      <c r="F356" s="158" t="s">
        <v>174</v>
      </c>
      <c r="G356" s="167">
        <v>29387</v>
      </c>
      <c r="H356" s="167"/>
      <c r="I356" s="159" t="s">
        <v>2569</v>
      </c>
      <c r="J356" s="159" t="s">
        <v>2619</v>
      </c>
      <c r="K356" s="159" t="s">
        <v>35</v>
      </c>
      <c r="L356" s="159" t="s">
        <v>173</v>
      </c>
      <c r="M356" s="158" t="s">
        <v>2625</v>
      </c>
      <c r="N356" s="158" t="s">
        <v>2639</v>
      </c>
      <c r="O356" s="159" t="s">
        <v>2664</v>
      </c>
      <c r="P356" s="159" t="s">
        <v>2790</v>
      </c>
      <c r="Q356" s="159" t="s">
        <v>2844</v>
      </c>
      <c r="R356" s="159" t="s">
        <v>2863</v>
      </c>
      <c r="S356" s="159"/>
      <c r="T356" s="159"/>
      <c r="U356" s="158"/>
      <c r="V356" s="158"/>
      <c r="W356" s="159"/>
      <c r="X356" s="159"/>
      <c r="Y356" s="159"/>
      <c r="Z356" s="159"/>
      <c r="AA356" s="159"/>
      <c r="AB356" s="167"/>
      <c r="AC356" s="159" t="s">
        <v>129</v>
      </c>
      <c r="AD356" s="158"/>
      <c r="AE356" s="159"/>
      <c r="AF356" s="159"/>
      <c r="AG356" s="159"/>
      <c r="AH356" s="159"/>
      <c r="AI356" s="159"/>
      <c r="AJ356" s="159"/>
      <c r="AK356" s="159" t="s">
        <v>2600</v>
      </c>
      <c r="AL356" s="159"/>
      <c r="AM356" s="159"/>
      <c r="AN356" s="159" t="s">
        <v>29</v>
      </c>
      <c r="AO356" s="172" t="s">
        <v>115</v>
      </c>
      <c r="AP356" s="172"/>
      <c r="AQ356" s="172"/>
      <c r="AR356" s="178" t="s">
        <v>2618</v>
      </c>
      <c r="AS356" s="178" t="s">
        <v>2618</v>
      </c>
      <c r="AT356" s="178"/>
      <c r="AU356" s="159"/>
      <c r="AV356" s="159"/>
      <c r="AW356" s="159"/>
      <c r="AX356" s="159"/>
      <c r="AY356" s="159"/>
      <c r="AZ356" s="159"/>
      <c r="BA356" s="159"/>
      <c r="BB356" s="159"/>
      <c r="BC356" s="159"/>
      <c r="BD356" s="156"/>
      <c r="BE356" s="185" t="s">
        <v>128</v>
      </c>
      <c r="BF356" s="159"/>
      <c r="BG356" s="159" t="s">
        <v>129</v>
      </c>
      <c r="BH356" s="159"/>
      <c r="BI356" s="159" t="s">
        <v>41</v>
      </c>
      <c r="BJ356" s="156">
        <v>1</v>
      </c>
      <c r="BL356" s="156"/>
      <c r="BM356" s="162"/>
      <c r="BN356" s="162"/>
      <c r="BO356" s="162"/>
      <c r="BP356" s="162"/>
      <c r="BQ356" s="162"/>
      <c r="BR356" s="162"/>
    </row>
    <row r="357" spans="1:70" s="156" customFormat="1">
      <c r="A357" s="184" t="str">
        <f t="shared" si="5"/>
        <v>40001353</v>
      </c>
      <c r="B357" s="158" t="s">
        <v>184</v>
      </c>
      <c r="C357" s="158" t="s">
        <v>3203</v>
      </c>
      <c r="D357" s="159" t="s">
        <v>183</v>
      </c>
      <c r="E357" s="159"/>
      <c r="F357" s="158" t="s">
        <v>185</v>
      </c>
      <c r="G357" s="167">
        <v>30561</v>
      </c>
      <c r="H357" s="167"/>
      <c r="I357" s="159" t="s">
        <v>2569</v>
      </c>
      <c r="J357" s="159" t="s">
        <v>2619</v>
      </c>
      <c r="K357" s="159" t="s">
        <v>35</v>
      </c>
      <c r="L357" s="159" t="s">
        <v>160</v>
      </c>
      <c r="M357" s="158" t="s">
        <v>2625</v>
      </c>
      <c r="N357" s="158" t="s">
        <v>2623</v>
      </c>
      <c r="O357" s="159" t="s">
        <v>2668</v>
      </c>
      <c r="P357" s="158" t="s">
        <v>2662</v>
      </c>
      <c r="Q357" s="159" t="s">
        <v>2840</v>
      </c>
      <c r="R357" s="159" t="s">
        <v>2863</v>
      </c>
      <c r="S357" s="159"/>
      <c r="T357" s="159"/>
      <c r="U357" s="158"/>
      <c r="V357" s="158"/>
      <c r="W357" s="159"/>
      <c r="X357" s="159"/>
      <c r="Y357" s="159"/>
      <c r="Z357" s="159"/>
      <c r="AA357" s="159"/>
      <c r="AB357" s="167"/>
      <c r="AC357" s="159" t="s">
        <v>129</v>
      </c>
      <c r="AD357" s="158"/>
      <c r="AE357" s="159"/>
      <c r="AF357" s="159"/>
      <c r="AG357" s="159"/>
      <c r="AH357" s="159"/>
      <c r="AI357" s="159"/>
      <c r="AJ357" s="159"/>
      <c r="AK357" s="159" t="s">
        <v>2600</v>
      </c>
      <c r="AL357" s="159"/>
      <c r="AM357" s="159"/>
      <c r="AN357" s="159" t="s">
        <v>29</v>
      </c>
      <c r="AO357" s="172" t="s">
        <v>115</v>
      </c>
      <c r="AP357" s="172"/>
      <c r="AQ357" s="172"/>
      <c r="AR357" s="178" t="s">
        <v>2618</v>
      </c>
      <c r="AS357" s="178" t="s">
        <v>2618</v>
      </c>
      <c r="AT357" s="178"/>
      <c r="AU357" s="159"/>
      <c r="AV357" s="159"/>
      <c r="AW357" s="159"/>
      <c r="AX357" s="159"/>
      <c r="AY357" s="159"/>
      <c r="AZ357" s="159"/>
      <c r="BA357" s="159"/>
      <c r="BB357" s="159"/>
      <c r="BC357" s="159"/>
      <c r="BE357" s="185" t="s">
        <v>128</v>
      </c>
      <c r="BF357" s="159"/>
      <c r="BG357" s="159" t="s">
        <v>129</v>
      </c>
      <c r="BH357" s="159" t="s">
        <v>32</v>
      </c>
      <c r="BI357" s="159" t="s">
        <v>41</v>
      </c>
      <c r="BJ357" s="156">
        <v>1</v>
      </c>
      <c r="BL357" s="154"/>
      <c r="BM357" s="155"/>
      <c r="BN357" s="155"/>
      <c r="BO357" s="155"/>
      <c r="BP357" s="155"/>
      <c r="BQ357" s="155"/>
      <c r="BR357" s="155"/>
    </row>
    <row r="358" spans="1:70" s="156" customFormat="1">
      <c r="A358" s="184" t="str">
        <f t="shared" si="5"/>
        <v>40001354</v>
      </c>
      <c r="B358" s="158"/>
      <c r="C358" s="158" t="s">
        <v>3204</v>
      </c>
      <c r="D358" s="159" t="s">
        <v>212</v>
      </c>
      <c r="E358" s="159"/>
      <c r="F358" s="158"/>
      <c r="G358" s="167"/>
      <c r="H358" s="167"/>
      <c r="I358" s="159"/>
      <c r="J358" s="159" t="s">
        <v>2619</v>
      </c>
      <c r="K358" s="159"/>
      <c r="L358" s="159"/>
      <c r="M358" s="158"/>
      <c r="N358" s="158"/>
      <c r="O358" s="159"/>
      <c r="P358" s="159"/>
      <c r="Q358" s="159" t="s">
        <v>2840</v>
      </c>
      <c r="R358" s="159" t="s">
        <v>2863</v>
      </c>
      <c r="S358" s="159"/>
      <c r="T358" s="159"/>
      <c r="U358" s="158"/>
      <c r="V358" s="158"/>
      <c r="W358" s="159"/>
      <c r="X358" s="159"/>
      <c r="Y358" s="159"/>
      <c r="Z358" s="159"/>
      <c r="AA358" s="159"/>
      <c r="AB358" s="167"/>
      <c r="AC358" s="159" t="s">
        <v>129</v>
      </c>
      <c r="AD358" s="158"/>
      <c r="AE358" s="159"/>
      <c r="AF358" s="159"/>
      <c r="AG358" s="159"/>
      <c r="AH358" s="159"/>
      <c r="AI358" s="159"/>
      <c r="AJ358" s="159"/>
      <c r="AK358" s="159" t="s">
        <v>2600</v>
      </c>
      <c r="AL358" s="159"/>
      <c r="AM358" s="159"/>
      <c r="AN358" s="159" t="s">
        <v>29</v>
      </c>
      <c r="AO358" s="185" t="s">
        <v>115</v>
      </c>
      <c r="AP358" s="185"/>
      <c r="AQ358" s="185"/>
      <c r="AR358" s="210" t="s">
        <v>2618</v>
      </c>
      <c r="AS358" s="210" t="s">
        <v>2618</v>
      </c>
      <c r="AT358" s="210"/>
      <c r="AU358" s="159"/>
      <c r="AV358" s="159"/>
      <c r="AW358" s="159"/>
      <c r="AX358" s="159"/>
      <c r="AY358" s="159"/>
      <c r="AZ358" s="159"/>
      <c r="BA358" s="159"/>
      <c r="BB358" s="159"/>
      <c r="BC358" s="159"/>
      <c r="BE358" s="185" t="s">
        <v>128</v>
      </c>
      <c r="BF358" s="159"/>
      <c r="BG358" s="159" t="s">
        <v>129</v>
      </c>
      <c r="BH358" s="159"/>
      <c r="BI358" s="159" t="s">
        <v>41</v>
      </c>
      <c r="BJ358" s="156">
        <v>1</v>
      </c>
      <c r="BL358" s="154"/>
    </row>
    <row r="359" spans="1:70" s="190" customFormat="1">
      <c r="A359" s="184" t="str">
        <f t="shared" si="5"/>
        <v>40001355</v>
      </c>
      <c r="B359" s="158"/>
      <c r="C359" s="158" t="s">
        <v>3205</v>
      </c>
      <c r="D359" s="159" t="s">
        <v>213</v>
      </c>
      <c r="E359" s="159"/>
      <c r="F359" s="158"/>
      <c r="G359" s="167"/>
      <c r="H359" s="167"/>
      <c r="I359" s="159"/>
      <c r="J359" s="159" t="s">
        <v>2619</v>
      </c>
      <c r="K359" s="159"/>
      <c r="L359" s="159"/>
      <c r="M359" s="158"/>
      <c r="N359" s="158"/>
      <c r="O359" s="159"/>
      <c r="P359" s="159"/>
      <c r="Q359" s="159" t="s">
        <v>2840</v>
      </c>
      <c r="R359" s="159" t="s">
        <v>2863</v>
      </c>
      <c r="S359" s="159"/>
      <c r="T359" s="159"/>
      <c r="U359" s="158"/>
      <c r="V359" s="158"/>
      <c r="W359" s="159"/>
      <c r="X359" s="159"/>
      <c r="Y359" s="159"/>
      <c r="Z359" s="159"/>
      <c r="AA359" s="159"/>
      <c r="AB359" s="167"/>
      <c r="AC359" s="159" t="s">
        <v>129</v>
      </c>
      <c r="AD359" s="158"/>
      <c r="AE359" s="159"/>
      <c r="AF359" s="159"/>
      <c r="AG359" s="159"/>
      <c r="AH359" s="159"/>
      <c r="AI359" s="159"/>
      <c r="AJ359" s="159"/>
      <c r="AK359" s="159" t="s">
        <v>2600</v>
      </c>
      <c r="AL359" s="159"/>
      <c r="AM359" s="159"/>
      <c r="AN359" s="159" t="s">
        <v>29</v>
      </c>
      <c r="AO359" s="172" t="s">
        <v>115</v>
      </c>
      <c r="AP359" s="172"/>
      <c r="AQ359" s="172"/>
      <c r="AR359" s="178" t="s">
        <v>2618</v>
      </c>
      <c r="AS359" s="178" t="s">
        <v>2618</v>
      </c>
      <c r="AT359" s="178"/>
      <c r="AU359" s="159"/>
      <c r="AV359" s="159"/>
      <c r="AW359" s="159"/>
      <c r="AX359" s="159"/>
      <c r="AY359" s="159"/>
      <c r="AZ359" s="159"/>
      <c r="BA359" s="159"/>
      <c r="BB359" s="159"/>
      <c r="BC359" s="159"/>
      <c r="BD359" s="156"/>
      <c r="BE359" s="185" t="s">
        <v>128</v>
      </c>
      <c r="BF359" s="159"/>
      <c r="BG359" s="159" t="s">
        <v>129</v>
      </c>
      <c r="BH359" s="159"/>
      <c r="BI359" s="159" t="s">
        <v>41</v>
      </c>
      <c r="BJ359" s="156">
        <v>1</v>
      </c>
      <c r="BL359" s="154"/>
      <c r="BM359" s="162"/>
      <c r="BN359" s="162"/>
      <c r="BO359" s="162"/>
      <c r="BP359" s="162"/>
      <c r="BQ359" s="162"/>
      <c r="BR359" s="162"/>
    </row>
    <row r="360" spans="1:70">
      <c r="A360" s="184" t="str">
        <f t="shared" si="5"/>
        <v>40001356</v>
      </c>
      <c r="B360" s="158"/>
      <c r="C360" s="158" t="s">
        <v>3206</v>
      </c>
      <c r="D360" s="159" t="s">
        <v>214</v>
      </c>
      <c r="E360" s="159"/>
      <c r="F360" s="158"/>
      <c r="G360" s="167"/>
      <c r="H360" s="167"/>
      <c r="I360" s="159"/>
      <c r="J360" s="159" t="s">
        <v>2619</v>
      </c>
      <c r="K360" s="159"/>
      <c r="L360" s="159"/>
      <c r="M360" s="158"/>
      <c r="N360" s="158"/>
      <c r="O360" s="159"/>
      <c r="P360" s="159"/>
      <c r="Q360" s="159" t="s">
        <v>2840</v>
      </c>
      <c r="R360" s="159" t="s">
        <v>2863</v>
      </c>
      <c r="S360" s="159"/>
      <c r="T360" s="159"/>
      <c r="U360" s="158"/>
      <c r="V360" s="158"/>
      <c r="W360" s="159"/>
      <c r="X360" s="159"/>
      <c r="Y360" s="159"/>
      <c r="Z360" s="159"/>
      <c r="AA360" s="159"/>
      <c r="AB360" s="167"/>
      <c r="AC360" s="159" t="s">
        <v>129</v>
      </c>
      <c r="AD360" s="158"/>
      <c r="AE360" s="159"/>
      <c r="AF360" s="159"/>
      <c r="AG360" s="159"/>
      <c r="AH360" s="159"/>
      <c r="AI360" s="159"/>
      <c r="AJ360" s="159"/>
      <c r="AK360" s="159" t="s">
        <v>2600</v>
      </c>
      <c r="AL360" s="159"/>
      <c r="AM360" s="159"/>
      <c r="AN360" s="159" t="s">
        <v>29</v>
      </c>
      <c r="AO360" s="172" t="s">
        <v>115</v>
      </c>
      <c r="AP360" s="172"/>
      <c r="AQ360" s="172"/>
      <c r="AR360" s="178" t="s">
        <v>2618</v>
      </c>
      <c r="AS360" s="178" t="s">
        <v>2618</v>
      </c>
      <c r="BD360" s="156"/>
      <c r="BE360" s="185" t="s">
        <v>128</v>
      </c>
      <c r="BF360" s="159"/>
      <c r="BG360" s="159" t="s">
        <v>129</v>
      </c>
      <c r="BH360" s="159"/>
      <c r="BI360" s="159" t="s">
        <v>41</v>
      </c>
      <c r="BJ360" s="156">
        <v>1</v>
      </c>
      <c r="BL360" s="156"/>
      <c r="BM360" s="165"/>
      <c r="BN360" s="165"/>
      <c r="BO360" s="165"/>
      <c r="BP360" s="165"/>
      <c r="BQ360" s="165"/>
      <c r="BR360" s="165"/>
    </row>
    <row r="361" spans="1:70">
      <c r="A361" s="184" t="str">
        <f t="shared" si="5"/>
        <v>10001357</v>
      </c>
      <c r="B361" s="158" t="s">
        <v>250</v>
      </c>
      <c r="C361" s="158" t="s">
        <v>3207</v>
      </c>
      <c r="D361" s="159" t="s">
        <v>249</v>
      </c>
      <c r="E361" s="159"/>
      <c r="F361" s="158" t="s">
        <v>252</v>
      </c>
      <c r="G361" s="167">
        <v>27088</v>
      </c>
      <c r="H361" s="167"/>
      <c r="I361" s="159" t="s">
        <v>2569</v>
      </c>
      <c r="J361" s="159" t="s">
        <v>2619</v>
      </c>
      <c r="K361" s="159" t="s">
        <v>35</v>
      </c>
      <c r="L361" s="159" t="s">
        <v>251</v>
      </c>
      <c r="M361" s="158" t="s">
        <v>2626</v>
      </c>
      <c r="N361" s="158" t="s">
        <v>2644</v>
      </c>
      <c r="O361" s="159"/>
      <c r="P361" s="159"/>
      <c r="Q361" s="159" t="s">
        <v>2840</v>
      </c>
      <c r="R361" s="159" t="s">
        <v>2863</v>
      </c>
      <c r="S361" s="159"/>
      <c r="T361" s="159"/>
      <c r="U361" s="158"/>
      <c r="V361" s="158"/>
      <c r="W361" s="159"/>
      <c r="X361" s="159"/>
      <c r="Y361" s="159"/>
      <c r="Z361" s="159"/>
      <c r="AA361" s="159"/>
      <c r="AB361" s="167"/>
      <c r="AC361" s="159" t="s">
        <v>30</v>
      </c>
      <c r="AD361" s="158"/>
      <c r="AE361" s="159"/>
      <c r="AF361" s="159"/>
      <c r="AG361" s="159"/>
      <c r="AH361" s="159"/>
      <c r="AI361" s="159"/>
      <c r="AJ361" s="159"/>
      <c r="AK361" s="159" t="s">
        <v>2600</v>
      </c>
      <c r="AL361" s="159"/>
      <c r="AM361" s="159"/>
      <c r="AN361" s="185" t="s">
        <v>216</v>
      </c>
      <c r="AO361" s="172" t="s">
        <v>78</v>
      </c>
      <c r="AP361" s="172"/>
      <c r="AQ361" s="172"/>
      <c r="AR361" s="178" t="s">
        <v>2618</v>
      </c>
      <c r="AS361" s="178" t="s">
        <v>2618</v>
      </c>
      <c r="BD361" s="156"/>
      <c r="BF361" s="159"/>
      <c r="BG361" s="159" t="s">
        <v>30</v>
      </c>
      <c r="BH361" s="159" t="s">
        <v>32</v>
      </c>
      <c r="BI361" s="159" t="s">
        <v>41</v>
      </c>
      <c r="BJ361" s="156">
        <v>3</v>
      </c>
      <c r="BL361" s="156"/>
    </row>
    <row r="362" spans="1:70" s="186" customFormat="1">
      <c r="A362" s="184" t="str">
        <f t="shared" si="5"/>
        <v>30001358</v>
      </c>
      <c r="B362" s="158"/>
      <c r="C362" s="158" t="s">
        <v>3208</v>
      </c>
      <c r="D362" s="159" t="s">
        <v>347</v>
      </c>
      <c r="E362" s="159"/>
      <c r="F362" s="158"/>
      <c r="G362" s="167"/>
      <c r="H362" s="167"/>
      <c r="I362" s="159" t="s">
        <v>2569</v>
      </c>
      <c r="J362" s="159" t="s">
        <v>2619</v>
      </c>
      <c r="K362" s="159"/>
      <c r="L362" s="159"/>
      <c r="M362" s="158"/>
      <c r="N362" s="158"/>
      <c r="O362" s="159"/>
      <c r="P362" s="159"/>
      <c r="Q362" s="159" t="s">
        <v>2840</v>
      </c>
      <c r="R362" s="159" t="s">
        <v>2863</v>
      </c>
      <c r="S362" s="159"/>
      <c r="T362" s="159"/>
      <c r="U362" s="158"/>
      <c r="V362" s="158"/>
      <c r="W362" s="159"/>
      <c r="X362" s="159"/>
      <c r="Y362" s="159"/>
      <c r="Z362" s="159"/>
      <c r="AA362" s="159"/>
      <c r="AB362" s="167"/>
      <c r="AC362" s="159" t="s">
        <v>71</v>
      </c>
      <c r="AD362" s="158"/>
      <c r="AE362" s="159"/>
      <c r="AF362" s="159"/>
      <c r="AG362" s="159"/>
      <c r="AH362" s="159"/>
      <c r="AI362" s="159"/>
      <c r="AJ362" s="159"/>
      <c r="AK362" s="159" t="s">
        <v>2600</v>
      </c>
      <c r="AL362" s="159"/>
      <c r="AM362" s="159"/>
      <c r="AN362" s="185" t="s">
        <v>298</v>
      </c>
      <c r="AO362" s="172" t="s">
        <v>78</v>
      </c>
      <c r="AP362" s="172"/>
      <c r="AQ362" s="172"/>
      <c r="AR362" s="178" t="s">
        <v>2618</v>
      </c>
      <c r="AS362" s="178" t="s">
        <v>2618</v>
      </c>
      <c r="AT362" s="178"/>
      <c r="AU362" s="159"/>
      <c r="AV362" s="159"/>
      <c r="AW362" s="159"/>
      <c r="AX362" s="159"/>
      <c r="AY362" s="159"/>
      <c r="AZ362" s="159"/>
      <c r="BA362" s="159"/>
      <c r="BB362" s="159"/>
      <c r="BC362" s="159"/>
      <c r="BD362" s="156"/>
      <c r="BE362" s="156"/>
      <c r="BF362" s="159"/>
      <c r="BG362" s="159" t="s">
        <v>71</v>
      </c>
      <c r="BH362" s="159"/>
      <c r="BI362" s="159" t="s">
        <v>41</v>
      </c>
      <c r="BJ362" s="156">
        <v>1</v>
      </c>
      <c r="BL362" s="156"/>
      <c r="BM362" s="162"/>
      <c r="BN362" s="162"/>
      <c r="BO362" s="162"/>
      <c r="BP362" s="162"/>
      <c r="BQ362" s="162"/>
      <c r="BR362" s="162"/>
    </row>
    <row r="363" spans="1:70" s="156" customFormat="1">
      <c r="A363" s="184" t="str">
        <f t="shared" si="5"/>
        <v>30001359</v>
      </c>
      <c r="B363" s="158" t="s">
        <v>374</v>
      </c>
      <c r="C363" s="158" t="s">
        <v>3209</v>
      </c>
      <c r="D363" s="159" t="s">
        <v>373</v>
      </c>
      <c r="E363" s="159"/>
      <c r="F363" s="158" t="s">
        <v>376</v>
      </c>
      <c r="G363" s="167">
        <v>33384</v>
      </c>
      <c r="H363" s="167"/>
      <c r="I363" s="159" t="s">
        <v>2569</v>
      </c>
      <c r="J363" s="159" t="s">
        <v>2619</v>
      </c>
      <c r="K363" s="159" t="s">
        <v>35</v>
      </c>
      <c r="L363" s="159" t="s">
        <v>375</v>
      </c>
      <c r="M363" s="158" t="s">
        <v>2623</v>
      </c>
      <c r="N363" s="158" t="s">
        <v>2627</v>
      </c>
      <c r="O363" s="159" t="s">
        <v>2780</v>
      </c>
      <c r="P363" s="159" t="s">
        <v>2828</v>
      </c>
      <c r="Q363" s="159" t="s">
        <v>2840</v>
      </c>
      <c r="R363" s="159" t="s">
        <v>2863</v>
      </c>
      <c r="S363" s="159"/>
      <c r="T363" s="159"/>
      <c r="U363" s="158"/>
      <c r="V363" s="158"/>
      <c r="W363" s="159"/>
      <c r="X363" s="159"/>
      <c r="Y363" s="159"/>
      <c r="Z363" s="159"/>
      <c r="AA363" s="159"/>
      <c r="AB363" s="167"/>
      <c r="AC363" s="159" t="s">
        <v>71</v>
      </c>
      <c r="AD363" s="158"/>
      <c r="AE363" s="159"/>
      <c r="AF363" s="159"/>
      <c r="AG363" s="159"/>
      <c r="AH363" s="159"/>
      <c r="AI363" s="159"/>
      <c r="AJ363" s="159"/>
      <c r="AK363" s="159" t="s">
        <v>2600</v>
      </c>
      <c r="AL363" s="159"/>
      <c r="AM363" s="159"/>
      <c r="AN363" s="185" t="s">
        <v>298</v>
      </c>
      <c r="AO363" s="172" t="s">
        <v>78</v>
      </c>
      <c r="AP363" s="172"/>
      <c r="AQ363" s="172"/>
      <c r="AR363" s="178" t="s">
        <v>2618</v>
      </c>
      <c r="AS363" s="178" t="s">
        <v>2618</v>
      </c>
      <c r="AT363" s="178"/>
      <c r="AU363" s="159"/>
      <c r="AV363" s="159"/>
      <c r="AW363" s="159"/>
      <c r="AX363" s="159"/>
      <c r="AY363" s="159"/>
      <c r="AZ363" s="159"/>
      <c r="BA363" s="159"/>
      <c r="BB363" s="159"/>
      <c r="BC363" s="159"/>
      <c r="BF363" s="159"/>
      <c r="BG363" s="159" t="s">
        <v>71</v>
      </c>
      <c r="BH363" s="159" t="s">
        <v>46</v>
      </c>
      <c r="BI363" s="159" t="s">
        <v>41</v>
      </c>
      <c r="BJ363" s="156">
        <v>1</v>
      </c>
      <c r="BM363" s="162"/>
      <c r="BN363" s="162"/>
      <c r="BO363" s="162"/>
      <c r="BP363" s="162"/>
      <c r="BQ363" s="162"/>
      <c r="BR363" s="162"/>
    </row>
    <row r="364" spans="1:70">
      <c r="A364" s="184" t="str">
        <f t="shared" si="5"/>
        <v>20001360</v>
      </c>
      <c r="B364" s="189"/>
      <c r="C364" s="158" t="s">
        <v>3210</v>
      </c>
      <c r="D364" s="159" t="s">
        <v>2346</v>
      </c>
      <c r="E364" s="159"/>
      <c r="F364" s="189"/>
      <c r="G364" s="167"/>
      <c r="H364" s="167"/>
      <c r="I364" s="159"/>
      <c r="J364" s="159" t="s">
        <v>2619</v>
      </c>
      <c r="K364" s="159"/>
      <c r="L364" s="159"/>
      <c r="M364" s="158"/>
      <c r="N364" s="158"/>
      <c r="O364" s="159"/>
      <c r="P364" s="159"/>
      <c r="Q364" s="159" t="s">
        <v>2840</v>
      </c>
      <c r="R364" s="159" t="s">
        <v>2863</v>
      </c>
      <c r="S364" s="159"/>
      <c r="T364" s="159"/>
      <c r="U364" s="158"/>
      <c r="V364" s="158"/>
      <c r="W364" s="159"/>
      <c r="X364" s="159"/>
      <c r="Y364" s="159"/>
      <c r="Z364" s="159"/>
      <c r="AA364" s="159"/>
      <c r="AB364" s="167"/>
      <c r="AC364" s="159" t="s">
        <v>45</v>
      </c>
      <c r="AD364" s="158"/>
      <c r="AE364" s="159"/>
      <c r="AF364" s="159"/>
      <c r="AG364" s="159"/>
      <c r="AH364" s="159"/>
      <c r="AI364" s="159"/>
      <c r="AJ364" s="159"/>
      <c r="AK364" s="159" t="s">
        <v>2600</v>
      </c>
      <c r="AL364" s="159"/>
      <c r="AM364" s="159"/>
      <c r="AN364" s="159" t="s">
        <v>392</v>
      </c>
      <c r="AO364" s="172" t="s">
        <v>391</v>
      </c>
      <c r="AP364" s="172"/>
      <c r="AQ364" s="172"/>
      <c r="AR364" s="178" t="s">
        <v>2618</v>
      </c>
      <c r="AS364" s="178" t="s">
        <v>2618</v>
      </c>
      <c r="BD364" s="159"/>
      <c r="BF364" s="154"/>
      <c r="BG364" s="159" t="s">
        <v>45</v>
      </c>
      <c r="BH364" s="159"/>
      <c r="BI364" s="159" t="s">
        <v>41</v>
      </c>
      <c r="BJ364" s="156">
        <v>3</v>
      </c>
      <c r="BL364" s="156"/>
    </row>
    <row r="365" spans="1:70">
      <c r="A365" s="184" t="str">
        <f t="shared" si="5"/>
        <v>20001361</v>
      </c>
      <c r="B365" s="189"/>
      <c r="C365" s="158" t="s">
        <v>3211</v>
      </c>
      <c r="D365" s="159" t="s">
        <v>393</v>
      </c>
      <c r="E365" s="159"/>
      <c r="F365" s="189"/>
      <c r="G365" s="167"/>
      <c r="H365" s="167"/>
      <c r="I365" s="159"/>
      <c r="J365" s="159" t="s">
        <v>2619</v>
      </c>
      <c r="K365" s="159"/>
      <c r="L365" s="159"/>
      <c r="M365" s="158"/>
      <c r="N365" s="158"/>
      <c r="O365" s="159"/>
      <c r="P365" s="159"/>
      <c r="Q365" s="159" t="s">
        <v>2840</v>
      </c>
      <c r="R365" s="159" t="s">
        <v>2863</v>
      </c>
      <c r="S365" s="159"/>
      <c r="T365" s="159"/>
      <c r="U365" s="158"/>
      <c r="V365" s="158"/>
      <c r="W365" s="159"/>
      <c r="X365" s="159"/>
      <c r="Y365" s="159"/>
      <c r="Z365" s="159"/>
      <c r="AA365" s="159"/>
      <c r="AB365" s="167"/>
      <c r="AC365" s="159" t="s">
        <v>45</v>
      </c>
      <c r="AD365" s="158"/>
      <c r="AE365" s="159"/>
      <c r="AF365" s="159"/>
      <c r="AG365" s="159"/>
      <c r="AH365" s="159"/>
      <c r="AI365" s="159"/>
      <c r="AJ365" s="159"/>
      <c r="AK365" s="159" t="s">
        <v>2600</v>
      </c>
      <c r="AL365" s="159"/>
      <c r="AM365" s="159"/>
      <c r="AN365" s="159" t="s">
        <v>392</v>
      </c>
      <c r="AO365" s="172" t="s">
        <v>54</v>
      </c>
      <c r="AP365" s="172"/>
      <c r="AQ365" s="172"/>
      <c r="AR365" s="178" t="s">
        <v>2618</v>
      </c>
      <c r="AS365" s="178" t="s">
        <v>2618</v>
      </c>
      <c r="BD365" s="159"/>
      <c r="BF365" s="154"/>
      <c r="BG365" s="159" t="s">
        <v>45</v>
      </c>
      <c r="BH365" s="159"/>
      <c r="BI365" s="159" t="s">
        <v>41</v>
      </c>
      <c r="BJ365" s="156">
        <v>3</v>
      </c>
      <c r="BL365" s="156"/>
    </row>
    <row r="366" spans="1:70">
      <c r="A366" s="184" t="str">
        <f t="shared" si="5"/>
        <v>20001362</v>
      </c>
      <c r="B366" s="158"/>
      <c r="C366" s="158" t="s">
        <v>3212</v>
      </c>
      <c r="D366" s="159" t="s">
        <v>395</v>
      </c>
      <c r="E366" s="159"/>
      <c r="F366" s="158"/>
      <c r="G366" s="167"/>
      <c r="H366" s="167"/>
      <c r="I366" s="159"/>
      <c r="J366" s="159" t="s">
        <v>2619</v>
      </c>
      <c r="K366" s="159"/>
      <c r="L366" s="159"/>
      <c r="M366" s="158"/>
      <c r="N366" s="158"/>
      <c r="O366" s="159"/>
      <c r="P366" s="159"/>
      <c r="Q366" s="159" t="s">
        <v>2840</v>
      </c>
      <c r="R366" s="159" t="s">
        <v>2863</v>
      </c>
      <c r="S366" s="159"/>
      <c r="T366" s="159"/>
      <c r="U366" s="158"/>
      <c r="V366" s="158"/>
      <c r="W366" s="159"/>
      <c r="X366" s="159"/>
      <c r="Y366" s="159"/>
      <c r="Z366" s="159"/>
      <c r="AA366" s="159"/>
      <c r="AB366" s="167"/>
      <c r="AC366" s="159" t="s">
        <v>45</v>
      </c>
      <c r="AD366" s="158"/>
      <c r="AE366" s="159"/>
      <c r="AF366" s="159"/>
      <c r="AG366" s="159"/>
      <c r="AH366" s="159"/>
      <c r="AI366" s="159"/>
      <c r="AJ366" s="159"/>
      <c r="AK366" s="159" t="s">
        <v>2600</v>
      </c>
      <c r="AL366" s="159"/>
      <c r="AM366" s="159"/>
      <c r="AN366" s="159" t="s">
        <v>392</v>
      </c>
      <c r="AO366" s="172" t="s">
        <v>78</v>
      </c>
      <c r="AP366" s="172"/>
      <c r="AQ366" s="172"/>
      <c r="AR366" s="178" t="s">
        <v>2618</v>
      </c>
      <c r="AS366" s="178" t="s">
        <v>2618</v>
      </c>
      <c r="BD366" s="159"/>
      <c r="BF366" s="159"/>
      <c r="BG366" s="159" t="s">
        <v>45</v>
      </c>
      <c r="BH366" s="159"/>
      <c r="BI366" s="159" t="s">
        <v>41</v>
      </c>
      <c r="BJ366" s="156">
        <v>2</v>
      </c>
      <c r="BL366" s="156"/>
    </row>
    <row r="367" spans="1:70">
      <c r="A367" s="184" t="str">
        <f t="shared" si="5"/>
        <v>30001363</v>
      </c>
      <c r="B367" s="158"/>
      <c r="C367" s="158" t="s">
        <v>3213</v>
      </c>
      <c r="D367" s="159" t="s">
        <v>476</v>
      </c>
      <c r="E367" s="159"/>
      <c r="F367" s="158"/>
      <c r="G367" s="167"/>
      <c r="H367" s="167"/>
      <c r="I367" s="159"/>
      <c r="J367" s="159" t="s">
        <v>2619</v>
      </c>
      <c r="K367" s="211"/>
      <c r="L367" s="159"/>
      <c r="M367" s="218"/>
      <c r="N367" s="218"/>
      <c r="O367" s="211"/>
      <c r="P367" s="211"/>
      <c r="Q367" s="159" t="s">
        <v>2840</v>
      </c>
      <c r="R367" s="159" t="s">
        <v>2863</v>
      </c>
      <c r="S367" s="211"/>
      <c r="T367" s="211"/>
      <c r="U367" s="218"/>
      <c r="V367" s="218"/>
      <c r="W367" s="211"/>
      <c r="X367" s="211"/>
      <c r="Y367" s="211"/>
      <c r="Z367" s="211"/>
      <c r="AA367" s="211"/>
      <c r="AB367" s="167"/>
      <c r="AC367" s="159" t="s">
        <v>71</v>
      </c>
      <c r="AD367" s="158"/>
      <c r="AE367" s="159"/>
      <c r="AF367" s="159"/>
      <c r="AG367" s="159"/>
      <c r="AH367" s="159"/>
      <c r="AI367" s="159"/>
      <c r="AJ367" s="159"/>
      <c r="AK367" s="159" t="s">
        <v>2600</v>
      </c>
      <c r="AL367" s="159"/>
      <c r="AM367" s="159"/>
      <c r="AN367" s="159" t="s">
        <v>392</v>
      </c>
      <c r="AO367" s="172" t="s">
        <v>115</v>
      </c>
      <c r="AP367" s="172"/>
      <c r="AQ367" s="172"/>
      <c r="AR367" s="178" t="s">
        <v>2618</v>
      </c>
      <c r="AS367" s="178" t="s">
        <v>2618</v>
      </c>
      <c r="BD367" s="159" t="s">
        <v>401</v>
      </c>
      <c r="BF367" s="159"/>
      <c r="BG367" s="159" t="s">
        <v>71</v>
      </c>
      <c r="BH367" s="159"/>
      <c r="BI367" s="159" t="s">
        <v>41</v>
      </c>
      <c r="BJ367" s="154">
        <v>3</v>
      </c>
      <c r="BL367" s="156"/>
    </row>
    <row r="368" spans="1:70">
      <c r="A368" s="184" t="str">
        <f t="shared" si="5"/>
        <v>30001364</v>
      </c>
      <c r="B368" s="158"/>
      <c r="C368" s="158" t="s">
        <v>3214</v>
      </c>
      <c r="D368" s="159" t="s">
        <v>477</v>
      </c>
      <c r="E368" s="159"/>
      <c r="F368" s="158"/>
      <c r="G368" s="167"/>
      <c r="H368" s="167"/>
      <c r="I368" s="159"/>
      <c r="J368" s="159" t="s">
        <v>2619</v>
      </c>
      <c r="K368" s="211"/>
      <c r="L368" s="159"/>
      <c r="M368" s="218"/>
      <c r="N368" s="218"/>
      <c r="O368" s="211"/>
      <c r="P368" s="211"/>
      <c r="Q368" s="159" t="s">
        <v>2840</v>
      </c>
      <c r="R368" s="159" t="s">
        <v>2863</v>
      </c>
      <c r="S368" s="211"/>
      <c r="T368" s="211"/>
      <c r="U368" s="218"/>
      <c r="V368" s="218"/>
      <c r="W368" s="211"/>
      <c r="X368" s="211"/>
      <c r="Y368" s="211"/>
      <c r="Z368" s="211"/>
      <c r="AA368" s="211"/>
      <c r="AB368" s="167"/>
      <c r="AC368" s="159" t="s">
        <v>71</v>
      </c>
      <c r="AD368" s="158"/>
      <c r="AE368" s="159"/>
      <c r="AF368" s="159"/>
      <c r="AG368" s="159"/>
      <c r="AH368" s="159"/>
      <c r="AI368" s="159"/>
      <c r="AJ368" s="159"/>
      <c r="AK368" s="159" t="s">
        <v>2600</v>
      </c>
      <c r="AL368" s="159"/>
      <c r="AM368" s="159"/>
      <c r="AN368" s="159" t="s">
        <v>392</v>
      </c>
      <c r="AO368" s="172" t="s">
        <v>115</v>
      </c>
      <c r="AP368" s="172"/>
      <c r="AQ368" s="172"/>
      <c r="AR368" s="178" t="s">
        <v>2618</v>
      </c>
      <c r="AS368" s="178" t="s">
        <v>2618</v>
      </c>
      <c r="BD368" s="159" t="s">
        <v>401</v>
      </c>
      <c r="BF368" s="159"/>
      <c r="BG368" s="159" t="s">
        <v>71</v>
      </c>
      <c r="BH368" s="159"/>
      <c r="BI368" s="159" t="s">
        <v>41</v>
      </c>
      <c r="BJ368" s="154">
        <v>3</v>
      </c>
      <c r="BL368" s="156"/>
    </row>
    <row r="369" spans="1:64">
      <c r="A369" s="184" t="str">
        <f t="shared" si="5"/>
        <v>30001365</v>
      </c>
      <c r="B369" s="158"/>
      <c r="C369" s="158" t="s">
        <v>3215</v>
      </c>
      <c r="D369" s="159" t="s">
        <v>478</v>
      </c>
      <c r="E369" s="159"/>
      <c r="F369" s="158"/>
      <c r="G369" s="167"/>
      <c r="H369" s="167"/>
      <c r="I369" s="159"/>
      <c r="J369" s="159" t="s">
        <v>2619</v>
      </c>
      <c r="K369" s="211"/>
      <c r="L369" s="159"/>
      <c r="M369" s="218"/>
      <c r="N369" s="218"/>
      <c r="O369" s="211"/>
      <c r="P369" s="211"/>
      <c r="Q369" s="159" t="s">
        <v>2840</v>
      </c>
      <c r="R369" s="159" t="s">
        <v>2863</v>
      </c>
      <c r="S369" s="211"/>
      <c r="T369" s="211"/>
      <c r="U369" s="218"/>
      <c r="V369" s="218"/>
      <c r="W369" s="211"/>
      <c r="X369" s="211"/>
      <c r="Y369" s="211"/>
      <c r="Z369" s="211"/>
      <c r="AA369" s="211"/>
      <c r="AB369" s="167"/>
      <c r="AC369" s="159" t="s">
        <v>71</v>
      </c>
      <c r="AD369" s="158"/>
      <c r="AE369" s="159"/>
      <c r="AF369" s="159"/>
      <c r="AG369" s="159"/>
      <c r="AH369" s="159"/>
      <c r="AI369" s="159"/>
      <c r="AJ369" s="159"/>
      <c r="AK369" s="159" t="s">
        <v>2600</v>
      </c>
      <c r="AL369" s="159"/>
      <c r="AM369" s="159"/>
      <c r="AN369" s="159" t="s">
        <v>392</v>
      </c>
      <c r="AO369" s="172" t="s">
        <v>115</v>
      </c>
      <c r="AP369" s="172"/>
      <c r="AQ369" s="172"/>
      <c r="AR369" s="178" t="s">
        <v>2618</v>
      </c>
      <c r="AS369" s="178" t="s">
        <v>2618</v>
      </c>
      <c r="BD369" s="159" t="s">
        <v>401</v>
      </c>
      <c r="BF369" s="159"/>
      <c r="BG369" s="159" t="s">
        <v>71</v>
      </c>
      <c r="BH369" s="159"/>
      <c r="BI369" s="159" t="s">
        <v>41</v>
      </c>
      <c r="BJ369" s="154">
        <v>3</v>
      </c>
      <c r="BL369" s="156"/>
    </row>
    <row r="370" spans="1:64">
      <c r="A370" s="184" t="str">
        <f t="shared" si="5"/>
        <v>40001366</v>
      </c>
      <c r="B370" s="158" t="s">
        <v>488</v>
      </c>
      <c r="C370" s="158" t="s">
        <v>3216</v>
      </c>
      <c r="D370" s="159" t="s">
        <v>487</v>
      </c>
      <c r="E370" s="159"/>
      <c r="F370" s="158" t="s">
        <v>490</v>
      </c>
      <c r="G370" s="167">
        <v>23216</v>
      </c>
      <c r="H370" s="167"/>
      <c r="I370" s="159" t="s">
        <v>2569</v>
      </c>
      <c r="J370" s="159" t="s">
        <v>2619</v>
      </c>
      <c r="K370" s="159" t="s">
        <v>35</v>
      </c>
      <c r="L370" s="159" t="s">
        <v>489</v>
      </c>
      <c r="M370" s="158" t="s">
        <v>2622</v>
      </c>
      <c r="N370" s="158" t="s">
        <v>2627</v>
      </c>
      <c r="O370" s="159" t="s">
        <v>2657</v>
      </c>
      <c r="P370" s="159" t="s">
        <v>2662</v>
      </c>
      <c r="Q370" s="159" t="s">
        <v>2840</v>
      </c>
      <c r="R370" s="159" t="s">
        <v>2863</v>
      </c>
      <c r="S370" s="159"/>
      <c r="T370" s="159"/>
      <c r="U370" s="158"/>
      <c r="V370" s="158"/>
      <c r="W370" s="159"/>
      <c r="X370" s="159"/>
      <c r="Y370" s="159"/>
      <c r="Z370" s="159"/>
      <c r="AA370" s="159"/>
      <c r="AB370" s="167"/>
      <c r="AC370" s="159" t="s">
        <v>129</v>
      </c>
      <c r="AD370" s="158"/>
      <c r="AE370" s="159"/>
      <c r="AF370" s="159"/>
      <c r="AG370" s="159"/>
      <c r="AH370" s="159"/>
      <c r="AI370" s="159"/>
      <c r="AJ370" s="159"/>
      <c r="AK370" s="159" t="s">
        <v>2600</v>
      </c>
      <c r="AL370" s="159"/>
      <c r="AM370" s="159"/>
      <c r="AN370" s="159" t="s">
        <v>392</v>
      </c>
      <c r="AO370" s="172" t="s">
        <v>115</v>
      </c>
      <c r="AP370" s="172"/>
      <c r="AQ370" s="172"/>
      <c r="AR370" s="178" t="s">
        <v>2618</v>
      </c>
      <c r="AS370" s="178" t="s">
        <v>2618</v>
      </c>
      <c r="BD370" s="159" t="s">
        <v>401</v>
      </c>
      <c r="BF370" s="159"/>
      <c r="BG370" s="159" t="s">
        <v>129</v>
      </c>
      <c r="BH370" s="159" t="s">
        <v>158</v>
      </c>
      <c r="BI370" s="159" t="s">
        <v>41</v>
      </c>
      <c r="BJ370" s="156">
        <v>1</v>
      </c>
      <c r="BL370" s="156"/>
    </row>
    <row r="371" spans="1:64">
      <c r="A371" s="184" t="str">
        <f t="shared" si="5"/>
        <v>40001367</v>
      </c>
      <c r="B371" s="158"/>
      <c r="C371" s="158" t="s">
        <v>3217</v>
      </c>
      <c r="D371" s="159" t="s">
        <v>514</v>
      </c>
      <c r="E371" s="159"/>
      <c r="F371" s="158"/>
      <c r="G371" s="167"/>
      <c r="H371" s="167"/>
      <c r="I371" s="159"/>
      <c r="J371" s="159" t="s">
        <v>2619</v>
      </c>
      <c r="K371" s="159"/>
      <c r="L371" s="159"/>
      <c r="M371" s="158"/>
      <c r="N371" s="158"/>
      <c r="O371" s="159"/>
      <c r="P371" s="159"/>
      <c r="Q371" s="159" t="s">
        <v>2840</v>
      </c>
      <c r="R371" s="159" t="s">
        <v>2863</v>
      </c>
      <c r="S371" s="159"/>
      <c r="T371" s="159"/>
      <c r="U371" s="158"/>
      <c r="V371" s="158"/>
      <c r="W371" s="159"/>
      <c r="X371" s="159"/>
      <c r="Y371" s="159"/>
      <c r="Z371" s="159"/>
      <c r="AA371" s="159"/>
      <c r="AB371" s="167"/>
      <c r="AC371" s="159" t="s">
        <v>129</v>
      </c>
      <c r="AD371" s="158"/>
      <c r="AE371" s="159"/>
      <c r="AF371" s="159"/>
      <c r="AG371" s="159"/>
      <c r="AH371" s="159"/>
      <c r="AI371" s="159"/>
      <c r="AJ371" s="159"/>
      <c r="AK371" s="159" t="s">
        <v>2600</v>
      </c>
      <c r="AL371" s="159"/>
      <c r="AM371" s="159"/>
      <c r="AN371" s="159" t="s">
        <v>392</v>
      </c>
      <c r="AO371" s="172" t="s">
        <v>115</v>
      </c>
      <c r="AP371" s="172"/>
      <c r="AQ371" s="172"/>
      <c r="AR371" s="178" t="s">
        <v>2618</v>
      </c>
      <c r="AS371" s="178" t="s">
        <v>2618</v>
      </c>
      <c r="BD371" s="159" t="s">
        <v>401</v>
      </c>
      <c r="BF371" s="159"/>
      <c r="BG371" s="159" t="s">
        <v>129</v>
      </c>
      <c r="BH371" s="159" t="s">
        <v>46</v>
      </c>
      <c r="BI371" s="159" t="s">
        <v>41</v>
      </c>
      <c r="BJ371" s="156">
        <v>1</v>
      </c>
      <c r="BL371" s="156"/>
    </row>
    <row r="372" spans="1:64">
      <c r="A372" s="184" t="str">
        <f t="shared" si="5"/>
        <v>40001368</v>
      </c>
      <c r="B372" s="158" t="s">
        <v>522</v>
      </c>
      <c r="C372" s="158" t="s">
        <v>3218</v>
      </c>
      <c r="D372" s="159" t="s">
        <v>521</v>
      </c>
      <c r="E372" s="159"/>
      <c r="F372" s="158" t="s">
        <v>524</v>
      </c>
      <c r="G372" s="167">
        <v>31877</v>
      </c>
      <c r="H372" s="167"/>
      <c r="I372" s="159" t="s">
        <v>2569</v>
      </c>
      <c r="J372" s="159" t="s">
        <v>2619</v>
      </c>
      <c r="K372" s="159" t="s">
        <v>35</v>
      </c>
      <c r="L372" s="158" t="s">
        <v>523</v>
      </c>
      <c r="M372" s="158" t="s">
        <v>2622</v>
      </c>
      <c r="N372" s="158" t="s">
        <v>2621</v>
      </c>
      <c r="O372" s="159" t="s">
        <v>2678</v>
      </c>
      <c r="P372" s="159" t="s">
        <v>2662</v>
      </c>
      <c r="Q372" s="159" t="s">
        <v>2840</v>
      </c>
      <c r="R372" s="159" t="s">
        <v>2863</v>
      </c>
      <c r="S372" s="159"/>
      <c r="T372" s="159"/>
      <c r="U372" s="158"/>
      <c r="V372" s="158"/>
      <c r="W372" s="159"/>
      <c r="X372" s="159"/>
      <c r="Y372" s="159"/>
      <c r="Z372" s="159"/>
      <c r="AA372" s="159"/>
      <c r="AB372" s="167"/>
      <c r="AC372" s="159" t="s">
        <v>129</v>
      </c>
      <c r="AD372" s="158"/>
      <c r="AE372" s="159"/>
      <c r="AF372" s="159"/>
      <c r="AG372" s="159"/>
      <c r="AH372" s="159"/>
      <c r="AI372" s="159"/>
      <c r="AJ372" s="159"/>
      <c r="AK372" s="159" t="s">
        <v>2600</v>
      </c>
      <c r="AL372" s="159"/>
      <c r="AM372" s="159"/>
      <c r="AN372" s="159" t="s">
        <v>392</v>
      </c>
      <c r="AO372" s="172" t="s">
        <v>115</v>
      </c>
      <c r="AP372" s="172"/>
      <c r="AQ372" s="172"/>
      <c r="AR372" s="178" t="s">
        <v>2618</v>
      </c>
      <c r="AS372" s="178" t="s">
        <v>2618</v>
      </c>
      <c r="BD372" s="159" t="s">
        <v>401</v>
      </c>
      <c r="BF372" s="159"/>
      <c r="BG372" s="159" t="s">
        <v>129</v>
      </c>
      <c r="BH372" s="159" t="s">
        <v>46</v>
      </c>
      <c r="BI372" s="159" t="s">
        <v>41</v>
      </c>
      <c r="BJ372" s="156">
        <v>1</v>
      </c>
      <c r="BL372" s="156"/>
    </row>
    <row r="373" spans="1:64">
      <c r="A373" s="184" t="str">
        <f t="shared" si="5"/>
        <v>10001369</v>
      </c>
      <c r="B373" s="158"/>
      <c r="C373" s="158" t="s">
        <v>3219</v>
      </c>
      <c r="D373" s="159" t="s">
        <v>607</v>
      </c>
      <c r="E373" s="159"/>
      <c r="F373" s="158"/>
      <c r="G373" s="167"/>
      <c r="H373" s="167"/>
      <c r="I373" s="159"/>
      <c r="J373" s="159" t="s">
        <v>2619</v>
      </c>
      <c r="K373" s="159"/>
      <c r="L373" s="159"/>
      <c r="M373" s="158"/>
      <c r="N373" s="158"/>
      <c r="O373" s="159"/>
      <c r="P373" s="159"/>
      <c r="Q373" s="159" t="s">
        <v>2840</v>
      </c>
      <c r="R373" s="159" t="s">
        <v>2863</v>
      </c>
      <c r="S373" s="159"/>
      <c r="T373" s="159"/>
      <c r="U373" s="158"/>
      <c r="V373" s="158"/>
      <c r="W373" s="159"/>
      <c r="X373" s="159"/>
      <c r="Y373" s="159"/>
      <c r="Z373" s="159"/>
      <c r="AA373" s="159"/>
      <c r="AB373" s="167"/>
      <c r="AC373" s="159" t="s">
        <v>30</v>
      </c>
      <c r="AD373" s="158"/>
      <c r="AE373" s="159"/>
      <c r="AF373" s="159"/>
      <c r="AG373" s="159"/>
      <c r="AH373" s="159"/>
      <c r="AI373" s="159"/>
      <c r="AJ373" s="159"/>
      <c r="AK373" s="159" t="s">
        <v>2600</v>
      </c>
      <c r="AL373" s="159"/>
      <c r="AM373" s="159"/>
      <c r="AN373" s="159" t="s">
        <v>553</v>
      </c>
      <c r="AO373" s="172" t="s">
        <v>564</v>
      </c>
      <c r="AP373" s="172"/>
      <c r="AQ373" s="172"/>
      <c r="AR373" s="178" t="s">
        <v>2618</v>
      </c>
      <c r="AS373" s="178" t="s">
        <v>2618</v>
      </c>
      <c r="BD373" s="156" t="s">
        <v>584</v>
      </c>
      <c r="BE373" s="156" t="s">
        <v>2520</v>
      </c>
      <c r="BF373" s="159"/>
      <c r="BG373" s="159" t="s">
        <v>30</v>
      </c>
      <c r="BH373" s="159"/>
      <c r="BI373" s="159" t="s">
        <v>41</v>
      </c>
      <c r="BJ373" s="156">
        <v>1</v>
      </c>
      <c r="BL373" s="156"/>
    </row>
    <row r="374" spans="1:64">
      <c r="A374" s="184" t="str">
        <f t="shared" si="5"/>
        <v>20001370</v>
      </c>
      <c r="B374" s="158" t="s">
        <v>633</v>
      </c>
      <c r="C374" s="158" t="s">
        <v>3220</v>
      </c>
      <c r="D374" s="159" t="s">
        <v>632</v>
      </c>
      <c r="E374" s="159"/>
      <c r="F374" s="158" t="s">
        <v>635</v>
      </c>
      <c r="G374" s="167">
        <v>26772</v>
      </c>
      <c r="H374" s="167"/>
      <c r="I374" s="159" t="s">
        <v>2569</v>
      </c>
      <c r="J374" s="159" t="s">
        <v>2619</v>
      </c>
      <c r="K374" s="159" t="s">
        <v>35</v>
      </c>
      <c r="L374" s="159" t="s">
        <v>634</v>
      </c>
      <c r="M374" s="158" t="s">
        <v>2626</v>
      </c>
      <c r="N374" s="158" t="s">
        <v>2623</v>
      </c>
      <c r="O374" s="159" t="s">
        <v>2781</v>
      </c>
      <c r="P374" s="159" t="s">
        <v>2834</v>
      </c>
      <c r="Q374" s="159" t="s">
        <v>2840</v>
      </c>
      <c r="R374" s="159" t="s">
        <v>2863</v>
      </c>
      <c r="S374" s="159"/>
      <c r="T374" s="159"/>
      <c r="U374" s="158"/>
      <c r="V374" s="158"/>
      <c r="W374" s="159"/>
      <c r="X374" s="159"/>
      <c r="Y374" s="159"/>
      <c r="Z374" s="159"/>
      <c r="AA374" s="159"/>
      <c r="AB374" s="167"/>
      <c r="AC374" s="159" t="s">
        <v>45</v>
      </c>
      <c r="AD374" s="158"/>
      <c r="AE374" s="159"/>
      <c r="AF374" s="159"/>
      <c r="AG374" s="159"/>
      <c r="AH374" s="159"/>
      <c r="AI374" s="159"/>
      <c r="AJ374" s="159"/>
      <c r="AK374" s="159" t="s">
        <v>2600</v>
      </c>
      <c r="AL374" s="159"/>
      <c r="AM374" s="159"/>
      <c r="AN374" s="159" t="s">
        <v>553</v>
      </c>
      <c r="AO374" s="172" t="s">
        <v>564</v>
      </c>
      <c r="AP374" s="172"/>
      <c r="AQ374" s="172"/>
      <c r="AR374" s="178" t="s">
        <v>2618</v>
      </c>
      <c r="AS374" s="178" t="s">
        <v>2618</v>
      </c>
      <c r="BD374" s="156" t="s">
        <v>584</v>
      </c>
      <c r="BE374" s="156" t="s">
        <v>584</v>
      </c>
      <c r="BF374" s="159"/>
      <c r="BG374" s="159" t="s">
        <v>45</v>
      </c>
      <c r="BH374" s="159" t="s">
        <v>46</v>
      </c>
      <c r="BI374" s="159" t="s">
        <v>41</v>
      </c>
      <c r="BJ374" s="156">
        <v>1</v>
      </c>
      <c r="BL374" s="156"/>
    </row>
    <row r="375" spans="1:64">
      <c r="A375" s="184" t="str">
        <f t="shared" si="5"/>
        <v>20001371</v>
      </c>
      <c r="B375" s="158"/>
      <c r="C375" s="158" t="s">
        <v>3221</v>
      </c>
      <c r="D375" s="159" t="s">
        <v>658</v>
      </c>
      <c r="E375" s="159"/>
      <c r="F375" s="158"/>
      <c r="G375" s="167"/>
      <c r="H375" s="167"/>
      <c r="I375" s="159"/>
      <c r="J375" s="159" t="s">
        <v>2619</v>
      </c>
      <c r="K375" s="159"/>
      <c r="L375" s="159"/>
      <c r="M375" s="158"/>
      <c r="N375" s="158"/>
      <c r="O375" s="159"/>
      <c r="P375" s="159"/>
      <c r="Q375" s="159" t="s">
        <v>2840</v>
      </c>
      <c r="R375" s="159" t="s">
        <v>2863</v>
      </c>
      <c r="S375" s="159"/>
      <c r="T375" s="159"/>
      <c r="U375" s="158"/>
      <c r="V375" s="158"/>
      <c r="W375" s="159"/>
      <c r="X375" s="159"/>
      <c r="Y375" s="159"/>
      <c r="Z375" s="159"/>
      <c r="AA375" s="159"/>
      <c r="AB375" s="167"/>
      <c r="AC375" s="159" t="s">
        <v>45</v>
      </c>
      <c r="AD375" s="158"/>
      <c r="AE375" s="159"/>
      <c r="AF375" s="159"/>
      <c r="AG375" s="159"/>
      <c r="AH375" s="159"/>
      <c r="AI375" s="159"/>
      <c r="AJ375" s="159"/>
      <c r="AK375" s="159" t="s">
        <v>2600</v>
      </c>
      <c r="AL375" s="159"/>
      <c r="AM375" s="159"/>
      <c r="AN375" s="159" t="s">
        <v>553</v>
      </c>
      <c r="AO375" s="172" t="s">
        <v>564</v>
      </c>
      <c r="AP375" s="172"/>
      <c r="AQ375" s="172"/>
      <c r="AR375" s="178" t="s">
        <v>2618</v>
      </c>
      <c r="AS375" s="178" t="s">
        <v>2618</v>
      </c>
      <c r="BD375" s="162" t="s">
        <v>595</v>
      </c>
      <c r="BE375" s="156" t="s">
        <v>595</v>
      </c>
      <c r="BF375" s="159"/>
      <c r="BG375" s="159" t="s">
        <v>45</v>
      </c>
      <c r="BH375" s="159"/>
      <c r="BI375" s="159" t="s">
        <v>41</v>
      </c>
      <c r="BJ375" s="156">
        <v>1</v>
      </c>
      <c r="BL375" s="156"/>
    </row>
    <row r="376" spans="1:64">
      <c r="A376" s="184" t="str">
        <f t="shared" si="5"/>
        <v>20001372</v>
      </c>
      <c r="B376" s="164"/>
      <c r="C376" s="158" t="s">
        <v>3222</v>
      </c>
      <c r="D376" s="159" t="s">
        <v>776</v>
      </c>
      <c r="E376" s="159"/>
      <c r="F376" s="164"/>
      <c r="G376" s="167">
        <v>30405</v>
      </c>
      <c r="H376" s="167"/>
      <c r="I376" s="159" t="s">
        <v>2570</v>
      </c>
      <c r="J376" s="159" t="s">
        <v>2619</v>
      </c>
      <c r="K376" s="159"/>
      <c r="L376" s="159" t="s">
        <v>777</v>
      </c>
      <c r="M376" s="158" t="s">
        <v>2622</v>
      </c>
      <c r="N376" s="158" t="s">
        <v>2630</v>
      </c>
      <c r="O376" s="159" t="s">
        <v>2657</v>
      </c>
      <c r="P376" s="159" t="s">
        <v>2662</v>
      </c>
      <c r="Q376" s="159" t="s">
        <v>2840</v>
      </c>
      <c r="R376" s="159" t="s">
        <v>2863</v>
      </c>
      <c r="S376" s="159"/>
      <c r="T376" s="159"/>
      <c r="U376" s="158"/>
      <c r="V376" s="158"/>
      <c r="W376" s="159"/>
      <c r="X376" s="159"/>
      <c r="Y376" s="159"/>
      <c r="Z376" s="159"/>
      <c r="AA376" s="159"/>
      <c r="AB376" s="167"/>
      <c r="AC376" s="159" t="s">
        <v>45</v>
      </c>
      <c r="AD376" s="158"/>
      <c r="AE376" s="159"/>
      <c r="AF376" s="159"/>
      <c r="AG376" s="159"/>
      <c r="AH376" s="159"/>
      <c r="AI376" s="159"/>
      <c r="AJ376" s="159"/>
      <c r="AK376" s="159" t="s">
        <v>2600</v>
      </c>
      <c r="AL376" s="159"/>
      <c r="AM376" s="159"/>
      <c r="AN376" s="185" t="s">
        <v>684</v>
      </c>
      <c r="AO376" s="172" t="s">
        <v>54</v>
      </c>
      <c r="AP376" s="172"/>
      <c r="AQ376" s="172"/>
      <c r="AR376" s="178" t="s">
        <v>2618</v>
      </c>
      <c r="AS376" s="178" t="s">
        <v>2618</v>
      </c>
      <c r="BD376" s="185" t="s">
        <v>684</v>
      </c>
      <c r="BF376" s="156"/>
      <c r="BG376" s="159" t="s">
        <v>45</v>
      </c>
      <c r="BH376" s="159" t="s">
        <v>46</v>
      </c>
      <c r="BI376" s="159" t="s">
        <v>41</v>
      </c>
      <c r="BJ376" s="156">
        <v>3</v>
      </c>
      <c r="BL376" s="156"/>
    </row>
    <row r="377" spans="1:64">
      <c r="A377" s="184" t="str">
        <f t="shared" si="5"/>
        <v>20001373</v>
      </c>
      <c r="B377" s="158" t="s">
        <v>912</v>
      </c>
      <c r="C377" s="158" t="s">
        <v>3223</v>
      </c>
      <c r="D377" s="159" t="s">
        <v>911</v>
      </c>
      <c r="E377" s="159"/>
      <c r="F377" s="158" t="s">
        <v>914</v>
      </c>
      <c r="G377" s="167">
        <v>29221</v>
      </c>
      <c r="H377" s="167"/>
      <c r="I377" s="159" t="s">
        <v>2569</v>
      </c>
      <c r="J377" s="159" t="s">
        <v>2619</v>
      </c>
      <c r="K377" s="159" t="s">
        <v>35</v>
      </c>
      <c r="L377" s="159" t="s">
        <v>913</v>
      </c>
      <c r="M377" s="158" t="s">
        <v>2625</v>
      </c>
      <c r="N377" s="158" t="s">
        <v>2621</v>
      </c>
      <c r="O377" s="159" t="s">
        <v>2660</v>
      </c>
      <c r="P377" s="159" t="s">
        <v>2662</v>
      </c>
      <c r="Q377" s="159" t="s">
        <v>2840</v>
      </c>
      <c r="R377" s="159" t="s">
        <v>2863</v>
      </c>
      <c r="S377" s="159"/>
      <c r="T377" s="159"/>
      <c r="U377" s="158"/>
      <c r="V377" s="158"/>
      <c r="W377" s="159"/>
      <c r="X377" s="159"/>
      <c r="Y377" s="159"/>
      <c r="Z377" s="159"/>
      <c r="AA377" s="159"/>
      <c r="AB377" s="167"/>
      <c r="AC377" s="159" t="s">
        <v>45</v>
      </c>
      <c r="AD377" s="158"/>
      <c r="AE377" s="159"/>
      <c r="AF377" s="159"/>
      <c r="AG377" s="159"/>
      <c r="AH377" s="159"/>
      <c r="AI377" s="159"/>
      <c r="AJ377" s="159"/>
      <c r="AK377" s="159" t="s">
        <v>2600</v>
      </c>
      <c r="AL377" s="159"/>
      <c r="AM377" s="159"/>
      <c r="AN377" s="159" t="s">
        <v>786</v>
      </c>
      <c r="AO377" s="172" t="s">
        <v>78</v>
      </c>
      <c r="AP377" s="172"/>
      <c r="AQ377" s="172"/>
      <c r="AR377" s="178" t="s">
        <v>2618</v>
      </c>
      <c r="AS377" s="178" t="s">
        <v>2618</v>
      </c>
      <c r="BD377" s="185" t="s">
        <v>787</v>
      </c>
      <c r="BE377" s="156" t="s">
        <v>900</v>
      </c>
      <c r="BF377" s="159" t="s">
        <v>855</v>
      </c>
      <c r="BG377" s="159" t="s">
        <v>45</v>
      </c>
      <c r="BH377" s="159" t="s">
        <v>46</v>
      </c>
      <c r="BI377" s="159" t="s">
        <v>41</v>
      </c>
      <c r="BJ377" s="156">
        <v>1</v>
      </c>
      <c r="BL377" s="156"/>
    </row>
    <row r="378" spans="1:64">
      <c r="A378" s="184" t="str">
        <f t="shared" si="5"/>
        <v>30001374</v>
      </c>
      <c r="B378" s="158" t="s">
        <v>951</v>
      </c>
      <c r="C378" s="158" t="s">
        <v>3224</v>
      </c>
      <c r="D378" s="159" t="s">
        <v>950</v>
      </c>
      <c r="E378" s="159"/>
      <c r="F378" s="158" t="s">
        <v>953</v>
      </c>
      <c r="G378" s="167">
        <v>33383</v>
      </c>
      <c r="H378" s="167"/>
      <c r="I378" s="159" t="s">
        <v>2569</v>
      </c>
      <c r="J378" s="159" t="s">
        <v>2619</v>
      </c>
      <c r="K378" s="159" t="s">
        <v>35</v>
      </c>
      <c r="L378" s="159" t="s">
        <v>952</v>
      </c>
      <c r="M378" s="158"/>
      <c r="N378" s="158"/>
      <c r="O378" s="159" t="s">
        <v>2657</v>
      </c>
      <c r="P378" s="159" t="s">
        <v>2662</v>
      </c>
      <c r="Q378" s="159" t="s">
        <v>2840</v>
      </c>
      <c r="R378" s="159" t="s">
        <v>2863</v>
      </c>
      <c r="S378" s="159"/>
      <c r="T378" s="159"/>
      <c r="U378" s="158"/>
      <c r="V378" s="158"/>
      <c r="W378" s="159"/>
      <c r="X378" s="159"/>
      <c r="Y378" s="159"/>
      <c r="Z378" s="159"/>
      <c r="AA378" s="159"/>
      <c r="AB378" s="167"/>
      <c r="AC378" s="159" t="s">
        <v>71</v>
      </c>
      <c r="AD378" s="158"/>
      <c r="AE378" s="159"/>
      <c r="AF378" s="159"/>
      <c r="AG378" s="159"/>
      <c r="AH378" s="159"/>
      <c r="AI378" s="159"/>
      <c r="AJ378" s="159"/>
      <c r="AK378" s="159" t="s">
        <v>2600</v>
      </c>
      <c r="AL378" s="159"/>
      <c r="AM378" s="159"/>
      <c r="AN378" s="159" t="s">
        <v>786</v>
      </c>
      <c r="AO378" s="172" t="s">
        <v>937</v>
      </c>
      <c r="AP378" s="172"/>
      <c r="AQ378" s="172"/>
      <c r="AR378" s="178" t="s">
        <v>2618</v>
      </c>
      <c r="AS378" s="178" t="s">
        <v>2618</v>
      </c>
      <c r="BD378" s="185" t="s">
        <v>787</v>
      </c>
      <c r="BE378" s="156" t="s">
        <v>883</v>
      </c>
      <c r="BF378" s="159" t="s">
        <v>833</v>
      </c>
      <c r="BG378" s="159" t="s">
        <v>71</v>
      </c>
      <c r="BH378" s="159" t="s">
        <v>46</v>
      </c>
      <c r="BI378" s="159" t="s">
        <v>41</v>
      </c>
      <c r="BJ378" s="156">
        <v>1</v>
      </c>
      <c r="BL378" s="156"/>
    </row>
    <row r="379" spans="1:64">
      <c r="A379" s="184" t="str">
        <f t="shared" si="5"/>
        <v>20001375</v>
      </c>
      <c r="B379" s="164"/>
      <c r="C379" s="158" t="s">
        <v>3225</v>
      </c>
      <c r="D379" s="159" t="s">
        <v>1009</v>
      </c>
      <c r="E379" s="159"/>
      <c r="F379" s="164"/>
      <c r="G379" s="167"/>
      <c r="H379" s="167"/>
      <c r="I379" s="159" t="s">
        <v>2569</v>
      </c>
      <c r="J379" s="159" t="s">
        <v>2619</v>
      </c>
      <c r="K379" s="159"/>
      <c r="L379" s="159"/>
      <c r="M379" s="158"/>
      <c r="N379" s="158"/>
      <c r="O379" s="159"/>
      <c r="P379" s="159"/>
      <c r="Q379" s="159" t="s">
        <v>2840</v>
      </c>
      <c r="R379" s="159" t="s">
        <v>2863</v>
      </c>
      <c r="S379" s="159"/>
      <c r="T379" s="159"/>
      <c r="U379" s="158"/>
      <c r="V379" s="158"/>
      <c r="W379" s="159"/>
      <c r="X379" s="159"/>
      <c r="Y379" s="159"/>
      <c r="Z379" s="159"/>
      <c r="AA379" s="159"/>
      <c r="AB379" s="167"/>
      <c r="AC379" s="159" t="s">
        <v>45</v>
      </c>
      <c r="AD379" s="158"/>
      <c r="AE379" s="159"/>
      <c r="AF379" s="159"/>
      <c r="AG379" s="159"/>
      <c r="AH379" s="159"/>
      <c r="AI379" s="159"/>
      <c r="AJ379" s="159"/>
      <c r="AK379" s="159" t="s">
        <v>2600</v>
      </c>
      <c r="AL379" s="159"/>
      <c r="AM379" s="159"/>
      <c r="AN379" s="185" t="s">
        <v>786</v>
      </c>
      <c r="AO379" s="172" t="s">
        <v>814</v>
      </c>
      <c r="AP379" s="172"/>
      <c r="AQ379" s="172"/>
      <c r="AR379" s="178" t="s">
        <v>2618</v>
      </c>
      <c r="AS379" s="178" t="s">
        <v>2618</v>
      </c>
      <c r="BD379" s="185" t="s">
        <v>1002</v>
      </c>
      <c r="BF379" s="185"/>
      <c r="BG379" s="159" t="s">
        <v>45</v>
      </c>
      <c r="BH379" s="159" t="s">
        <v>46</v>
      </c>
      <c r="BI379" s="159" t="s">
        <v>41</v>
      </c>
      <c r="BJ379" s="156">
        <v>1</v>
      </c>
      <c r="BL379" s="156"/>
    </row>
    <row r="380" spans="1:64">
      <c r="A380" s="184" t="str">
        <f t="shared" si="5"/>
        <v>20001376</v>
      </c>
      <c r="B380" s="158" t="s">
        <v>1069</v>
      </c>
      <c r="C380" s="158" t="s">
        <v>3226</v>
      </c>
      <c r="D380" s="159" t="s">
        <v>1068</v>
      </c>
      <c r="E380" s="159"/>
      <c r="F380" s="158" t="s">
        <v>1071</v>
      </c>
      <c r="G380" s="167">
        <v>30270</v>
      </c>
      <c r="H380" s="167"/>
      <c r="I380" s="159" t="s">
        <v>2569</v>
      </c>
      <c r="J380" s="159" t="s">
        <v>2619</v>
      </c>
      <c r="K380" s="159" t="s">
        <v>35</v>
      </c>
      <c r="L380" s="159" t="s">
        <v>1070</v>
      </c>
      <c r="M380" s="158" t="s">
        <v>2638</v>
      </c>
      <c r="N380" s="158" t="s">
        <v>2625</v>
      </c>
      <c r="O380" s="159" t="s">
        <v>2741</v>
      </c>
      <c r="P380" s="159" t="s">
        <v>2790</v>
      </c>
      <c r="Q380" s="159" t="s">
        <v>2844</v>
      </c>
      <c r="R380" s="159" t="s">
        <v>2863</v>
      </c>
      <c r="S380" s="159"/>
      <c r="T380" s="159"/>
      <c r="U380" s="158"/>
      <c r="V380" s="158"/>
      <c r="W380" s="159"/>
      <c r="X380" s="159"/>
      <c r="Y380" s="159"/>
      <c r="Z380" s="159"/>
      <c r="AA380" s="159"/>
      <c r="AB380" s="167"/>
      <c r="AC380" s="159" t="s">
        <v>45</v>
      </c>
      <c r="AD380" s="158"/>
      <c r="AE380" s="159"/>
      <c r="AF380" s="159"/>
      <c r="AG380" s="159"/>
      <c r="AH380" s="159"/>
      <c r="AI380" s="159"/>
      <c r="AJ380" s="159"/>
      <c r="AK380" s="159" t="s">
        <v>2600</v>
      </c>
      <c r="AL380" s="159"/>
      <c r="AM380" s="159"/>
      <c r="AN380" s="159" t="s">
        <v>786</v>
      </c>
      <c r="AO380" s="172" t="s">
        <v>78</v>
      </c>
      <c r="AP380" s="172"/>
      <c r="AQ380" s="172"/>
      <c r="AR380" s="178" t="s">
        <v>2618</v>
      </c>
      <c r="AS380" s="178" t="s">
        <v>2618</v>
      </c>
      <c r="BD380" s="185" t="s">
        <v>1002</v>
      </c>
      <c r="BE380" s="156" t="s">
        <v>1061</v>
      </c>
      <c r="BF380" s="185" t="s">
        <v>1049</v>
      </c>
      <c r="BG380" s="159" t="s">
        <v>45</v>
      </c>
      <c r="BH380" s="159" t="s">
        <v>32</v>
      </c>
      <c r="BI380" s="159" t="s">
        <v>41</v>
      </c>
      <c r="BJ380" s="156">
        <v>1</v>
      </c>
      <c r="BL380" s="156"/>
    </row>
    <row r="381" spans="1:64">
      <c r="A381" s="184" t="str">
        <f t="shared" si="5"/>
        <v>40001377</v>
      </c>
      <c r="B381" s="158"/>
      <c r="C381" s="158" t="s">
        <v>3227</v>
      </c>
      <c r="D381" s="159" t="s">
        <v>1264</v>
      </c>
      <c r="E381" s="159"/>
      <c r="F381" s="158"/>
      <c r="G381" s="167"/>
      <c r="H381" s="167"/>
      <c r="I381" s="159" t="s">
        <v>2569</v>
      </c>
      <c r="J381" s="159" t="s">
        <v>2619</v>
      </c>
      <c r="K381" s="159"/>
      <c r="L381" s="159"/>
      <c r="M381" s="158"/>
      <c r="N381" s="158"/>
      <c r="O381" s="159"/>
      <c r="P381" s="159"/>
      <c r="Q381" s="159" t="s">
        <v>2840</v>
      </c>
      <c r="R381" s="159" t="s">
        <v>2863</v>
      </c>
      <c r="S381" s="159"/>
      <c r="T381" s="159"/>
      <c r="U381" s="158"/>
      <c r="V381" s="158"/>
      <c r="W381" s="159"/>
      <c r="X381" s="159"/>
      <c r="Y381" s="159"/>
      <c r="Z381" s="159"/>
      <c r="AA381" s="159"/>
      <c r="AB381" s="167"/>
      <c r="AC381" s="159" t="s">
        <v>129</v>
      </c>
      <c r="AD381" s="158"/>
      <c r="AE381" s="159"/>
      <c r="AF381" s="159"/>
      <c r="AG381" s="159"/>
      <c r="AH381" s="159"/>
      <c r="AI381" s="159"/>
      <c r="AJ381" s="159"/>
      <c r="AK381" s="159" t="s">
        <v>2600</v>
      </c>
      <c r="AL381" s="159"/>
      <c r="AM381" s="159"/>
      <c r="AN381" s="159" t="s">
        <v>786</v>
      </c>
      <c r="AO381" s="172" t="s">
        <v>115</v>
      </c>
      <c r="AP381" s="172"/>
      <c r="AQ381" s="172"/>
      <c r="AR381" s="178" t="s">
        <v>2618</v>
      </c>
      <c r="AS381" s="178" t="s">
        <v>2618</v>
      </c>
      <c r="BD381" s="185" t="s">
        <v>1002</v>
      </c>
      <c r="BE381" s="156" t="s">
        <v>1026</v>
      </c>
      <c r="BF381" s="185" t="s">
        <v>1042</v>
      </c>
      <c r="BG381" s="159" t="s">
        <v>129</v>
      </c>
      <c r="BH381" s="159"/>
      <c r="BI381" s="159" t="s">
        <v>41</v>
      </c>
      <c r="BJ381" s="156">
        <v>1</v>
      </c>
      <c r="BL381" s="156"/>
    </row>
    <row r="382" spans="1:64">
      <c r="A382" s="184" t="str">
        <f t="shared" si="5"/>
        <v>40001378</v>
      </c>
      <c r="B382" s="164"/>
      <c r="C382" s="158" t="s">
        <v>3228</v>
      </c>
      <c r="D382" s="159" t="s">
        <v>1287</v>
      </c>
      <c r="E382" s="159"/>
      <c r="F382" s="164"/>
      <c r="G382" s="167"/>
      <c r="H382" s="167"/>
      <c r="I382" s="159" t="s">
        <v>2569</v>
      </c>
      <c r="J382" s="159" t="s">
        <v>2619</v>
      </c>
      <c r="K382" s="159"/>
      <c r="L382" s="159"/>
      <c r="M382" s="158"/>
      <c r="N382" s="158"/>
      <c r="O382" s="159"/>
      <c r="P382" s="159"/>
      <c r="Q382" s="159" t="s">
        <v>2840</v>
      </c>
      <c r="R382" s="159" t="s">
        <v>2863</v>
      </c>
      <c r="S382" s="159"/>
      <c r="T382" s="159"/>
      <c r="U382" s="158"/>
      <c r="V382" s="158"/>
      <c r="W382" s="159"/>
      <c r="X382" s="159"/>
      <c r="Y382" s="159"/>
      <c r="Z382" s="159"/>
      <c r="AA382" s="159"/>
      <c r="AB382" s="167"/>
      <c r="AC382" s="159" t="s">
        <v>129</v>
      </c>
      <c r="AD382" s="158"/>
      <c r="AE382" s="159"/>
      <c r="AF382" s="159"/>
      <c r="AG382" s="159"/>
      <c r="AH382" s="159"/>
      <c r="AI382" s="159"/>
      <c r="AJ382" s="159"/>
      <c r="AK382" s="159" t="s">
        <v>2600</v>
      </c>
      <c r="AL382" s="159"/>
      <c r="AM382" s="159"/>
      <c r="AN382" s="185" t="s">
        <v>786</v>
      </c>
      <c r="AO382" s="172" t="s">
        <v>115</v>
      </c>
      <c r="AP382" s="172"/>
      <c r="AQ382" s="172"/>
      <c r="AR382" s="178" t="s">
        <v>2618</v>
      </c>
      <c r="AS382" s="178" t="s">
        <v>2618</v>
      </c>
      <c r="BD382" s="185" t="s">
        <v>1002</v>
      </c>
      <c r="BE382" s="156" t="s">
        <v>1110</v>
      </c>
      <c r="BF382" s="185" t="s">
        <v>1049</v>
      </c>
      <c r="BG382" s="159" t="s">
        <v>129</v>
      </c>
      <c r="BH382" s="159"/>
      <c r="BI382" s="159" t="s">
        <v>41</v>
      </c>
      <c r="BJ382" s="156">
        <v>1</v>
      </c>
      <c r="BL382" s="156"/>
    </row>
    <row r="383" spans="1:64">
      <c r="A383" s="184" t="str">
        <f t="shared" si="5"/>
        <v>40001379</v>
      </c>
      <c r="B383" s="158" t="s">
        <v>1299</v>
      </c>
      <c r="C383" s="158" t="s">
        <v>3229</v>
      </c>
      <c r="D383" s="159" t="s">
        <v>1298</v>
      </c>
      <c r="E383" s="159"/>
      <c r="F383" s="158" t="s">
        <v>1300</v>
      </c>
      <c r="G383" s="167">
        <v>31241</v>
      </c>
      <c r="H383" s="167"/>
      <c r="I383" s="159" t="s">
        <v>2569</v>
      </c>
      <c r="J383" s="159" t="s">
        <v>2619</v>
      </c>
      <c r="K383" s="159" t="s">
        <v>35</v>
      </c>
      <c r="L383" s="159" t="s">
        <v>284</v>
      </c>
      <c r="M383" s="158" t="s">
        <v>2626</v>
      </c>
      <c r="N383" s="158" t="s">
        <v>2621</v>
      </c>
      <c r="O383" s="159" t="s">
        <v>2657</v>
      </c>
      <c r="P383" s="159" t="s">
        <v>2662</v>
      </c>
      <c r="Q383" s="159" t="s">
        <v>2840</v>
      </c>
      <c r="R383" s="159" t="s">
        <v>2863</v>
      </c>
      <c r="S383" s="159"/>
      <c r="T383" s="159"/>
      <c r="U383" s="158"/>
      <c r="V383" s="158"/>
      <c r="W383" s="159"/>
      <c r="X383" s="159"/>
      <c r="Y383" s="159"/>
      <c r="Z383" s="159"/>
      <c r="AA383" s="159"/>
      <c r="AB383" s="167"/>
      <c r="AC383" s="159" t="s">
        <v>129</v>
      </c>
      <c r="AD383" s="158"/>
      <c r="AE383" s="159"/>
      <c r="AF383" s="159"/>
      <c r="AG383" s="159"/>
      <c r="AH383" s="159"/>
      <c r="AI383" s="159"/>
      <c r="AJ383" s="159"/>
      <c r="AK383" s="159" t="s">
        <v>2600</v>
      </c>
      <c r="AL383" s="159"/>
      <c r="AM383" s="159"/>
      <c r="AN383" s="159" t="s">
        <v>786</v>
      </c>
      <c r="AO383" s="172" t="s">
        <v>115</v>
      </c>
      <c r="AP383" s="172"/>
      <c r="AQ383" s="172"/>
      <c r="AR383" s="178" t="s">
        <v>2618</v>
      </c>
      <c r="AS383" s="178" t="s">
        <v>2618</v>
      </c>
      <c r="BD383" s="185" t="s">
        <v>1002</v>
      </c>
      <c r="BE383" s="156" t="s">
        <v>1061</v>
      </c>
      <c r="BF383" s="185" t="s">
        <v>2333</v>
      </c>
      <c r="BG383" s="159" t="s">
        <v>129</v>
      </c>
      <c r="BH383" s="159" t="s">
        <v>46</v>
      </c>
      <c r="BI383" s="159" t="s">
        <v>41</v>
      </c>
      <c r="BJ383" s="156">
        <v>1</v>
      </c>
      <c r="BL383" s="156"/>
    </row>
    <row r="384" spans="1:64">
      <c r="A384" s="184" t="str">
        <f t="shared" si="5"/>
        <v>40001380</v>
      </c>
      <c r="B384" s="164"/>
      <c r="C384" s="158" t="s">
        <v>3230</v>
      </c>
      <c r="D384" s="159" t="s">
        <v>1349</v>
      </c>
      <c r="E384" s="159"/>
      <c r="F384" s="164"/>
      <c r="G384" s="167"/>
      <c r="H384" s="167"/>
      <c r="I384" s="159" t="s">
        <v>2569</v>
      </c>
      <c r="J384" s="159" t="s">
        <v>2619</v>
      </c>
      <c r="K384" s="159"/>
      <c r="L384" s="159"/>
      <c r="M384" s="158"/>
      <c r="N384" s="158"/>
      <c r="O384" s="159"/>
      <c r="P384" s="159"/>
      <c r="Q384" s="159" t="s">
        <v>2840</v>
      </c>
      <c r="R384" s="159" t="s">
        <v>2863</v>
      </c>
      <c r="S384" s="159"/>
      <c r="T384" s="159"/>
      <c r="U384" s="158"/>
      <c r="V384" s="158"/>
      <c r="W384" s="159"/>
      <c r="X384" s="159"/>
      <c r="Y384" s="159"/>
      <c r="Z384" s="159"/>
      <c r="AA384" s="159"/>
      <c r="AB384" s="167"/>
      <c r="AC384" s="159" t="s">
        <v>129</v>
      </c>
      <c r="AD384" s="158"/>
      <c r="AE384" s="159"/>
      <c r="AF384" s="159"/>
      <c r="AG384" s="159"/>
      <c r="AH384" s="159"/>
      <c r="AI384" s="159"/>
      <c r="AJ384" s="159"/>
      <c r="AK384" s="159" t="s">
        <v>2600</v>
      </c>
      <c r="AL384" s="159"/>
      <c r="AM384" s="159"/>
      <c r="AN384" s="185" t="s">
        <v>786</v>
      </c>
      <c r="AO384" s="172" t="s">
        <v>115</v>
      </c>
      <c r="AP384" s="172"/>
      <c r="AQ384" s="172"/>
      <c r="AR384" s="178" t="s">
        <v>2618</v>
      </c>
      <c r="AS384" s="178" t="s">
        <v>2618</v>
      </c>
      <c r="BD384" s="185" t="s">
        <v>1002</v>
      </c>
      <c r="BE384" s="156" t="s">
        <v>1092</v>
      </c>
      <c r="BF384" s="185" t="s">
        <v>2333</v>
      </c>
      <c r="BG384" s="159" t="s">
        <v>129</v>
      </c>
      <c r="BH384" s="159"/>
      <c r="BI384" s="159" t="s">
        <v>41</v>
      </c>
      <c r="BJ384" s="156">
        <v>1</v>
      </c>
      <c r="BL384" s="156"/>
    </row>
    <row r="385" spans="1:70">
      <c r="A385" s="184" t="str">
        <f t="shared" si="5"/>
        <v>40001381</v>
      </c>
      <c r="B385" s="164"/>
      <c r="C385" s="158" t="s">
        <v>3231</v>
      </c>
      <c r="D385" s="159" t="s">
        <v>1401</v>
      </c>
      <c r="E385" s="159"/>
      <c r="F385" s="164"/>
      <c r="G385" s="167"/>
      <c r="H385" s="167"/>
      <c r="I385" s="159" t="s">
        <v>2569</v>
      </c>
      <c r="J385" s="159" t="s">
        <v>2619</v>
      </c>
      <c r="K385" s="159"/>
      <c r="L385" s="159"/>
      <c r="M385" s="158"/>
      <c r="N385" s="158"/>
      <c r="O385" s="159"/>
      <c r="P385" s="159"/>
      <c r="Q385" s="159" t="s">
        <v>2840</v>
      </c>
      <c r="R385" s="159" t="s">
        <v>2863</v>
      </c>
      <c r="S385" s="159"/>
      <c r="T385" s="159"/>
      <c r="U385" s="158"/>
      <c r="V385" s="158"/>
      <c r="W385" s="159"/>
      <c r="X385" s="159"/>
      <c r="Y385" s="159"/>
      <c r="Z385" s="159"/>
      <c r="AA385" s="159"/>
      <c r="AB385" s="167"/>
      <c r="AC385" s="159" t="s">
        <v>129</v>
      </c>
      <c r="AD385" s="158"/>
      <c r="AE385" s="159"/>
      <c r="AF385" s="159"/>
      <c r="AG385" s="159"/>
      <c r="AH385" s="159"/>
      <c r="AI385" s="159"/>
      <c r="AJ385" s="159"/>
      <c r="AK385" s="159" t="s">
        <v>2600</v>
      </c>
      <c r="AL385" s="159"/>
      <c r="AM385" s="159"/>
      <c r="AN385" s="185" t="s">
        <v>786</v>
      </c>
      <c r="AO385" s="172" t="s">
        <v>115</v>
      </c>
      <c r="AP385" s="172"/>
      <c r="AQ385" s="172"/>
      <c r="AR385" s="178" t="s">
        <v>2618</v>
      </c>
      <c r="AS385" s="178" t="s">
        <v>2618</v>
      </c>
      <c r="BD385" s="185" t="s">
        <v>1002</v>
      </c>
      <c r="BE385" s="156" t="s">
        <v>1145</v>
      </c>
      <c r="BF385" s="185" t="s">
        <v>1042</v>
      </c>
      <c r="BG385" s="159" t="s">
        <v>129</v>
      </c>
      <c r="BH385" s="159"/>
      <c r="BI385" s="159" t="s">
        <v>41</v>
      </c>
      <c r="BJ385" s="156">
        <v>1</v>
      </c>
      <c r="BL385" s="156"/>
    </row>
    <row r="386" spans="1:70">
      <c r="A386" s="184" t="str">
        <f t="shared" si="5"/>
        <v>40001382</v>
      </c>
      <c r="B386" s="158"/>
      <c r="C386" s="158" t="s">
        <v>3232</v>
      </c>
      <c r="D386" s="159" t="s">
        <v>1423</v>
      </c>
      <c r="E386" s="159"/>
      <c r="F386" s="158"/>
      <c r="G386" s="167"/>
      <c r="H386" s="167"/>
      <c r="I386" s="159" t="s">
        <v>2569</v>
      </c>
      <c r="J386" s="159" t="s">
        <v>2619</v>
      </c>
      <c r="K386" s="159"/>
      <c r="L386" s="159"/>
      <c r="M386" s="158"/>
      <c r="N386" s="158"/>
      <c r="O386" s="159"/>
      <c r="P386" s="159"/>
      <c r="Q386" s="159" t="s">
        <v>2840</v>
      </c>
      <c r="R386" s="159" t="s">
        <v>2863</v>
      </c>
      <c r="S386" s="159"/>
      <c r="T386" s="159"/>
      <c r="U386" s="158"/>
      <c r="V386" s="158"/>
      <c r="W386" s="159"/>
      <c r="X386" s="159"/>
      <c r="Y386" s="159"/>
      <c r="Z386" s="159"/>
      <c r="AA386" s="159"/>
      <c r="AB386" s="167"/>
      <c r="AC386" s="159" t="s">
        <v>129</v>
      </c>
      <c r="AD386" s="158"/>
      <c r="AE386" s="159"/>
      <c r="AF386" s="159"/>
      <c r="AG386" s="159"/>
      <c r="AH386" s="159"/>
      <c r="AI386" s="159"/>
      <c r="AJ386" s="159"/>
      <c r="AK386" s="159" t="s">
        <v>2600</v>
      </c>
      <c r="AL386" s="159"/>
      <c r="AM386" s="159"/>
      <c r="AN386" s="159" t="s">
        <v>786</v>
      </c>
      <c r="AO386" s="172" t="s">
        <v>115</v>
      </c>
      <c r="AP386" s="172"/>
      <c r="AQ386" s="172"/>
      <c r="AR386" s="178" t="s">
        <v>2618</v>
      </c>
      <c r="AS386" s="178" t="s">
        <v>2618</v>
      </c>
      <c r="BD386" s="185" t="s">
        <v>1002</v>
      </c>
      <c r="BE386" s="156" t="s">
        <v>704</v>
      </c>
      <c r="BF386" s="159" t="s">
        <v>2333</v>
      </c>
      <c r="BG386" s="159" t="s">
        <v>129</v>
      </c>
      <c r="BH386" s="159"/>
      <c r="BI386" s="159" t="s">
        <v>41</v>
      </c>
      <c r="BJ386" s="156">
        <v>1</v>
      </c>
      <c r="BL386" s="156"/>
      <c r="BM386" s="186"/>
      <c r="BN386" s="186"/>
      <c r="BO386" s="186"/>
      <c r="BP386" s="186"/>
      <c r="BQ386" s="186"/>
      <c r="BR386" s="186"/>
    </row>
    <row r="387" spans="1:70">
      <c r="A387" s="184" t="str">
        <f t="shared" si="5"/>
        <v>20001383</v>
      </c>
      <c r="B387" s="158" t="s">
        <v>1443</v>
      </c>
      <c r="C387" s="158" t="s">
        <v>3233</v>
      </c>
      <c r="D387" s="159" t="s">
        <v>1441</v>
      </c>
      <c r="E387" s="159"/>
      <c r="F387" s="158" t="s">
        <v>1445</v>
      </c>
      <c r="G387" s="167">
        <v>29587</v>
      </c>
      <c r="H387" s="167"/>
      <c r="I387" s="159" t="s">
        <v>2569</v>
      </c>
      <c r="J387" s="159" t="s">
        <v>2619</v>
      </c>
      <c r="K387" s="159" t="s">
        <v>35</v>
      </c>
      <c r="L387" s="159" t="s">
        <v>1444</v>
      </c>
      <c r="M387" s="158" t="s">
        <v>2623</v>
      </c>
      <c r="N387" s="158" t="s">
        <v>2621</v>
      </c>
      <c r="O387" s="159" t="s">
        <v>2657</v>
      </c>
      <c r="P387" s="159" t="s">
        <v>2662</v>
      </c>
      <c r="Q387" s="159" t="s">
        <v>2840</v>
      </c>
      <c r="R387" s="159" t="s">
        <v>2863</v>
      </c>
      <c r="S387" s="159"/>
      <c r="T387" s="159"/>
      <c r="U387" s="158"/>
      <c r="V387" s="158"/>
      <c r="W387" s="159"/>
      <c r="X387" s="159"/>
      <c r="Y387" s="159"/>
      <c r="Z387" s="159"/>
      <c r="AA387" s="159"/>
      <c r="AB387" s="167"/>
      <c r="AC387" s="159" t="s">
        <v>45</v>
      </c>
      <c r="AD387" s="158"/>
      <c r="AE387" s="159"/>
      <c r="AF387" s="159"/>
      <c r="AG387" s="159"/>
      <c r="AH387" s="159"/>
      <c r="AI387" s="159"/>
      <c r="AJ387" s="159"/>
      <c r="AK387" s="159" t="s">
        <v>2600</v>
      </c>
      <c r="AL387" s="159"/>
      <c r="AM387" s="159"/>
      <c r="AN387" s="159" t="s">
        <v>786</v>
      </c>
      <c r="AO387" s="172" t="s">
        <v>44</v>
      </c>
      <c r="AP387" s="172"/>
      <c r="AQ387" s="172"/>
      <c r="AR387" s="178" t="s">
        <v>2618</v>
      </c>
      <c r="AS387" s="178" t="s">
        <v>2618</v>
      </c>
      <c r="BD387" s="185" t="s">
        <v>1442</v>
      </c>
      <c r="BF387" s="159"/>
      <c r="BG387" s="159" t="s">
        <v>45</v>
      </c>
      <c r="BH387" s="159" t="s">
        <v>46</v>
      </c>
      <c r="BI387" s="159" t="s">
        <v>41</v>
      </c>
      <c r="BJ387" s="156">
        <v>3</v>
      </c>
      <c r="BL387" s="156"/>
    </row>
    <row r="388" spans="1:70">
      <c r="A388" s="184" t="str">
        <f t="shared" si="5"/>
        <v>20001384</v>
      </c>
      <c r="B388" s="158" t="s">
        <v>1459</v>
      </c>
      <c r="C388" s="158" t="s">
        <v>3234</v>
      </c>
      <c r="D388" s="159" t="s">
        <v>1458</v>
      </c>
      <c r="E388" s="159"/>
      <c r="F388" s="158" t="s">
        <v>1461</v>
      </c>
      <c r="G388" s="167">
        <v>29012</v>
      </c>
      <c r="H388" s="167"/>
      <c r="I388" s="159" t="s">
        <v>2569</v>
      </c>
      <c r="J388" s="159" t="s">
        <v>2619</v>
      </c>
      <c r="K388" s="159" t="s">
        <v>35</v>
      </c>
      <c r="L388" s="159" t="s">
        <v>1460</v>
      </c>
      <c r="M388" s="158" t="s">
        <v>2641</v>
      </c>
      <c r="N388" s="158" t="s">
        <v>2626</v>
      </c>
      <c r="O388" s="159" t="s">
        <v>2660</v>
      </c>
      <c r="P388" s="159" t="s">
        <v>2662</v>
      </c>
      <c r="Q388" s="159" t="s">
        <v>2840</v>
      </c>
      <c r="R388" s="159" t="s">
        <v>2863</v>
      </c>
      <c r="S388" s="159"/>
      <c r="T388" s="159"/>
      <c r="U388" s="158"/>
      <c r="V388" s="158"/>
      <c r="W388" s="159"/>
      <c r="X388" s="159"/>
      <c r="Y388" s="159"/>
      <c r="Z388" s="159"/>
      <c r="AA388" s="159"/>
      <c r="AB388" s="167"/>
      <c r="AC388" s="159" t="s">
        <v>45</v>
      </c>
      <c r="AD388" s="158"/>
      <c r="AE388" s="159"/>
      <c r="AF388" s="159"/>
      <c r="AG388" s="159"/>
      <c r="AH388" s="159"/>
      <c r="AI388" s="159"/>
      <c r="AJ388" s="159"/>
      <c r="AK388" s="159" t="s">
        <v>2600</v>
      </c>
      <c r="AL388" s="159"/>
      <c r="AM388" s="159"/>
      <c r="AN388" s="159" t="s">
        <v>786</v>
      </c>
      <c r="AO388" s="172" t="s">
        <v>814</v>
      </c>
      <c r="AP388" s="172"/>
      <c r="AQ388" s="172"/>
      <c r="AR388" s="178" t="s">
        <v>2618</v>
      </c>
      <c r="AS388" s="178" t="s">
        <v>2618</v>
      </c>
      <c r="BD388" s="185" t="s">
        <v>1442</v>
      </c>
      <c r="BE388" s="156" t="s">
        <v>2247</v>
      </c>
      <c r="BF388" s="159"/>
      <c r="BG388" s="159" t="s">
        <v>45</v>
      </c>
      <c r="BH388" s="159"/>
      <c r="BI388" s="159" t="s">
        <v>41</v>
      </c>
      <c r="BJ388" s="156">
        <v>1</v>
      </c>
      <c r="BL388" s="156"/>
      <c r="BM388" s="212"/>
      <c r="BN388" s="212"/>
      <c r="BO388" s="212"/>
      <c r="BP388" s="212"/>
      <c r="BQ388" s="212"/>
      <c r="BR388" s="212"/>
    </row>
    <row r="389" spans="1:70">
      <c r="A389" s="184" t="str">
        <f t="shared" si="5"/>
        <v>20001385</v>
      </c>
      <c r="B389" s="158" t="s">
        <v>1464</v>
      </c>
      <c r="C389" s="158" t="s">
        <v>3235</v>
      </c>
      <c r="D389" s="159" t="s">
        <v>1463</v>
      </c>
      <c r="E389" s="159"/>
      <c r="F389" s="158" t="s">
        <v>1466</v>
      </c>
      <c r="G389" s="167">
        <v>31370</v>
      </c>
      <c r="H389" s="167"/>
      <c r="I389" s="159" t="s">
        <v>2569</v>
      </c>
      <c r="J389" s="159" t="s">
        <v>2619</v>
      </c>
      <c r="K389" s="159" t="s">
        <v>35</v>
      </c>
      <c r="L389" s="159" t="s">
        <v>1465</v>
      </c>
      <c r="M389" s="158" t="s">
        <v>2640</v>
      </c>
      <c r="N389" s="158" t="s">
        <v>2625</v>
      </c>
      <c r="O389" s="159" t="s">
        <v>2660</v>
      </c>
      <c r="P389" s="159" t="s">
        <v>2662</v>
      </c>
      <c r="Q389" s="159" t="s">
        <v>2840</v>
      </c>
      <c r="R389" s="159" t="s">
        <v>2863</v>
      </c>
      <c r="S389" s="159"/>
      <c r="T389" s="159"/>
      <c r="U389" s="158"/>
      <c r="V389" s="158"/>
      <c r="W389" s="159"/>
      <c r="X389" s="159"/>
      <c r="Y389" s="159"/>
      <c r="Z389" s="159"/>
      <c r="AA389" s="159"/>
      <c r="AB389" s="167"/>
      <c r="AC389" s="159" t="s">
        <v>45</v>
      </c>
      <c r="AD389" s="158"/>
      <c r="AE389" s="159"/>
      <c r="AF389" s="159"/>
      <c r="AG389" s="159"/>
      <c r="AH389" s="159"/>
      <c r="AI389" s="159"/>
      <c r="AJ389" s="159"/>
      <c r="AK389" s="159" t="s">
        <v>2600</v>
      </c>
      <c r="AL389" s="159"/>
      <c r="AM389" s="159"/>
      <c r="AN389" s="159" t="s">
        <v>786</v>
      </c>
      <c r="AO389" s="172" t="s">
        <v>2510</v>
      </c>
      <c r="AP389" s="172"/>
      <c r="AQ389" s="172"/>
      <c r="AR389" s="178" t="s">
        <v>2618</v>
      </c>
      <c r="AS389" s="178" t="s">
        <v>2618</v>
      </c>
      <c r="BD389" s="185" t="s">
        <v>1442</v>
      </c>
      <c r="BE389" s="156" t="s">
        <v>2475</v>
      </c>
      <c r="BF389" s="159" t="s">
        <v>1482</v>
      </c>
      <c r="BG389" s="159" t="s">
        <v>45</v>
      </c>
      <c r="BH389" s="159" t="s">
        <v>32</v>
      </c>
      <c r="BI389" s="159" t="s">
        <v>41</v>
      </c>
      <c r="BJ389" s="156">
        <v>1</v>
      </c>
      <c r="BL389" s="156"/>
    </row>
    <row r="390" spans="1:70">
      <c r="A390" s="184" t="str">
        <f t="shared" ref="A390:A453" si="6">IF(AC390="Tetap","1",IF(AC390="Kontrak","2",IF(AC390="Harian Lepas","3",IF(AC390="Borongan","4"))))&amp;TEXT(AB390,"YY")&amp;TEXT(AB390,"MM")&amp;TEXT(C390,"00")</f>
        <v>20001386</v>
      </c>
      <c r="B390" s="158" t="s">
        <v>1470</v>
      </c>
      <c r="C390" s="158" t="s">
        <v>3236</v>
      </c>
      <c r="D390" s="159" t="s">
        <v>1469</v>
      </c>
      <c r="E390" s="159"/>
      <c r="F390" s="158" t="s">
        <v>1472</v>
      </c>
      <c r="G390" s="167">
        <v>31443</v>
      </c>
      <c r="H390" s="167"/>
      <c r="I390" s="159" t="s">
        <v>2569</v>
      </c>
      <c r="J390" s="159" t="s">
        <v>2619</v>
      </c>
      <c r="K390" s="159" t="s">
        <v>35</v>
      </c>
      <c r="L390" s="159" t="s">
        <v>1471</v>
      </c>
      <c r="M390" s="158" t="s">
        <v>2623</v>
      </c>
      <c r="N390" s="158" t="s">
        <v>2630</v>
      </c>
      <c r="O390" s="159" t="s">
        <v>2659</v>
      </c>
      <c r="P390" s="159" t="s">
        <v>2659</v>
      </c>
      <c r="Q390" s="159" t="s">
        <v>2840</v>
      </c>
      <c r="R390" s="159" t="s">
        <v>2863</v>
      </c>
      <c r="S390" s="159"/>
      <c r="T390" s="159"/>
      <c r="U390" s="158"/>
      <c r="V390" s="158"/>
      <c r="W390" s="159"/>
      <c r="X390" s="159"/>
      <c r="Y390" s="159"/>
      <c r="Z390" s="159"/>
      <c r="AA390" s="159"/>
      <c r="AB390" s="167"/>
      <c r="AC390" s="159" t="s">
        <v>45</v>
      </c>
      <c r="AD390" s="158"/>
      <c r="AE390" s="159"/>
      <c r="AF390" s="159"/>
      <c r="AG390" s="159"/>
      <c r="AH390" s="159"/>
      <c r="AI390" s="159"/>
      <c r="AJ390" s="159"/>
      <c r="AK390" s="159" t="s">
        <v>2600</v>
      </c>
      <c r="AL390" s="159"/>
      <c r="AM390" s="159"/>
      <c r="AN390" s="159" t="s">
        <v>786</v>
      </c>
      <c r="AO390" s="172" t="s">
        <v>2510</v>
      </c>
      <c r="AP390" s="172"/>
      <c r="AQ390" s="172"/>
      <c r="AR390" s="178" t="s">
        <v>2618</v>
      </c>
      <c r="AS390" s="178" t="s">
        <v>2618</v>
      </c>
      <c r="BD390" s="185" t="s">
        <v>1442</v>
      </c>
      <c r="BE390" s="156" t="s">
        <v>2475</v>
      </c>
      <c r="BF390" s="154" t="s">
        <v>1508</v>
      </c>
      <c r="BG390" s="159" t="s">
        <v>45</v>
      </c>
      <c r="BH390" s="159"/>
      <c r="BI390" s="159" t="s">
        <v>41</v>
      </c>
      <c r="BJ390" s="156">
        <v>1</v>
      </c>
      <c r="BL390" s="156"/>
    </row>
    <row r="391" spans="1:70">
      <c r="A391" s="184" t="str">
        <f t="shared" si="6"/>
        <v>10001387</v>
      </c>
      <c r="B391" s="158" t="s">
        <v>1475</v>
      </c>
      <c r="C391" s="158" t="s">
        <v>3237</v>
      </c>
      <c r="D391" s="159" t="s">
        <v>1474</v>
      </c>
      <c r="E391" s="159"/>
      <c r="F391" s="158" t="s">
        <v>1477</v>
      </c>
      <c r="G391" s="167">
        <v>28250</v>
      </c>
      <c r="H391" s="167"/>
      <c r="I391" s="159" t="s">
        <v>2569</v>
      </c>
      <c r="J391" s="159" t="s">
        <v>2619</v>
      </c>
      <c r="K391" s="159" t="s">
        <v>35</v>
      </c>
      <c r="L391" s="159" t="s">
        <v>1476</v>
      </c>
      <c r="M391" s="158" t="s">
        <v>2622</v>
      </c>
      <c r="N391" s="158" t="s">
        <v>2627</v>
      </c>
      <c r="O391" s="159" t="s">
        <v>2782</v>
      </c>
      <c r="P391" s="159" t="s">
        <v>2790</v>
      </c>
      <c r="Q391" s="159" t="s">
        <v>2844</v>
      </c>
      <c r="R391" s="159" t="s">
        <v>2863</v>
      </c>
      <c r="S391" s="159"/>
      <c r="T391" s="159"/>
      <c r="U391" s="158"/>
      <c r="V391" s="158"/>
      <c r="W391" s="159"/>
      <c r="X391" s="159"/>
      <c r="Y391" s="159"/>
      <c r="Z391" s="159"/>
      <c r="AA391" s="159"/>
      <c r="AB391" s="167"/>
      <c r="AC391" s="159" t="s">
        <v>30</v>
      </c>
      <c r="AD391" s="158"/>
      <c r="AE391" s="159"/>
      <c r="AF391" s="159"/>
      <c r="AG391" s="159"/>
      <c r="AH391" s="159"/>
      <c r="AI391" s="159"/>
      <c r="AJ391" s="159"/>
      <c r="AK391" s="159" t="s">
        <v>2600</v>
      </c>
      <c r="AL391" s="159"/>
      <c r="AM391" s="159"/>
      <c r="AN391" s="159" t="s">
        <v>786</v>
      </c>
      <c r="AO391" s="172" t="s">
        <v>2510</v>
      </c>
      <c r="AP391" s="172"/>
      <c r="AQ391" s="172"/>
      <c r="AR391" s="178" t="s">
        <v>2618</v>
      </c>
      <c r="AS391" s="178" t="s">
        <v>2618</v>
      </c>
      <c r="BD391" s="185" t="s">
        <v>1442</v>
      </c>
      <c r="BE391" s="156" t="s">
        <v>2475</v>
      </c>
      <c r="BF391" s="159" t="s">
        <v>1539</v>
      </c>
      <c r="BG391" s="159" t="s">
        <v>30</v>
      </c>
      <c r="BH391" s="159" t="s">
        <v>32</v>
      </c>
      <c r="BI391" s="159" t="s">
        <v>41</v>
      </c>
      <c r="BJ391" s="156">
        <v>1</v>
      </c>
      <c r="BL391" s="156"/>
    </row>
    <row r="392" spans="1:70">
      <c r="A392" s="184" t="str">
        <f t="shared" si="6"/>
        <v>20001388</v>
      </c>
      <c r="B392" s="158" t="s">
        <v>1483</v>
      </c>
      <c r="C392" s="158" t="s">
        <v>3238</v>
      </c>
      <c r="D392" s="159" t="s">
        <v>1480</v>
      </c>
      <c r="E392" s="159"/>
      <c r="F392" s="158" t="s">
        <v>1485</v>
      </c>
      <c r="G392" s="167">
        <v>33714</v>
      </c>
      <c r="H392" s="167"/>
      <c r="I392" s="159" t="s">
        <v>2569</v>
      </c>
      <c r="J392" s="159" t="s">
        <v>2619</v>
      </c>
      <c r="K392" s="159" t="s">
        <v>165</v>
      </c>
      <c r="L392" s="159" t="s">
        <v>1484</v>
      </c>
      <c r="M392" s="158" t="s">
        <v>2621</v>
      </c>
      <c r="N392" s="158" t="s">
        <v>2629</v>
      </c>
      <c r="O392" s="159" t="s">
        <v>2666</v>
      </c>
      <c r="P392" s="159" t="s">
        <v>2662</v>
      </c>
      <c r="Q392" s="159" t="s">
        <v>2840</v>
      </c>
      <c r="R392" s="159" t="s">
        <v>2863</v>
      </c>
      <c r="S392" s="159"/>
      <c r="T392" s="159"/>
      <c r="U392" s="158"/>
      <c r="V392" s="158"/>
      <c r="W392" s="159"/>
      <c r="X392" s="159"/>
      <c r="Y392" s="159"/>
      <c r="Z392" s="159"/>
      <c r="AA392" s="159"/>
      <c r="AB392" s="167"/>
      <c r="AC392" s="159" t="s">
        <v>45</v>
      </c>
      <c r="AD392" s="158"/>
      <c r="AE392" s="159"/>
      <c r="AF392" s="159"/>
      <c r="AG392" s="159"/>
      <c r="AH392" s="159"/>
      <c r="AI392" s="159"/>
      <c r="AJ392" s="159"/>
      <c r="AK392" s="159" t="s">
        <v>2600</v>
      </c>
      <c r="AL392" s="159"/>
      <c r="AM392" s="159"/>
      <c r="AN392" s="159" t="s">
        <v>786</v>
      </c>
      <c r="AO392" s="172" t="s">
        <v>78</v>
      </c>
      <c r="AP392" s="172"/>
      <c r="AQ392" s="172"/>
      <c r="AR392" s="178" t="s">
        <v>2618</v>
      </c>
      <c r="AS392" s="178" t="s">
        <v>2618</v>
      </c>
      <c r="BD392" s="185" t="s">
        <v>1442</v>
      </c>
      <c r="BE392" s="156" t="s">
        <v>1481</v>
      </c>
      <c r="BF392" s="159" t="s">
        <v>1482</v>
      </c>
      <c r="BG392" s="159" t="s">
        <v>45</v>
      </c>
      <c r="BH392" s="159" t="s">
        <v>46</v>
      </c>
      <c r="BI392" s="159" t="s">
        <v>41</v>
      </c>
      <c r="BJ392" s="156">
        <v>1</v>
      </c>
      <c r="BL392" s="156"/>
    </row>
    <row r="393" spans="1:70">
      <c r="A393" s="184" t="str">
        <f t="shared" si="6"/>
        <v>40001389</v>
      </c>
      <c r="B393" s="158" t="s">
        <v>1667</v>
      </c>
      <c r="C393" s="158" t="s">
        <v>3239</v>
      </c>
      <c r="D393" s="159" t="s">
        <v>1666</v>
      </c>
      <c r="E393" s="159"/>
      <c r="F393" s="158" t="s">
        <v>1669</v>
      </c>
      <c r="G393" s="167">
        <v>26203</v>
      </c>
      <c r="H393" s="167"/>
      <c r="I393" s="159" t="s">
        <v>2569</v>
      </c>
      <c r="J393" s="159" t="s">
        <v>2619</v>
      </c>
      <c r="K393" s="159" t="s">
        <v>35</v>
      </c>
      <c r="L393" s="159" t="s">
        <v>1668</v>
      </c>
      <c r="M393" s="158"/>
      <c r="N393" s="158"/>
      <c r="O393" s="159" t="s">
        <v>2678</v>
      </c>
      <c r="P393" s="159" t="s">
        <v>2662</v>
      </c>
      <c r="Q393" s="159" t="s">
        <v>2840</v>
      </c>
      <c r="R393" s="159" t="s">
        <v>2863</v>
      </c>
      <c r="S393" s="159"/>
      <c r="T393" s="159"/>
      <c r="U393" s="158"/>
      <c r="V393" s="158"/>
      <c r="W393" s="159"/>
      <c r="X393" s="159"/>
      <c r="Y393" s="159"/>
      <c r="Z393" s="159"/>
      <c r="AA393" s="159"/>
      <c r="AB393" s="167"/>
      <c r="AC393" s="159" t="s">
        <v>129</v>
      </c>
      <c r="AD393" s="158"/>
      <c r="AE393" s="159"/>
      <c r="AF393" s="159"/>
      <c r="AG393" s="159"/>
      <c r="AH393" s="159"/>
      <c r="AI393" s="159"/>
      <c r="AJ393" s="159"/>
      <c r="AK393" s="159" t="s">
        <v>2600</v>
      </c>
      <c r="AL393" s="159"/>
      <c r="AM393" s="159"/>
      <c r="AN393" s="159" t="s">
        <v>786</v>
      </c>
      <c r="AO393" s="172" t="s">
        <v>115</v>
      </c>
      <c r="AP393" s="172"/>
      <c r="AQ393" s="172"/>
      <c r="AR393" s="178" t="s">
        <v>2618</v>
      </c>
      <c r="AS393" s="178" t="s">
        <v>2618</v>
      </c>
      <c r="BD393" s="185" t="s">
        <v>1442</v>
      </c>
      <c r="BE393" s="156" t="s">
        <v>1481</v>
      </c>
      <c r="BF393" s="159" t="s">
        <v>1482</v>
      </c>
      <c r="BG393" s="159" t="s">
        <v>129</v>
      </c>
      <c r="BH393" s="159" t="s">
        <v>32</v>
      </c>
      <c r="BI393" s="159" t="s">
        <v>41</v>
      </c>
      <c r="BJ393" s="156">
        <v>1</v>
      </c>
      <c r="BL393" s="156"/>
    </row>
    <row r="394" spans="1:70">
      <c r="A394" s="184" t="str">
        <f t="shared" si="6"/>
        <v>20001390</v>
      </c>
      <c r="B394" s="158" t="s">
        <v>1489</v>
      </c>
      <c r="C394" s="158" t="s">
        <v>3240</v>
      </c>
      <c r="D394" s="159" t="s">
        <v>1487</v>
      </c>
      <c r="E394" s="159"/>
      <c r="F394" s="158" t="s">
        <v>1491</v>
      </c>
      <c r="G394" s="167">
        <v>29221</v>
      </c>
      <c r="H394" s="167"/>
      <c r="I394" s="159" t="s">
        <v>2569</v>
      </c>
      <c r="J394" s="159" t="s">
        <v>2619</v>
      </c>
      <c r="K394" s="159" t="s">
        <v>35</v>
      </c>
      <c r="L394" s="159" t="s">
        <v>1490</v>
      </c>
      <c r="M394" s="158" t="s">
        <v>2628</v>
      </c>
      <c r="N394" s="158" t="s">
        <v>2626</v>
      </c>
      <c r="O394" s="159" t="s">
        <v>2663</v>
      </c>
      <c r="P394" s="159" t="s">
        <v>2662</v>
      </c>
      <c r="Q394" s="159" t="s">
        <v>2840</v>
      </c>
      <c r="R394" s="159" t="s">
        <v>2863</v>
      </c>
      <c r="S394" s="159"/>
      <c r="T394" s="159"/>
      <c r="U394" s="158"/>
      <c r="V394" s="158"/>
      <c r="W394" s="159"/>
      <c r="X394" s="159"/>
      <c r="Y394" s="159"/>
      <c r="Z394" s="159"/>
      <c r="AA394" s="159"/>
      <c r="AB394" s="167"/>
      <c r="AC394" s="159" t="s">
        <v>45</v>
      </c>
      <c r="AD394" s="158"/>
      <c r="AE394" s="159"/>
      <c r="AF394" s="159"/>
      <c r="AG394" s="159"/>
      <c r="AH394" s="159"/>
      <c r="AI394" s="159"/>
      <c r="AJ394" s="159"/>
      <c r="AK394" s="159" t="s">
        <v>2600</v>
      </c>
      <c r="AL394" s="159"/>
      <c r="AM394" s="159"/>
      <c r="AN394" s="159" t="s">
        <v>786</v>
      </c>
      <c r="AO394" s="172" t="s">
        <v>78</v>
      </c>
      <c r="AP394" s="172"/>
      <c r="AQ394" s="172"/>
      <c r="AR394" s="178" t="s">
        <v>2618</v>
      </c>
      <c r="AS394" s="178" t="s">
        <v>2618</v>
      </c>
      <c r="BD394" s="185" t="s">
        <v>1442</v>
      </c>
      <c r="BE394" s="156" t="s">
        <v>2476</v>
      </c>
      <c r="BF394" s="159" t="s">
        <v>1482</v>
      </c>
      <c r="BG394" s="159" t="s">
        <v>45</v>
      </c>
      <c r="BH394" s="159" t="s">
        <v>32</v>
      </c>
      <c r="BI394" s="159" t="s">
        <v>41</v>
      </c>
      <c r="BJ394" s="156">
        <v>1</v>
      </c>
      <c r="BL394" s="156"/>
    </row>
    <row r="395" spans="1:70">
      <c r="A395" s="184" t="str">
        <f t="shared" si="6"/>
        <v>40001391</v>
      </c>
      <c r="B395" s="158"/>
      <c r="C395" s="158" t="s">
        <v>3241</v>
      </c>
      <c r="D395" s="159" t="s">
        <v>1685</v>
      </c>
      <c r="E395" s="159"/>
      <c r="F395" s="158"/>
      <c r="G395" s="167"/>
      <c r="H395" s="167"/>
      <c r="I395" s="159" t="s">
        <v>2569</v>
      </c>
      <c r="J395" s="159" t="s">
        <v>2619</v>
      </c>
      <c r="K395" s="159"/>
      <c r="L395" s="159"/>
      <c r="M395" s="158"/>
      <c r="N395" s="158"/>
      <c r="O395" s="159"/>
      <c r="P395" s="159"/>
      <c r="Q395" s="159" t="s">
        <v>2840</v>
      </c>
      <c r="R395" s="159" t="s">
        <v>2863</v>
      </c>
      <c r="S395" s="159"/>
      <c r="T395" s="159"/>
      <c r="U395" s="158"/>
      <c r="V395" s="158"/>
      <c r="W395" s="159"/>
      <c r="X395" s="159"/>
      <c r="Y395" s="159"/>
      <c r="Z395" s="159"/>
      <c r="AA395" s="159"/>
      <c r="AB395" s="167"/>
      <c r="AC395" s="159" t="s">
        <v>129</v>
      </c>
      <c r="AD395" s="158"/>
      <c r="AE395" s="159"/>
      <c r="AF395" s="159"/>
      <c r="AG395" s="159"/>
      <c r="AH395" s="159"/>
      <c r="AI395" s="159"/>
      <c r="AJ395" s="159"/>
      <c r="AK395" s="159" t="s">
        <v>2600</v>
      </c>
      <c r="AL395" s="159"/>
      <c r="AM395" s="159"/>
      <c r="AN395" s="159" t="s">
        <v>786</v>
      </c>
      <c r="AO395" s="172" t="s">
        <v>115</v>
      </c>
      <c r="AP395" s="172"/>
      <c r="AQ395" s="172"/>
      <c r="AR395" s="178" t="s">
        <v>2618</v>
      </c>
      <c r="AS395" s="178" t="s">
        <v>2618</v>
      </c>
      <c r="BD395" s="185" t="s">
        <v>1442</v>
      </c>
      <c r="BE395" s="156" t="s">
        <v>1493</v>
      </c>
      <c r="BF395" s="159" t="s">
        <v>1482</v>
      </c>
      <c r="BG395" s="159" t="s">
        <v>129</v>
      </c>
      <c r="BH395" s="159"/>
      <c r="BI395" s="159" t="s">
        <v>41</v>
      </c>
      <c r="BJ395" s="156">
        <v>1</v>
      </c>
      <c r="BL395" s="156"/>
    </row>
    <row r="396" spans="1:70">
      <c r="A396" s="184" t="str">
        <f t="shared" si="6"/>
        <v>40001392</v>
      </c>
      <c r="B396" s="158" t="s">
        <v>1688</v>
      </c>
      <c r="C396" s="158" t="s">
        <v>3242</v>
      </c>
      <c r="D396" s="159" t="s">
        <v>1686</v>
      </c>
      <c r="E396" s="159"/>
      <c r="F396" s="158" t="s">
        <v>1690</v>
      </c>
      <c r="G396" s="167">
        <v>36214</v>
      </c>
      <c r="H396" s="167"/>
      <c r="I396" s="159" t="s">
        <v>2569</v>
      </c>
      <c r="J396" s="159" t="s">
        <v>2619</v>
      </c>
      <c r="K396" s="159" t="s">
        <v>165</v>
      </c>
      <c r="L396" s="159" t="s">
        <v>1689</v>
      </c>
      <c r="M396" s="158" t="s">
        <v>2622</v>
      </c>
      <c r="N396" s="158" t="s">
        <v>2626</v>
      </c>
      <c r="O396" s="159" t="s">
        <v>2659</v>
      </c>
      <c r="P396" s="159" t="s">
        <v>2659</v>
      </c>
      <c r="Q396" s="159" t="s">
        <v>2840</v>
      </c>
      <c r="R396" s="159" t="s">
        <v>2863</v>
      </c>
      <c r="S396" s="159"/>
      <c r="T396" s="159"/>
      <c r="U396" s="158"/>
      <c r="V396" s="158"/>
      <c r="W396" s="159"/>
      <c r="X396" s="159"/>
      <c r="Y396" s="159"/>
      <c r="Z396" s="159"/>
      <c r="AA396" s="159"/>
      <c r="AB396" s="167"/>
      <c r="AC396" s="159" t="s">
        <v>129</v>
      </c>
      <c r="AD396" s="158"/>
      <c r="AE396" s="159"/>
      <c r="AF396" s="159"/>
      <c r="AG396" s="159"/>
      <c r="AH396" s="159"/>
      <c r="AI396" s="159"/>
      <c r="AJ396" s="159"/>
      <c r="AK396" s="159" t="s">
        <v>2600</v>
      </c>
      <c r="AL396" s="159"/>
      <c r="AM396" s="159"/>
      <c r="AN396" s="159" t="s">
        <v>786</v>
      </c>
      <c r="AO396" s="172" t="s">
        <v>115</v>
      </c>
      <c r="AP396" s="172"/>
      <c r="AQ396" s="172"/>
      <c r="AR396" s="178" t="s">
        <v>2618</v>
      </c>
      <c r="AS396" s="178" t="s">
        <v>2618</v>
      </c>
      <c r="BD396" s="185" t="s">
        <v>1442</v>
      </c>
      <c r="BE396" s="156" t="s">
        <v>1493</v>
      </c>
      <c r="BF396" s="159" t="s">
        <v>1482</v>
      </c>
      <c r="BG396" s="159" t="s">
        <v>129</v>
      </c>
      <c r="BH396" s="159" t="s">
        <v>1687</v>
      </c>
      <c r="BI396" s="159" t="s">
        <v>41</v>
      </c>
      <c r="BJ396" s="156">
        <v>1</v>
      </c>
      <c r="BL396" s="156"/>
    </row>
    <row r="397" spans="1:70">
      <c r="A397" s="184" t="str">
        <f t="shared" si="6"/>
        <v>20001393</v>
      </c>
      <c r="B397" s="158"/>
      <c r="C397" s="158" t="s">
        <v>3243</v>
      </c>
      <c r="D397" s="159" t="s">
        <v>1504</v>
      </c>
      <c r="E397" s="159"/>
      <c r="F397" s="158"/>
      <c r="G397" s="167"/>
      <c r="H397" s="167"/>
      <c r="I397" s="159" t="s">
        <v>2569</v>
      </c>
      <c r="J397" s="159" t="s">
        <v>2619</v>
      </c>
      <c r="K397" s="159"/>
      <c r="L397" s="159"/>
      <c r="M397" s="158"/>
      <c r="N397" s="158"/>
      <c r="O397" s="159"/>
      <c r="P397" s="159"/>
      <c r="Q397" s="159" t="s">
        <v>2840</v>
      </c>
      <c r="R397" s="159" t="s">
        <v>2863</v>
      </c>
      <c r="S397" s="159"/>
      <c r="T397" s="159"/>
      <c r="U397" s="158"/>
      <c r="V397" s="158"/>
      <c r="W397" s="159"/>
      <c r="X397" s="159"/>
      <c r="Y397" s="159"/>
      <c r="Z397" s="159"/>
      <c r="AA397" s="159"/>
      <c r="AB397" s="167"/>
      <c r="AC397" s="159" t="s">
        <v>45</v>
      </c>
      <c r="AD397" s="158"/>
      <c r="AE397" s="159"/>
      <c r="AF397" s="159"/>
      <c r="AG397" s="159"/>
      <c r="AH397" s="159"/>
      <c r="AI397" s="159"/>
      <c r="AJ397" s="159"/>
      <c r="AK397" s="159" t="s">
        <v>2600</v>
      </c>
      <c r="AL397" s="159"/>
      <c r="AM397" s="159"/>
      <c r="AN397" s="159" t="s">
        <v>786</v>
      </c>
      <c r="AO397" s="172" t="s">
        <v>78</v>
      </c>
      <c r="AP397" s="172"/>
      <c r="AQ397" s="172"/>
      <c r="AR397" s="178" t="s">
        <v>2618</v>
      </c>
      <c r="AS397" s="178" t="s">
        <v>2618</v>
      </c>
      <c r="BD397" s="185" t="s">
        <v>1442</v>
      </c>
      <c r="BE397" s="156" t="s">
        <v>1505</v>
      </c>
      <c r="BF397" s="159" t="s">
        <v>1482</v>
      </c>
      <c r="BG397" s="159" t="s">
        <v>45</v>
      </c>
      <c r="BH397" s="159"/>
      <c r="BI397" s="159" t="s">
        <v>41</v>
      </c>
      <c r="BJ397" s="156">
        <v>1</v>
      </c>
      <c r="BL397" s="156"/>
      <c r="BM397" s="190"/>
      <c r="BN397" s="190"/>
      <c r="BO397" s="190"/>
      <c r="BP397" s="190"/>
      <c r="BQ397" s="190"/>
      <c r="BR397" s="190"/>
    </row>
    <row r="398" spans="1:70">
      <c r="A398" s="184" t="str">
        <f t="shared" si="6"/>
        <v>20001394</v>
      </c>
      <c r="B398" s="158" t="s">
        <v>1509</v>
      </c>
      <c r="C398" s="158" t="s">
        <v>3244</v>
      </c>
      <c r="D398" s="159" t="s">
        <v>1507</v>
      </c>
      <c r="E398" s="159"/>
      <c r="F398" s="158" t="s">
        <v>1510</v>
      </c>
      <c r="G398" s="167">
        <v>28705</v>
      </c>
      <c r="H398" s="167"/>
      <c r="I398" s="159" t="s">
        <v>2569</v>
      </c>
      <c r="J398" s="159" t="s">
        <v>2619</v>
      </c>
      <c r="K398" s="159" t="s">
        <v>35</v>
      </c>
      <c r="L398" s="159" t="s">
        <v>238</v>
      </c>
      <c r="M398" s="158" t="s">
        <v>2633</v>
      </c>
      <c r="N398" s="158" t="s">
        <v>2622</v>
      </c>
      <c r="O398" s="159" t="s">
        <v>2660</v>
      </c>
      <c r="P398" s="159" t="s">
        <v>2662</v>
      </c>
      <c r="Q398" s="159" t="s">
        <v>2840</v>
      </c>
      <c r="R398" s="159" t="s">
        <v>2863</v>
      </c>
      <c r="S398" s="159"/>
      <c r="T398" s="159"/>
      <c r="U398" s="158"/>
      <c r="V398" s="158"/>
      <c r="W398" s="159"/>
      <c r="X398" s="159"/>
      <c r="Y398" s="159"/>
      <c r="Z398" s="159"/>
      <c r="AA398" s="159"/>
      <c r="AB398" s="167"/>
      <c r="AC398" s="159" t="s">
        <v>45</v>
      </c>
      <c r="AD398" s="158"/>
      <c r="AE398" s="159"/>
      <c r="AF398" s="159"/>
      <c r="AG398" s="159"/>
      <c r="AH398" s="159"/>
      <c r="AI398" s="159"/>
      <c r="AJ398" s="159"/>
      <c r="AK398" s="159" t="s">
        <v>2600</v>
      </c>
      <c r="AL398" s="159"/>
      <c r="AM398" s="159"/>
      <c r="AN398" s="159" t="s">
        <v>786</v>
      </c>
      <c r="AO398" s="172" t="s">
        <v>78</v>
      </c>
      <c r="AP398" s="172"/>
      <c r="AQ398" s="172"/>
      <c r="AR398" s="178" t="s">
        <v>2618</v>
      </c>
      <c r="AS398" s="178" t="s">
        <v>2618</v>
      </c>
      <c r="BD398" s="185" t="s">
        <v>1442</v>
      </c>
      <c r="BE398" s="156" t="s">
        <v>1488</v>
      </c>
      <c r="BF398" s="159" t="s">
        <v>1482</v>
      </c>
      <c r="BG398" s="159" t="s">
        <v>45</v>
      </c>
      <c r="BH398" s="159" t="s">
        <v>32</v>
      </c>
      <c r="BI398" s="159" t="s">
        <v>41</v>
      </c>
      <c r="BJ398" s="156">
        <v>1</v>
      </c>
      <c r="BL398" s="156"/>
    </row>
    <row r="399" spans="1:70">
      <c r="A399" s="184" t="str">
        <f t="shared" si="6"/>
        <v>20001395</v>
      </c>
      <c r="B399" s="158" t="s">
        <v>1540</v>
      </c>
      <c r="C399" s="158" t="s">
        <v>3245</v>
      </c>
      <c r="D399" s="159" t="s">
        <v>1538</v>
      </c>
      <c r="E399" s="159"/>
      <c r="F399" s="158" t="s">
        <v>1542</v>
      </c>
      <c r="G399" s="167">
        <v>30414</v>
      </c>
      <c r="H399" s="167"/>
      <c r="I399" s="159" t="s">
        <v>2569</v>
      </c>
      <c r="J399" s="159" t="s">
        <v>2619</v>
      </c>
      <c r="K399" s="159" t="s">
        <v>35</v>
      </c>
      <c r="L399" s="159" t="s">
        <v>1541</v>
      </c>
      <c r="M399" s="158" t="s">
        <v>2622</v>
      </c>
      <c r="N399" s="158" t="s">
        <v>2626</v>
      </c>
      <c r="O399" s="159" t="s">
        <v>2657</v>
      </c>
      <c r="P399" s="159" t="s">
        <v>2662</v>
      </c>
      <c r="Q399" s="159" t="s">
        <v>2840</v>
      </c>
      <c r="R399" s="159" t="s">
        <v>2863</v>
      </c>
      <c r="S399" s="159"/>
      <c r="T399" s="159"/>
      <c r="U399" s="158"/>
      <c r="V399" s="158"/>
      <c r="W399" s="159"/>
      <c r="X399" s="159"/>
      <c r="Y399" s="159"/>
      <c r="Z399" s="159"/>
      <c r="AA399" s="159"/>
      <c r="AB399" s="167"/>
      <c r="AC399" s="159" t="s">
        <v>45</v>
      </c>
      <c r="AD399" s="158"/>
      <c r="AE399" s="159"/>
      <c r="AF399" s="159"/>
      <c r="AG399" s="159"/>
      <c r="AH399" s="159"/>
      <c r="AI399" s="159"/>
      <c r="AJ399" s="159"/>
      <c r="AK399" s="159" t="s">
        <v>2600</v>
      </c>
      <c r="AL399" s="159"/>
      <c r="AM399" s="159"/>
      <c r="AN399" s="159" t="s">
        <v>786</v>
      </c>
      <c r="AO399" s="172" t="s">
        <v>78</v>
      </c>
      <c r="AP399" s="172"/>
      <c r="AQ399" s="172"/>
      <c r="AR399" s="178" t="s">
        <v>2618</v>
      </c>
      <c r="AS399" s="178" t="s">
        <v>2618</v>
      </c>
      <c r="BD399" s="185" t="s">
        <v>1442</v>
      </c>
      <c r="BE399" s="156" t="s">
        <v>1481</v>
      </c>
      <c r="BF399" s="159" t="s">
        <v>1539</v>
      </c>
      <c r="BG399" s="159" t="s">
        <v>45</v>
      </c>
      <c r="BH399" s="159" t="s">
        <v>32</v>
      </c>
      <c r="BI399" s="159" t="s">
        <v>41</v>
      </c>
      <c r="BJ399" s="156">
        <v>1</v>
      </c>
      <c r="BL399" s="156"/>
    </row>
    <row r="400" spans="1:70">
      <c r="A400" s="184" t="str">
        <f t="shared" si="6"/>
        <v>20001396</v>
      </c>
      <c r="B400" s="158" t="s">
        <v>1547</v>
      </c>
      <c r="C400" s="158" t="s">
        <v>3246</v>
      </c>
      <c r="D400" s="159" t="s">
        <v>1546</v>
      </c>
      <c r="E400" s="159"/>
      <c r="F400" s="158" t="s">
        <v>1548</v>
      </c>
      <c r="G400" s="167">
        <v>30158</v>
      </c>
      <c r="H400" s="167"/>
      <c r="I400" s="159" t="s">
        <v>2569</v>
      </c>
      <c r="J400" s="159" t="s">
        <v>2619</v>
      </c>
      <c r="K400" s="159" t="s">
        <v>35</v>
      </c>
      <c r="L400" s="159" t="s">
        <v>85</v>
      </c>
      <c r="M400" s="158" t="s">
        <v>2647</v>
      </c>
      <c r="N400" s="158" t="s">
        <v>2625</v>
      </c>
      <c r="O400" s="159" t="s">
        <v>2657</v>
      </c>
      <c r="P400" s="159" t="s">
        <v>2662</v>
      </c>
      <c r="Q400" s="159" t="s">
        <v>2840</v>
      </c>
      <c r="R400" s="159" t="s">
        <v>2863</v>
      </c>
      <c r="S400" s="159"/>
      <c r="T400" s="159"/>
      <c r="U400" s="158"/>
      <c r="V400" s="158"/>
      <c r="W400" s="159"/>
      <c r="X400" s="159"/>
      <c r="Y400" s="159"/>
      <c r="Z400" s="159"/>
      <c r="AA400" s="159"/>
      <c r="AB400" s="167"/>
      <c r="AC400" s="159" t="s">
        <v>45</v>
      </c>
      <c r="AD400" s="158"/>
      <c r="AE400" s="159"/>
      <c r="AF400" s="159"/>
      <c r="AG400" s="159"/>
      <c r="AH400" s="159"/>
      <c r="AI400" s="159"/>
      <c r="AJ400" s="159"/>
      <c r="AK400" s="159" t="s">
        <v>2600</v>
      </c>
      <c r="AL400" s="159"/>
      <c r="AM400" s="159"/>
      <c r="AN400" s="159" t="s">
        <v>786</v>
      </c>
      <c r="AO400" s="172" t="s">
        <v>78</v>
      </c>
      <c r="AP400" s="172"/>
      <c r="AQ400" s="172"/>
      <c r="AR400" s="178" t="s">
        <v>2618</v>
      </c>
      <c r="AS400" s="178" t="s">
        <v>2618</v>
      </c>
      <c r="BD400" s="185" t="s">
        <v>1442</v>
      </c>
      <c r="BE400" s="156" t="s">
        <v>1488</v>
      </c>
      <c r="BF400" s="159" t="s">
        <v>1539</v>
      </c>
      <c r="BG400" s="159" t="s">
        <v>45</v>
      </c>
      <c r="BH400" s="159" t="s">
        <v>46</v>
      </c>
      <c r="BI400" s="159" t="s">
        <v>41</v>
      </c>
      <c r="BJ400" s="156">
        <v>1</v>
      </c>
      <c r="BL400" s="156"/>
    </row>
    <row r="401" spans="1:70">
      <c r="A401" s="184" t="str">
        <f t="shared" si="6"/>
        <v>20001397</v>
      </c>
      <c r="B401" s="158"/>
      <c r="C401" s="158" t="s">
        <v>3247</v>
      </c>
      <c r="D401" s="159" t="s">
        <v>1550</v>
      </c>
      <c r="E401" s="159"/>
      <c r="F401" s="158" t="s">
        <v>1551</v>
      </c>
      <c r="G401" s="167">
        <v>31282</v>
      </c>
      <c r="H401" s="167"/>
      <c r="I401" s="159" t="s">
        <v>2569</v>
      </c>
      <c r="J401" s="159" t="s">
        <v>2619</v>
      </c>
      <c r="K401" s="159" t="s">
        <v>165</v>
      </c>
      <c r="L401" s="159" t="s">
        <v>850</v>
      </c>
      <c r="M401" s="158" t="s">
        <v>2631</v>
      </c>
      <c r="N401" s="158" t="s">
        <v>2626</v>
      </c>
      <c r="O401" s="159" t="s">
        <v>2660</v>
      </c>
      <c r="P401" s="159" t="s">
        <v>2662</v>
      </c>
      <c r="Q401" s="159" t="s">
        <v>2840</v>
      </c>
      <c r="R401" s="159" t="s">
        <v>2863</v>
      </c>
      <c r="S401" s="159"/>
      <c r="T401" s="159"/>
      <c r="U401" s="158"/>
      <c r="V401" s="158"/>
      <c r="W401" s="159"/>
      <c r="X401" s="159"/>
      <c r="Y401" s="159"/>
      <c r="Z401" s="159"/>
      <c r="AA401" s="159"/>
      <c r="AB401" s="167"/>
      <c r="AC401" s="159" t="s">
        <v>45</v>
      </c>
      <c r="AD401" s="158"/>
      <c r="AE401" s="159"/>
      <c r="AF401" s="159"/>
      <c r="AG401" s="159"/>
      <c r="AH401" s="159"/>
      <c r="AI401" s="159"/>
      <c r="AJ401" s="159"/>
      <c r="AK401" s="159" t="s">
        <v>2600</v>
      </c>
      <c r="AL401" s="159"/>
      <c r="AM401" s="159"/>
      <c r="AN401" s="159" t="s">
        <v>786</v>
      </c>
      <c r="AO401" s="172" t="s">
        <v>78</v>
      </c>
      <c r="AP401" s="172"/>
      <c r="AQ401" s="172"/>
      <c r="AR401" s="178" t="s">
        <v>2618</v>
      </c>
      <c r="AS401" s="178" t="s">
        <v>2618</v>
      </c>
      <c r="BD401" s="185" t="s">
        <v>1442</v>
      </c>
      <c r="BE401" s="156" t="s">
        <v>1493</v>
      </c>
      <c r="BF401" s="159" t="s">
        <v>1539</v>
      </c>
      <c r="BG401" s="159" t="s">
        <v>45</v>
      </c>
      <c r="BH401" s="159"/>
      <c r="BI401" s="159" t="s">
        <v>41</v>
      </c>
      <c r="BJ401" s="156">
        <v>1</v>
      </c>
      <c r="BL401" s="156"/>
    </row>
    <row r="402" spans="1:70">
      <c r="A402" s="184" t="str">
        <f t="shared" si="6"/>
        <v>20001398</v>
      </c>
      <c r="B402" s="158" t="s">
        <v>1559</v>
      </c>
      <c r="C402" s="158" t="s">
        <v>3248</v>
      </c>
      <c r="D402" s="159" t="s">
        <v>1557</v>
      </c>
      <c r="E402" s="159"/>
      <c r="F402" s="158" t="s">
        <v>1561</v>
      </c>
      <c r="G402" s="167">
        <v>29952</v>
      </c>
      <c r="H402" s="167"/>
      <c r="I402" s="159" t="s">
        <v>2569</v>
      </c>
      <c r="J402" s="159" t="s">
        <v>2619</v>
      </c>
      <c r="K402" s="159" t="s">
        <v>35</v>
      </c>
      <c r="L402" s="159" t="s">
        <v>1560</v>
      </c>
      <c r="M402" s="158"/>
      <c r="N402" s="158"/>
      <c r="O402" s="159" t="s">
        <v>2783</v>
      </c>
      <c r="P402" s="159" t="s">
        <v>2830</v>
      </c>
      <c r="Q402" s="159" t="s">
        <v>2840</v>
      </c>
      <c r="R402" s="159" t="s">
        <v>2863</v>
      </c>
      <c r="S402" s="159"/>
      <c r="T402" s="159"/>
      <c r="U402" s="158"/>
      <c r="V402" s="158"/>
      <c r="W402" s="159"/>
      <c r="X402" s="159"/>
      <c r="Y402" s="159"/>
      <c r="Z402" s="159"/>
      <c r="AA402" s="159"/>
      <c r="AB402" s="167"/>
      <c r="AC402" s="159" t="s">
        <v>45</v>
      </c>
      <c r="AD402" s="158"/>
      <c r="AE402" s="159"/>
      <c r="AF402" s="159"/>
      <c r="AG402" s="159"/>
      <c r="AH402" s="159"/>
      <c r="AI402" s="159"/>
      <c r="AJ402" s="159"/>
      <c r="AK402" s="159" t="s">
        <v>2600</v>
      </c>
      <c r="AL402" s="159"/>
      <c r="AM402" s="159"/>
      <c r="AN402" s="159" t="s">
        <v>786</v>
      </c>
      <c r="AO402" s="172" t="s">
        <v>78</v>
      </c>
      <c r="AP402" s="172"/>
      <c r="AQ402" s="172"/>
      <c r="AR402" s="178" t="s">
        <v>2618</v>
      </c>
      <c r="AS402" s="178" t="s">
        <v>2618</v>
      </c>
      <c r="BD402" s="185" t="s">
        <v>1442</v>
      </c>
      <c r="BE402" s="156" t="s">
        <v>1558</v>
      </c>
      <c r="BF402" s="159" t="s">
        <v>1482</v>
      </c>
      <c r="BG402" s="159" t="s">
        <v>45</v>
      </c>
      <c r="BH402" s="159" t="s">
        <v>46</v>
      </c>
      <c r="BI402" s="159" t="s">
        <v>41</v>
      </c>
      <c r="BJ402" s="156">
        <v>1</v>
      </c>
      <c r="BL402" s="156"/>
    </row>
    <row r="403" spans="1:70">
      <c r="A403" s="184" t="str">
        <f t="shared" si="6"/>
        <v>40001399</v>
      </c>
      <c r="B403" s="158" t="s">
        <v>1564</v>
      </c>
      <c r="C403" s="158" t="s">
        <v>3249</v>
      </c>
      <c r="D403" s="159" t="s">
        <v>1563</v>
      </c>
      <c r="E403" s="159"/>
      <c r="F403" s="158" t="s">
        <v>1565</v>
      </c>
      <c r="G403" s="167">
        <v>28991</v>
      </c>
      <c r="H403" s="167"/>
      <c r="I403" s="159" t="s">
        <v>2569</v>
      </c>
      <c r="J403" s="159" t="s">
        <v>2619</v>
      </c>
      <c r="K403" s="159" t="s">
        <v>35</v>
      </c>
      <c r="L403" s="159" t="s">
        <v>755</v>
      </c>
      <c r="M403" s="158" t="s">
        <v>2628</v>
      </c>
      <c r="N403" s="158" t="s">
        <v>2626</v>
      </c>
      <c r="O403" s="159" t="s">
        <v>2660</v>
      </c>
      <c r="P403" s="159" t="s">
        <v>2662</v>
      </c>
      <c r="Q403" s="159" t="s">
        <v>2840</v>
      </c>
      <c r="R403" s="159" t="s">
        <v>2863</v>
      </c>
      <c r="S403" s="159"/>
      <c r="T403" s="159"/>
      <c r="U403" s="158"/>
      <c r="V403" s="158"/>
      <c r="W403" s="159"/>
      <c r="X403" s="159"/>
      <c r="Y403" s="159"/>
      <c r="Z403" s="159"/>
      <c r="AA403" s="159"/>
      <c r="AB403" s="167"/>
      <c r="AC403" s="159" t="s">
        <v>129</v>
      </c>
      <c r="AD403" s="158"/>
      <c r="AE403" s="159"/>
      <c r="AF403" s="159"/>
      <c r="AG403" s="159"/>
      <c r="AH403" s="159"/>
      <c r="AI403" s="159"/>
      <c r="AJ403" s="159"/>
      <c r="AK403" s="159" t="s">
        <v>2600</v>
      </c>
      <c r="AL403" s="159"/>
      <c r="AM403" s="159"/>
      <c r="AN403" s="159" t="s">
        <v>786</v>
      </c>
      <c r="AO403" s="172" t="s">
        <v>115</v>
      </c>
      <c r="AP403" s="172"/>
      <c r="AQ403" s="172"/>
      <c r="AR403" s="178" t="s">
        <v>2618</v>
      </c>
      <c r="AS403" s="178" t="s">
        <v>2618</v>
      </c>
      <c r="BD403" s="185" t="s">
        <v>1442</v>
      </c>
      <c r="BE403" s="156" t="s">
        <v>1558</v>
      </c>
      <c r="BF403" s="159" t="s">
        <v>1482</v>
      </c>
      <c r="BG403" s="159" t="s">
        <v>129</v>
      </c>
      <c r="BH403" s="159" t="s">
        <v>32</v>
      </c>
      <c r="BI403" s="159" t="s">
        <v>41</v>
      </c>
      <c r="BJ403" s="156">
        <v>1</v>
      </c>
      <c r="BL403" s="156"/>
    </row>
    <row r="404" spans="1:70">
      <c r="A404" s="184" t="str">
        <f t="shared" si="6"/>
        <v>40001400</v>
      </c>
      <c r="B404" s="158" t="s">
        <v>1606</v>
      </c>
      <c r="C404" s="158" t="s">
        <v>3250</v>
      </c>
      <c r="D404" s="159" t="s">
        <v>1605</v>
      </c>
      <c r="E404" s="159"/>
      <c r="F404" s="158" t="s">
        <v>1607</v>
      </c>
      <c r="G404" s="167">
        <v>33007</v>
      </c>
      <c r="H404" s="167"/>
      <c r="I404" s="159" t="s">
        <v>2569</v>
      </c>
      <c r="J404" s="159" t="s">
        <v>2619</v>
      </c>
      <c r="K404" s="159" t="s">
        <v>35</v>
      </c>
      <c r="L404" s="159" t="s">
        <v>611</v>
      </c>
      <c r="M404" s="158" t="s">
        <v>2626</v>
      </c>
      <c r="N404" s="158" t="s">
        <v>2622</v>
      </c>
      <c r="O404" s="159" t="s">
        <v>2659</v>
      </c>
      <c r="P404" s="159" t="s">
        <v>2659</v>
      </c>
      <c r="Q404" s="159" t="s">
        <v>2840</v>
      </c>
      <c r="R404" s="159" t="s">
        <v>2863</v>
      </c>
      <c r="S404" s="159"/>
      <c r="T404" s="159"/>
      <c r="U404" s="158"/>
      <c r="V404" s="158"/>
      <c r="W404" s="159"/>
      <c r="X404" s="159"/>
      <c r="Y404" s="159"/>
      <c r="Z404" s="159"/>
      <c r="AA404" s="159"/>
      <c r="AB404" s="167"/>
      <c r="AC404" s="159" t="s">
        <v>129</v>
      </c>
      <c r="AD404" s="158"/>
      <c r="AE404" s="159"/>
      <c r="AF404" s="159"/>
      <c r="AG404" s="159"/>
      <c r="AH404" s="159"/>
      <c r="AI404" s="159"/>
      <c r="AJ404" s="159"/>
      <c r="AK404" s="159" t="s">
        <v>2600</v>
      </c>
      <c r="AL404" s="159"/>
      <c r="AM404" s="159"/>
      <c r="AN404" s="159" t="s">
        <v>786</v>
      </c>
      <c r="AO404" s="172" t="s">
        <v>115</v>
      </c>
      <c r="AP404" s="172"/>
      <c r="AQ404" s="172"/>
      <c r="AR404" s="178" t="s">
        <v>2618</v>
      </c>
      <c r="AS404" s="178" t="s">
        <v>2618</v>
      </c>
      <c r="BD404" s="185" t="s">
        <v>1442</v>
      </c>
      <c r="BE404" s="156" t="s">
        <v>1488</v>
      </c>
      <c r="BF404" s="159" t="s">
        <v>1482</v>
      </c>
      <c r="BG404" s="159" t="s">
        <v>129</v>
      </c>
      <c r="BH404" s="159"/>
      <c r="BI404" s="159" t="s">
        <v>41</v>
      </c>
      <c r="BJ404" s="156">
        <v>1</v>
      </c>
      <c r="BL404" s="156"/>
    </row>
    <row r="405" spans="1:70">
      <c r="A405" s="184" t="str">
        <f t="shared" si="6"/>
        <v>40001401</v>
      </c>
      <c r="B405" s="158" t="s">
        <v>1615</v>
      </c>
      <c r="C405" s="158" t="s">
        <v>3251</v>
      </c>
      <c r="D405" s="159" t="s">
        <v>1614</v>
      </c>
      <c r="E405" s="159"/>
      <c r="F405" s="158" t="s">
        <v>1616</v>
      </c>
      <c r="G405" s="167">
        <v>37763</v>
      </c>
      <c r="H405" s="167"/>
      <c r="I405" s="159" t="s">
        <v>2569</v>
      </c>
      <c r="J405" s="159" t="s">
        <v>2619</v>
      </c>
      <c r="K405" s="159" t="s">
        <v>165</v>
      </c>
      <c r="L405" s="159" t="s">
        <v>1417</v>
      </c>
      <c r="M405" s="158" t="s">
        <v>2626</v>
      </c>
      <c r="N405" s="158" t="s">
        <v>2626</v>
      </c>
      <c r="O405" s="159" t="s">
        <v>2659</v>
      </c>
      <c r="P405" s="159" t="s">
        <v>2659</v>
      </c>
      <c r="Q405" s="159" t="s">
        <v>2840</v>
      </c>
      <c r="R405" s="159" t="s">
        <v>2863</v>
      </c>
      <c r="S405" s="159"/>
      <c r="T405" s="159"/>
      <c r="U405" s="158"/>
      <c r="V405" s="158"/>
      <c r="W405" s="159"/>
      <c r="X405" s="159"/>
      <c r="Y405" s="159"/>
      <c r="Z405" s="159"/>
      <c r="AA405" s="159"/>
      <c r="AB405" s="167"/>
      <c r="AC405" s="159" t="s">
        <v>129</v>
      </c>
      <c r="AD405" s="158"/>
      <c r="AE405" s="159"/>
      <c r="AF405" s="159"/>
      <c r="AG405" s="159"/>
      <c r="AH405" s="159"/>
      <c r="AI405" s="159"/>
      <c r="AJ405" s="159"/>
      <c r="AK405" s="159" t="s">
        <v>2600</v>
      </c>
      <c r="AL405" s="159"/>
      <c r="AM405" s="159"/>
      <c r="AN405" s="159" t="s">
        <v>786</v>
      </c>
      <c r="AO405" s="172" t="s">
        <v>115</v>
      </c>
      <c r="AP405" s="172"/>
      <c r="AQ405" s="172"/>
      <c r="AR405" s="178" t="s">
        <v>2618</v>
      </c>
      <c r="AS405" s="178" t="s">
        <v>2618</v>
      </c>
      <c r="BD405" s="185" t="s">
        <v>1442</v>
      </c>
      <c r="BE405" s="156" t="s">
        <v>1488</v>
      </c>
      <c r="BF405" s="159" t="s">
        <v>1482</v>
      </c>
      <c r="BG405" s="159" t="s">
        <v>129</v>
      </c>
      <c r="BH405" s="159" t="s">
        <v>46</v>
      </c>
      <c r="BI405" s="159" t="s">
        <v>41</v>
      </c>
      <c r="BJ405" s="156">
        <v>1</v>
      </c>
      <c r="BL405" s="156"/>
      <c r="BM405" s="190"/>
      <c r="BN405" s="190"/>
      <c r="BO405" s="190"/>
      <c r="BP405" s="190"/>
      <c r="BQ405" s="190"/>
      <c r="BR405" s="190"/>
    </row>
    <row r="406" spans="1:70">
      <c r="A406" s="184" t="str">
        <f t="shared" si="6"/>
        <v>40001402</v>
      </c>
      <c r="B406" s="158" t="s">
        <v>1622</v>
      </c>
      <c r="C406" s="158" t="s">
        <v>3252</v>
      </c>
      <c r="D406" s="159" t="s">
        <v>1621</v>
      </c>
      <c r="E406" s="159"/>
      <c r="F406" s="158" t="s">
        <v>1623</v>
      </c>
      <c r="G406" s="167">
        <v>36868</v>
      </c>
      <c r="H406" s="167"/>
      <c r="I406" s="159" t="s">
        <v>2569</v>
      </c>
      <c r="J406" s="159" t="s">
        <v>2619</v>
      </c>
      <c r="K406" s="159" t="s">
        <v>165</v>
      </c>
      <c r="L406" s="159" t="s">
        <v>141</v>
      </c>
      <c r="M406" s="158" t="s">
        <v>2626</v>
      </c>
      <c r="N406" s="158" t="s">
        <v>2625</v>
      </c>
      <c r="O406" s="159" t="s">
        <v>2659</v>
      </c>
      <c r="P406" s="159" t="s">
        <v>2659</v>
      </c>
      <c r="Q406" s="159" t="s">
        <v>2840</v>
      </c>
      <c r="R406" s="159" t="s">
        <v>2863</v>
      </c>
      <c r="S406" s="159"/>
      <c r="T406" s="159"/>
      <c r="U406" s="158"/>
      <c r="V406" s="158"/>
      <c r="W406" s="159"/>
      <c r="X406" s="159"/>
      <c r="Y406" s="159"/>
      <c r="Z406" s="159"/>
      <c r="AA406" s="159"/>
      <c r="AB406" s="167"/>
      <c r="AC406" s="159" t="s">
        <v>129</v>
      </c>
      <c r="AD406" s="158"/>
      <c r="AE406" s="159"/>
      <c r="AF406" s="159"/>
      <c r="AG406" s="159"/>
      <c r="AH406" s="159"/>
      <c r="AI406" s="159"/>
      <c r="AJ406" s="159"/>
      <c r="AK406" s="159" t="s">
        <v>2600</v>
      </c>
      <c r="AL406" s="159"/>
      <c r="AM406" s="159"/>
      <c r="AN406" s="159" t="s">
        <v>786</v>
      </c>
      <c r="AO406" s="172" t="s">
        <v>115</v>
      </c>
      <c r="AP406" s="172"/>
      <c r="AQ406" s="172"/>
      <c r="AR406" s="178" t="s">
        <v>2618</v>
      </c>
      <c r="AS406" s="178" t="s">
        <v>2618</v>
      </c>
      <c r="BD406" s="185" t="s">
        <v>1442</v>
      </c>
      <c r="BE406" s="156" t="s">
        <v>1488</v>
      </c>
      <c r="BF406" s="159" t="s">
        <v>1508</v>
      </c>
      <c r="BG406" s="159" t="s">
        <v>129</v>
      </c>
      <c r="BH406" s="159" t="s">
        <v>46</v>
      </c>
      <c r="BI406" s="159" t="s">
        <v>41</v>
      </c>
      <c r="BJ406" s="156">
        <v>1</v>
      </c>
      <c r="BL406" s="156"/>
    </row>
    <row r="407" spans="1:70">
      <c r="A407" s="184" t="str">
        <f t="shared" si="6"/>
        <v>40001403</v>
      </c>
      <c r="B407" s="158" t="s">
        <v>1629</v>
      </c>
      <c r="C407" s="158" t="s">
        <v>3253</v>
      </c>
      <c r="D407" s="159" t="s">
        <v>1628</v>
      </c>
      <c r="E407" s="159"/>
      <c r="F407" s="158" t="s">
        <v>1631</v>
      </c>
      <c r="G407" s="167">
        <v>38775</v>
      </c>
      <c r="H407" s="167"/>
      <c r="I407" s="159" t="s">
        <v>2569</v>
      </c>
      <c r="J407" s="159" t="s">
        <v>2619</v>
      </c>
      <c r="K407" s="159" t="s">
        <v>165</v>
      </c>
      <c r="L407" s="159" t="s">
        <v>1630</v>
      </c>
      <c r="M407" s="158" t="s">
        <v>2625</v>
      </c>
      <c r="N407" s="158" t="s">
        <v>2623</v>
      </c>
      <c r="O407" s="159" t="s">
        <v>2784</v>
      </c>
      <c r="P407" s="159" t="s">
        <v>2659</v>
      </c>
      <c r="Q407" s="159" t="s">
        <v>2840</v>
      </c>
      <c r="R407" s="159" t="s">
        <v>2863</v>
      </c>
      <c r="S407" s="159"/>
      <c r="T407" s="159"/>
      <c r="U407" s="158"/>
      <c r="V407" s="158"/>
      <c r="W407" s="159"/>
      <c r="X407" s="159"/>
      <c r="Y407" s="159"/>
      <c r="Z407" s="159"/>
      <c r="AA407" s="159"/>
      <c r="AB407" s="167"/>
      <c r="AC407" s="159" t="s">
        <v>129</v>
      </c>
      <c r="AD407" s="158"/>
      <c r="AE407" s="159"/>
      <c r="AF407" s="159"/>
      <c r="AG407" s="159"/>
      <c r="AH407" s="159"/>
      <c r="AI407" s="159"/>
      <c r="AJ407" s="159"/>
      <c r="AK407" s="159" t="s">
        <v>2600</v>
      </c>
      <c r="AL407" s="159"/>
      <c r="AM407" s="159"/>
      <c r="AN407" s="159" t="s">
        <v>786</v>
      </c>
      <c r="AO407" s="172" t="s">
        <v>115</v>
      </c>
      <c r="AP407" s="172"/>
      <c r="AQ407" s="172"/>
      <c r="AR407" s="178" t="s">
        <v>2618</v>
      </c>
      <c r="AS407" s="178" t="s">
        <v>2618</v>
      </c>
      <c r="BD407" s="185" t="s">
        <v>1442</v>
      </c>
      <c r="BE407" s="156" t="s">
        <v>1488</v>
      </c>
      <c r="BF407" s="159" t="s">
        <v>1508</v>
      </c>
      <c r="BG407" s="159" t="s">
        <v>129</v>
      </c>
      <c r="BH407" s="159" t="s">
        <v>46</v>
      </c>
      <c r="BI407" s="159" t="s">
        <v>41</v>
      </c>
      <c r="BJ407" s="156">
        <v>1</v>
      </c>
      <c r="BL407" s="156"/>
    </row>
    <row r="408" spans="1:70">
      <c r="A408" s="184" t="str">
        <f t="shared" si="6"/>
        <v>40001404</v>
      </c>
      <c r="B408" s="158" t="s">
        <v>1660</v>
      </c>
      <c r="C408" s="158" t="s">
        <v>3254</v>
      </c>
      <c r="D408" s="159" t="s">
        <v>1659</v>
      </c>
      <c r="E408" s="159"/>
      <c r="F408" s="158" t="s">
        <v>1661</v>
      </c>
      <c r="G408" s="167">
        <v>38567</v>
      </c>
      <c r="H408" s="167"/>
      <c r="I408" s="159" t="s">
        <v>2569</v>
      </c>
      <c r="J408" s="159" t="s">
        <v>2619</v>
      </c>
      <c r="K408" s="159" t="s">
        <v>165</v>
      </c>
      <c r="L408" s="159" t="s">
        <v>263</v>
      </c>
      <c r="M408" s="158" t="s">
        <v>2621</v>
      </c>
      <c r="N408" s="158" t="s">
        <v>2626</v>
      </c>
      <c r="O408" s="159" t="s">
        <v>2659</v>
      </c>
      <c r="P408" s="159" t="s">
        <v>2659</v>
      </c>
      <c r="Q408" s="159" t="s">
        <v>2840</v>
      </c>
      <c r="R408" s="159" t="s">
        <v>2863</v>
      </c>
      <c r="S408" s="159"/>
      <c r="T408" s="159"/>
      <c r="U408" s="158"/>
      <c r="V408" s="158"/>
      <c r="W408" s="159"/>
      <c r="X408" s="159"/>
      <c r="Y408" s="159"/>
      <c r="Z408" s="159"/>
      <c r="AA408" s="159"/>
      <c r="AB408" s="167"/>
      <c r="AC408" s="159" t="s">
        <v>129</v>
      </c>
      <c r="AD408" s="158"/>
      <c r="AE408" s="159"/>
      <c r="AF408" s="159"/>
      <c r="AG408" s="159"/>
      <c r="AH408" s="159"/>
      <c r="AI408" s="159"/>
      <c r="AJ408" s="159"/>
      <c r="AK408" s="159" t="s">
        <v>2600</v>
      </c>
      <c r="AL408" s="159"/>
      <c r="AM408" s="159"/>
      <c r="AN408" s="159" t="s">
        <v>786</v>
      </c>
      <c r="AO408" s="172" t="s">
        <v>115</v>
      </c>
      <c r="AP408" s="172"/>
      <c r="AQ408" s="172"/>
      <c r="AR408" s="178" t="s">
        <v>2618</v>
      </c>
      <c r="AS408" s="178" t="s">
        <v>2618</v>
      </c>
      <c r="BD408" s="185" t="s">
        <v>1442</v>
      </c>
      <c r="BE408" s="156" t="s">
        <v>1488</v>
      </c>
      <c r="BF408" s="159" t="s">
        <v>1539</v>
      </c>
      <c r="BG408" s="159" t="s">
        <v>129</v>
      </c>
      <c r="BH408" s="159" t="s">
        <v>46</v>
      </c>
      <c r="BI408" s="159" t="s">
        <v>41</v>
      </c>
      <c r="BJ408" s="156">
        <v>1</v>
      </c>
      <c r="BL408" s="156"/>
    </row>
    <row r="409" spans="1:70">
      <c r="A409" s="184" t="str">
        <f t="shared" si="6"/>
        <v>40001405</v>
      </c>
      <c r="B409" s="158" t="s">
        <v>1725</v>
      </c>
      <c r="C409" s="158" t="s">
        <v>3255</v>
      </c>
      <c r="D409" s="159" t="s">
        <v>1724</v>
      </c>
      <c r="E409" s="159"/>
      <c r="F409" s="158" t="s">
        <v>1727</v>
      </c>
      <c r="G409" s="167">
        <v>31090</v>
      </c>
      <c r="H409" s="167"/>
      <c r="I409" s="159" t="s">
        <v>2569</v>
      </c>
      <c r="J409" s="159" t="s">
        <v>2619</v>
      </c>
      <c r="K409" s="159" t="s">
        <v>35</v>
      </c>
      <c r="L409" s="159" t="s">
        <v>1726</v>
      </c>
      <c r="M409" s="158" t="s">
        <v>2625</v>
      </c>
      <c r="N409" s="158" t="s">
        <v>2629</v>
      </c>
      <c r="O409" s="159" t="s">
        <v>2785</v>
      </c>
      <c r="P409" s="159" t="s">
        <v>2790</v>
      </c>
      <c r="Q409" s="159" t="s">
        <v>2844</v>
      </c>
      <c r="R409" s="159" t="s">
        <v>2863</v>
      </c>
      <c r="S409" s="159"/>
      <c r="T409" s="159"/>
      <c r="U409" s="158"/>
      <c r="V409" s="158"/>
      <c r="W409" s="159"/>
      <c r="X409" s="159"/>
      <c r="Y409" s="159"/>
      <c r="Z409" s="159"/>
      <c r="AA409" s="159"/>
      <c r="AB409" s="167"/>
      <c r="AC409" s="159" t="s">
        <v>129</v>
      </c>
      <c r="AD409" s="158"/>
      <c r="AE409" s="159"/>
      <c r="AF409" s="159"/>
      <c r="AG409" s="159"/>
      <c r="AH409" s="159"/>
      <c r="AI409" s="159"/>
      <c r="AJ409" s="159"/>
      <c r="AK409" s="159" t="s">
        <v>2600</v>
      </c>
      <c r="AL409" s="159"/>
      <c r="AM409" s="159"/>
      <c r="AN409" s="159" t="s">
        <v>786</v>
      </c>
      <c r="AO409" s="172" t="s">
        <v>115</v>
      </c>
      <c r="AP409" s="172"/>
      <c r="AQ409" s="172"/>
      <c r="AR409" s="178" t="s">
        <v>2618</v>
      </c>
      <c r="AS409" s="178" t="s">
        <v>2618</v>
      </c>
      <c r="BD409" s="185" t="s">
        <v>1442</v>
      </c>
      <c r="BE409" s="156" t="s">
        <v>1481</v>
      </c>
      <c r="BF409" s="159" t="s">
        <v>1539</v>
      </c>
      <c r="BG409" s="159" t="s">
        <v>129</v>
      </c>
      <c r="BH409" s="159" t="s">
        <v>32</v>
      </c>
      <c r="BI409" s="159" t="s">
        <v>41</v>
      </c>
      <c r="BJ409" s="156">
        <v>1</v>
      </c>
      <c r="BL409" s="156"/>
    </row>
    <row r="410" spans="1:70">
      <c r="A410" s="184" t="str">
        <f t="shared" si="6"/>
        <v>40001406</v>
      </c>
      <c r="B410" s="158" t="s">
        <v>1735</v>
      </c>
      <c r="C410" s="158" t="s">
        <v>3256</v>
      </c>
      <c r="D410" s="159" t="s">
        <v>1734</v>
      </c>
      <c r="E410" s="159"/>
      <c r="F410" s="158" t="s">
        <v>1737</v>
      </c>
      <c r="G410" s="167">
        <v>36836</v>
      </c>
      <c r="H410" s="167"/>
      <c r="I410" s="159" t="s">
        <v>2569</v>
      </c>
      <c r="J410" s="159" t="s">
        <v>2619</v>
      </c>
      <c r="K410" s="159" t="s">
        <v>165</v>
      </c>
      <c r="L410" s="159" t="s">
        <v>1736</v>
      </c>
      <c r="M410" s="158" t="s">
        <v>2629</v>
      </c>
      <c r="N410" s="158" t="s">
        <v>2623</v>
      </c>
      <c r="O410" s="159" t="s">
        <v>2786</v>
      </c>
      <c r="P410" s="159" t="s">
        <v>2790</v>
      </c>
      <c r="Q410" s="159" t="s">
        <v>2844</v>
      </c>
      <c r="R410" s="159" t="s">
        <v>2863</v>
      </c>
      <c r="S410" s="159"/>
      <c r="T410" s="159"/>
      <c r="U410" s="158"/>
      <c r="V410" s="158"/>
      <c r="W410" s="159"/>
      <c r="X410" s="159"/>
      <c r="Y410" s="159"/>
      <c r="Z410" s="159"/>
      <c r="AA410" s="159"/>
      <c r="AB410" s="167"/>
      <c r="AC410" s="159" t="s">
        <v>129</v>
      </c>
      <c r="AD410" s="158"/>
      <c r="AE410" s="159"/>
      <c r="AF410" s="159"/>
      <c r="AG410" s="159"/>
      <c r="AH410" s="159"/>
      <c r="AI410" s="159"/>
      <c r="AJ410" s="159"/>
      <c r="AK410" s="159" t="s">
        <v>2600</v>
      </c>
      <c r="AL410" s="159"/>
      <c r="AM410" s="159"/>
      <c r="AN410" s="159" t="s">
        <v>786</v>
      </c>
      <c r="AO410" s="172" t="s">
        <v>115</v>
      </c>
      <c r="AP410" s="172"/>
      <c r="AQ410" s="172"/>
      <c r="AR410" s="178" t="s">
        <v>2618</v>
      </c>
      <c r="AS410" s="178" t="s">
        <v>2618</v>
      </c>
      <c r="BD410" s="185" t="s">
        <v>1442</v>
      </c>
      <c r="BE410" s="156" t="s">
        <v>1493</v>
      </c>
      <c r="BF410" s="159" t="s">
        <v>1539</v>
      </c>
      <c r="BG410" s="159" t="s">
        <v>129</v>
      </c>
      <c r="BH410" s="159" t="s">
        <v>46</v>
      </c>
      <c r="BI410" s="159" t="s">
        <v>41</v>
      </c>
      <c r="BJ410" s="156">
        <v>1</v>
      </c>
      <c r="BL410" s="156"/>
    </row>
    <row r="411" spans="1:70">
      <c r="A411" s="184" t="str">
        <f t="shared" si="6"/>
        <v>42605407</v>
      </c>
      <c r="B411" s="203" t="s">
        <v>2331</v>
      </c>
      <c r="C411" s="158" t="s">
        <v>3257</v>
      </c>
      <c r="D411" s="159" t="s">
        <v>2330</v>
      </c>
      <c r="E411" s="159"/>
      <c r="F411" s="203" t="s">
        <v>2332</v>
      </c>
      <c r="G411" s="188">
        <v>37228</v>
      </c>
      <c r="H411" s="188"/>
      <c r="I411" s="159" t="s">
        <v>2569</v>
      </c>
      <c r="J411" s="159" t="s">
        <v>2619</v>
      </c>
      <c r="K411" s="204" t="s">
        <v>81</v>
      </c>
      <c r="L411" s="204" t="s">
        <v>965</v>
      </c>
      <c r="M411" s="203" t="s">
        <v>2623</v>
      </c>
      <c r="N411" s="203" t="s">
        <v>2625</v>
      </c>
      <c r="O411" s="204" t="s">
        <v>2662</v>
      </c>
      <c r="P411" s="159" t="s">
        <v>2662</v>
      </c>
      <c r="Q411" s="159" t="s">
        <v>2840</v>
      </c>
      <c r="R411" s="159" t="s">
        <v>2863</v>
      </c>
      <c r="S411" s="204"/>
      <c r="T411" s="204"/>
      <c r="U411" s="203"/>
      <c r="V411" s="203"/>
      <c r="W411" s="204"/>
      <c r="X411" s="204"/>
      <c r="Y411" s="204"/>
      <c r="Z411" s="204"/>
      <c r="AA411" s="204"/>
      <c r="AB411" s="167">
        <v>46148</v>
      </c>
      <c r="AC411" s="159" t="s">
        <v>129</v>
      </c>
      <c r="AD411" s="158"/>
      <c r="AE411" s="159"/>
      <c r="AF411" s="159"/>
      <c r="AG411" s="159"/>
      <c r="AH411" s="159"/>
      <c r="AI411" s="159"/>
      <c r="AJ411" s="159"/>
      <c r="AK411" s="159" t="s">
        <v>2600</v>
      </c>
      <c r="AL411" s="159"/>
      <c r="AM411" s="159"/>
      <c r="AN411" s="159" t="s">
        <v>786</v>
      </c>
      <c r="AO411" s="172" t="s">
        <v>115</v>
      </c>
      <c r="AP411" s="172"/>
      <c r="AQ411" s="172"/>
      <c r="AR411" s="178" t="s">
        <v>2618</v>
      </c>
      <c r="AS411" s="178" t="s">
        <v>2618</v>
      </c>
      <c r="BD411" s="185" t="s">
        <v>1002</v>
      </c>
      <c r="BE411" s="162" t="s">
        <v>1075</v>
      </c>
      <c r="BF411" s="159" t="s">
        <v>2333</v>
      </c>
      <c r="BG411" s="159" t="s">
        <v>129</v>
      </c>
      <c r="BH411" s="204" t="s">
        <v>46</v>
      </c>
      <c r="BI411" s="159" t="s">
        <v>41</v>
      </c>
      <c r="BJ411" s="156"/>
      <c r="BL411" s="156"/>
    </row>
    <row r="412" spans="1:70">
      <c r="A412" s="184" t="str">
        <f t="shared" si="6"/>
        <v>40001408</v>
      </c>
      <c r="B412" s="158" t="s">
        <v>1750</v>
      </c>
      <c r="C412" s="158" t="s">
        <v>3258</v>
      </c>
      <c r="D412" s="159" t="s">
        <v>1749</v>
      </c>
      <c r="E412" s="159"/>
      <c r="F412" s="158" t="s">
        <v>1752</v>
      </c>
      <c r="G412" s="167">
        <v>37807</v>
      </c>
      <c r="H412" s="167"/>
      <c r="I412" s="159" t="s">
        <v>2569</v>
      </c>
      <c r="J412" s="159" t="s">
        <v>2619</v>
      </c>
      <c r="K412" s="159" t="s">
        <v>165</v>
      </c>
      <c r="L412" s="159" t="s">
        <v>1751</v>
      </c>
      <c r="M412" s="158" t="s">
        <v>2645</v>
      </c>
      <c r="N412" s="158" t="s">
        <v>2630</v>
      </c>
      <c r="O412" s="159" t="s">
        <v>2716</v>
      </c>
      <c r="P412" s="159" t="s">
        <v>2659</v>
      </c>
      <c r="Q412" s="159" t="s">
        <v>2840</v>
      </c>
      <c r="R412" s="159" t="s">
        <v>2863</v>
      </c>
      <c r="S412" s="159"/>
      <c r="T412" s="159"/>
      <c r="U412" s="158"/>
      <c r="V412" s="158"/>
      <c r="W412" s="159"/>
      <c r="X412" s="159"/>
      <c r="Y412" s="159"/>
      <c r="Z412" s="159"/>
      <c r="AA412" s="159"/>
      <c r="AB412" s="167"/>
      <c r="AC412" s="159" t="s">
        <v>129</v>
      </c>
      <c r="AD412" s="158"/>
      <c r="AE412" s="159"/>
      <c r="AF412" s="159"/>
      <c r="AG412" s="159"/>
      <c r="AH412" s="159"/>
      <c r="AI412" s="159"/>
      <c r="AJ412" s="159"/>
      <c r="AK412" s="159" t="s">
        <v>2600</v>
      </c>
      <c r="AL412" s="159"/>
      <c r="AM412" s="159"/>
      <c r="AN412" s="159" t="s">
        <v>786</v>
      </c>
      <c r="AO412" s="172" t="s">
        <v>115</v>
      </c>
      <c r="AP412" s="172"/>
      <c r="AQ412" s="172"/>
      <c r="AR412" s="178" t="s">
        <v>2618</v>
      </c>
      <c r="AS412" s="178" t="s">
        <v>2618</v>
      </c>
      <c r="BD412" s="185" t="s">
        <v>1442</v>
      </c>
      <c r="BE412" s="156" t="s">
        <v>1920</v>
      </c>
      <c r="BF412" s="159" t="s">
        <v>1539</v>
      </c>
      <c r="BG412" s="159" t="s">
        <v>129</v>
      </c>
      <c r="BH412" s="159" t="s">
        <v>32</v>
      </c>
      <c r="BI412" s="159" t="s">
        <v>41</v>
      </c>
      <c r="BJ412" s="156">
        <v>1</v>
      </c>
      <c r="BL412" s="156"/>
    </row>
    <row r="413" spans="1:70">
      <c r="A413" s="184" t="str">
        <f t="shared" si="6"/>
        <v>40001409</v>
      </c>
      <c r="B413" s="158" t="s">
        <v>1755</v>
      </c>
      <c r="C413" s="158" t="s">
        <v>3259</v>
      </c>
      <c r="D413" s="159" t="s">
        <v>1754</v>
      </c>
      <c r="E413" s="159"/>
      <c r="F413" s="158" t="s">
        <v>1756</v>
      </c>
      <c r="G413" s="167">
        <v>35594</v>
      </c>
      <c r="H413" s="167"/>
      <c r="I413" s="159" t="s">
        <v>2569</v>
      </c>
      <c r="J413" s="159" t="s">
        <v>2619</v>
      </c>
      <c r="K413" s="159" t="s">
        <v>165</v>
      </c>
      <c r="L413" s="159" t="s">
        <v>100</v>
      </c>
      <c r="M413" s="158" t="s">
        <v>2627</v>
      </c>
      <c r="N413" s="158" t="s">
        <v>2622</v>
      </c>
      <c r="O413" s="159" t="s">
        <v>2659</v>
      </c>
      <c r="P413" s="159" t="s">
        <v>2659</v>
      </c>
      <c r="Q413" s="159" t="s">
        <v>2840</v>
      </c>
      <c r="R413" s="159" t="s">
        <v>2863</v>
      </c>
      <c r="S413" s="159"/>
      <c r="T413" s="159"/>
      <c r="U413" s="158"/>
      <c r="V413" s="158"/>
      <c r="W413" s="159"/>
      <c r="X413" s="159"/>
      <c r="Y413" s="159"/>
      <c r="Z413" s="159"/>
      <c r="AA413" s="159"/>
      <c r="AB413" s="167"/>
      <c r="AC413" s="159" t="s">
        <v>129</v>
      </c>
      <c r="AD413" s="158"/>
      <c r="AE413" s="159"/>
      <c r="AF413" s="159"/>
      <c r="AG413" s="159"/>
      <c r="AH413" s="159"/>
      <c r="AI413" s="159"/>
      <c r="AJ413" s="159"/>
      <c r="AK413" s="159" t="s">
        <v>2600</v>
      </c>
      <c r="AL413" s="159"/>
      <c r="AM413" s="159"/>
      <c r="AN413" s="159" t="s">
        <v>786</v>
      </c>
      <c r="AO413" s="172" t="s">
        <v>115</v>
      </c>
      <c r="AP413" s="172"/>
      <c r="AQ413" s="172"/>
      <c r="AR413" s="178" t="s">
        <v>2618</v>
      </c>
      <c r="AS413" s="178" t="s">
        <v>2618</v>
      </c>
      <c r="BD413" s="185" t="s">
        <v>1442</v>
      </c>
      <c r="BE413" s="156" t="s">
        <v>1481</v>
      </c>
      <c r="BF413" s="159" t="s">
        <v>1539</v>
      </c>
      <c r="BG413" s="159" t="s">
        <v>129</v>
      </c>
      <c r="BH413" s="159" t="s">
        <v>46</v>
      </c>
      <c r="BI413" s="159" t="s">
        <v>41</v>
      </c>
      <c r="BJ413" s="156">
        <v>1</v>
      </c>
      <c r="BL413" s="156"/>
    </row>
    <row r="414" spans="1:70">
      <c r="A414" s="184" t="str">
        <f t="shared" si="6"/>
        <v>10001410</v>
      </c>
      <c r="B414" s="158"/>
      <c r="C414" s="158" t="s">
        <v>3260</v>
      </c>
      <c r="D414" s="159" t="s">
        <v>2250</v>
      </c>
      <c r="E414" s="159"/>
      <c r="F414" s="158"/>
      <c r="G414" s="167"/>
      <c r="H414" s="167"/>
      <c r="I414" s="159"/>
      <c r="J414" s="159" t="s">
        <v>2619</v>
      </c>
      <c r="K414" s="159"/>
      <c r="L414" s="159"/>
      <c r="M414" s="158"/>
      <c r="N414" s="158"/>
      <c r="O414" s="159"/>
      <c r="P414" s="159"/>
      <c r="Q414" s="159" t="s">
        <v>2840</v>
      </c>
      <c r="R414" s="159" t="s">
        <v>2863</v>
      </c>
      <c r="S414" s="159"/>
      <c r="T414" s="159"/>
      <c r="U414" s="158"/>
      <c r="V414" s="158"/>
      <c r="W414" s="159"/>
      <c r="X414" s="159"/>
      <c r="Y414" s="159"/>
      <c r="Z414" s="159"/>
      <c r="AA414" s="159"/>
      <c r="AB414" s="167"/>
      <c r="AC414" s="159" t="s">
        <v>30</v>
      </c>
      <c r="AD414" s="158"/>
      <c r="AE414" s="159"/>
      <c r="AF414" s="159"/>
      <c r="AG414" s="159"/>
      <c r="AH414" s="159"/>
      <c r="AI414" s="159"/>
      <c r="AJ414" s="159"/>
      <c r="AK414" s="159" t="s">
        <v>2600</v>
      </c>
      <c r="AL414" s="159"/>
      <c r="AM414" s="159"/>
      <c r="AN414" s="159" t="s">
        <v>786</v>
      </c>
      <c r="AO414" s="172" t="s">
        <v>78</v>
      </c>
      <c r="AP414" s="172"/>
      <c r="AQ414" s="172"/>
      <c r="AR414" s="178" t="s">
        <v>2618</v>
      </c>
      <c r="AS414" s="178" t="s">
        <v>2618</v>
      </c>
      <c r="BD414" s="185" t="s">
        <v>1442</v>
      </c>
      <c r="BE414" s="156" t="s">
        <v>1481</v>
      </c>
      <c r="BF414" s="159" t="s">
        <v>1508</v>
      </c>
      <c r="BG414" s="159" t="s">
        <v>30</v>
      </c>
      <c r="BH414" s="159"/>
      <c r="BI414" s="159" t="s">
        <v>41</v>
      </c>
      <c r="BJ414" s="156">
        <v>1</v>
      </c>
      <c r="BL414" s="156"/>
    </row>
    <row r="415" spans="1:70">
      <c r="A415" s="184" t="str">
        <f t="shared" si="6"/>
        <v>40001411</v>
      </c>
      <c r="B415" s="158" t="s">
        <v>1759</v>
      </c>
      <c r="C415" s="158" t="s">
        <v>3261</v>
      </c>
      <c r="D415" s="159" t="s">
        <v>1757</v>
      </c>
      <c r="E415" s="159"/>
      <c r="F415" s="158" t="s">
        <v>1761</v>
      </c>
      <c r="G415" s="167">
        <v>26492</v>
      </c>
      <c r="H415" s="167"/>
      <c r="I415" s="159" t="s">
        <v>2570</v>
      </c>
      <c r="J415" s="159" t="s">
        <v>2619</v>
      </c>
      <c r="K415" s="159" t="s">
        <v>35</v>
      </c>
      <c r="L415" s="159" t="s">
        <v>1760</v>
      </c>
      <c r="M415" s="158" t="s">
        <v>2625</v>
      </c>
      <c r="N415" s="158" t="s">
        <v>2626</v>
      </c>
      <c r="O415" s="159" t="s">
        <v>2666</v>
      </c>
      <c r="P415" s="159" t="s">
        <v>2662</v>
      </c>
      <c r="Q415" s="159" t="s">
        <v>2840</v>
      </c>
      <c r="R415" s="159" t="s">
        <v>2863</v>
      </c>
      <c r="S415" s="159"/>
      <c r="T415" s="159"/>
      <c r="U415" s="158"/>
      <c r="V415" s="158"/>
      <c r="W415" s="159"/>
      <c r="X415" s="159"/>
      <c r="Y415" s="159"/>
      <c r="Z415" s="159"/>
      <c r="AA415" s="159"/>
      <c r="AB415" s="167"/>
      <c r="AC415" s="159" t="s">
        <v>129</v>
      </c>
      <c r="AD415" s="158"/>
      <c r="AE415" s="159"/>
      <c r="AF415" s="159"/>
      <c r="AG415" s="159"/>
      <c r="AH415" s="159"/>
      <c r="AI415" s="159"/>
      <c r="AJ415" s="159"/>
      <c r="AK415" s="159" t="s">
        <v>2600</v>
      </c>
      <c r="AL415" s="159"/>
      <c r="AM415" s="159"/>
      <c r="AN415" s="159" t="s">
        <v>786</v>
      </c>
      <c r="AO415" s="172" t="s">
        <v>115</v>
      </c>
      <c r="AP415" s="172"/>
      <c r="AQ415" s="172"/>
      <c r="AR415" s="178" t="s">
        <v>2618</v>
      </c>
      <c r="AS415" s="178" t="s">
        <v>2618</v>
      </c>
      <c r="BD415" s="185" t="s">
        <v>1442</v>
      </c>
      <c r="BE415" s="156" t="s">
        <v>1758</v>
      </c>
      <c r="BF415" s="159" t="s">
        <v>1482</v>
      </c>
      <c r="BG415" s="159" t="s">
        <v>129</v>
      </c>
      <c r="BH415" s="159" t="s">
        <v>121</v>
      </c>
      <c r="BI415" s="159" t="s">
        <v>41</v>
      </c>
      <c r="BJ415" s="156">
        <v>1</v>
      </c>
      <c r="BL415" s="156"/>
    </row>
    <row r="416" spans="1:70">
      <c r="A416" s="184" t="str">
        <f t="shared" si="6"/>
        <v>40001412</v>
      </c>
      <c r="B416" s="158" t="s">
        <v>1764</v>
      </c>
      <c r="C416" s="158" t="s">
        <v>3262</v>
      </c>
      <c r="D416" s="159" t="s">
        <v>1763</v>
      </c>
      <c r="E416" s="159"/>
      <c r="F416" s="158" t="s">
        <v>1765</v>
      </c>
      <c r="G416" s="167">
        <v>26798</v>
      </c>
      <c r="H416" s="167"/>
      <c r="I416" s="159" t="s">
        <v>2570</v>
      </c>
      <c r="J416" s="159" t="s">
        <v>2619</v>
      </c>
      <c r="K416" s="159" t="s">
        <v>35</v>
      </c>
      <c r="L416" s="159" t="s">
        <v>669</v>
      </c>
      <c r="M416" s="158" t="s">
        <v>2626</v>
      </c>
      <c r="N416" s="158" t="s">
        <v>2621</v>
      </c>
      <c r="O416" s="159" t="s">
        <v>2668</v>
      </c>
      <c r="P416" s="159" t="s">
        <v>2662</v>
      </c>
      <c r="Q416" s="159" t="s">
        <v>2840</v>
      </c>
      <c r="R416" s="159" t="s">
        <v>2863</v>
      </c>
      <c r="S416" s="159"/>
      <c r="T416" s="159"/>
      <c r="U416" s="158"/>
      <c r="V416" s="158"/>
      <c r="W416" s="159"/>
      <c r="X416" s="159"/>
      <c r="Y416" s="159"/>
      <c r="Z416" s="159"/>
      <c r="AA416" s="159"/>
      <c r="AB416" s="167"/>
      <c r="AC416" s="159" t="s">
        <v>129</v>
      </c>
      <c r="AD416" s="158"/>
      <c r="AE416" s="159"/>
      <c r="AF416" s="159"/>
      <c r="AG416" s="159"/>
      <c r="AH416" s="159"/>
      <c r="AI416" s="159"/>
      <c r="AJ416" s="159"/>
      <c r="AK416" s="159" t="s">
        <v>2600</v>
      </c>
      <c r="AL416" s="159"/>
      <c r="AM416" s="159"/>
      <c r="AN416" s="159" t="s">
        <v>786</v>
      </c>
      <c r="AO416" s="172" t="s">
        <v>115</v>
      </c>
      <c r="AP416" s="172"/>
      <c r="AQ416" s="172"/>
      <c r="AR416" s="178" t="s">
        <v>2618</v>
      </c>
      <c r="AS416" s="178" t="s">
        <v>2618</v>
      </c>
      <c r="BD416" s="185" t="s">
        <v>1442</v>
      </c>
      <c r="BE416" s="156" t="s">
        <v>1758</v>
      </c>
      <c r="BF416" s="159" t="s">
        <v>1482</v>
      </c>
      <c r="BG416" s="159" t="s">
        <v>129</v>
      </c>
      <c r="BH416" s="159"/>
      <c r="BI416" s="159" t="s">
        <v>41</v>
      </c>
      <c r="BJ416" s="156">
        <v>1</v>
      </c>
      <c r="BL416" s="156"/>
    </row>
    <row r="417" spans="1:70">
      <c r="A417" s="184" t="str">
        <f t="shared" si="6"/>
        <v>40001413</v>
      </c>
      <c r="B417" s="158" t="s">
        <v>1768</v>
      </c>
      <c r="C417" s="158" t="s">
        <v>3263</v>
      </c>
      <c r="D417" s="159" t="s">
        <v>1767</v>
      </c>
      <c r="E417" s="159"/>
      <c r="F417" s="158" t="s">
        <v>1770</v>
      </c>
      <c r="G417" s="167">
        <v>26374</v>
      </c>
      <c r="H417" s="167"/>
      <c r="I417" s="159" t="s">
        <v>2570</v>
      </c>
      <c r="J417" s="159" t="s">
        <v>2619</v>
      </c>
      <c r="K417" s="159" t="s">
        <v>35</v>
      </c>
      <c r="L417" s="159" t="s">
        <v>1769</v>
      </c>
      <c r="M417" s="158" t="s">
        <v>2626</v>
      </c>
      <c r="N417" s="158" t="s">
        <v>2622</v>
      </c>
      <c r="O417" s="159" t="s">
        <v>2696</v>
      </c>
      <c r="P417" s="159" t="s">
        <v>2662</v>
      </c>
      <c r="Q417" s="159" t="s">
        <v>2840</v>
      </c>
      <c r="R417" s="159" t="s">
        <v>2863</v>
      </c>
      <c r="S417" s="159"/>
      <c r="T417" s="159"/>
      <c r="U417" s="158"/>
      <c r="V417" s="158"/>
      <c r="W417" s="159"/>
      <c r="X417" s="159"/>
      <c r="Y417" s="159"/>
      <c r="Z417" s="159"/>
      <c r="AA417" s="159"/>
      <c r="AB417" s="167"/>
      <c r="AC417" s="159" t="s">
        <v>129</v>
      </c>
      <c r="AD417" s="158"/>
      <c r="AE417" s="159"/>
      <c r="AF417" s="159"/>
      <c r="AG417" s="159"/>
      <c r="AH417" s="159"/>
      <c r="AI417" s="159"/>
      <c r="AJ417" s="159"/>
      <c r="AK417" s="159" t="s">
        <v>2600</v>
      </c>
      <c r="AL417" s="159"/>
      <c r="AM417" s="159"/>
      <c r="AN417" s="159" t="s">
        <v>786</v>
      </c>
      <c r="AO417" s="172" t="s">
        <v>115</v>
      </c>
      <c r="AP417" s="172"/>
      <c r="AQ417" s="172"/>
      <c r="AR417" s="178" t="s">
        <v>2618</v>
      </c>
      <c r="AS417" s="178" t="s">
        <v>2618</v>
      </c>
      <c r="BD417" s="185" t="s">
        <v>1442</v>
      </c>
      <c r="BE417" s="156" t="s">
        <v>1758</v>
      </c>
      <c r="BF417" s="159" t="s">
        <v>1482</v>
      </c>
      <c r="BG417" s="159" t="s">
        <v>129</v>
      </c>
      <c r="BH417" s="159" t="s">
        <v>121</v>
      </c>
      <c r="BI417" s="159" t="s">
        <v>41</v>
      </c>
      <c r="BJ417" s="156">
        <v>1</v>
      </c>
      <c r="BL417" s="156"/>
      <c r="BM417" s="190"/>
      <c r="BN417" s="190"/>
      <c r="BO417" s="190"/>
      <c r="BP417" s="190"/>
      <c r="BQ417" s="190"/>
      <c r="BR417" s="190"/>
    </row>
    <row r="418" spans="1:70">
      <c r="A418" s="184" t="str">
        <f t="shared" si="6"/>
        <v>40001414</v>
      </c>
      <c r="B418" s="158" t="s">
        <v>1772</v>
      </c>
      <c r="C418" s="158" t="s">
        <v>3264</v>
      </c>
      <c r="D418" s="159" t="s">
        <v>1771</v>
      </c>
      <c r="E418" s="159"/>
      <c r="F418" s="158" t="s">
        <v>1774</v>
      </c>
      <c r="G418" s="167">
        <v>26053</v>
      </c>
      <c r="H418" s="167"/>
      <c r="I418" s="159" t="s">
        <v>2570</v>
      </c>
      <c r="J418" s="159" t="s">
        <v>2619</v>
      </c>
      <c r="K418" s="159" t="s">
        <v>35</v>
      </c>
      <c r="L418" s="159" t="s">
        <v>1773</v>
      </c>
      <c r="M418" s="158" t="s">
        <v>2626</v>
      </c>
      <c r="N418" s="158" t="s">
        <v>2623</v>
      </c>
      <c r="O418" s="159" t="s">
        <v>2662</v>
      </c>
      <c r="P418" s="159" t="s">
        <v>2662</v>
      </c>
      <c r="Q418" s="159" t="s">
        <v>2840</v>
      </c>
      <c r="R418" s="159" t="s">
        <v>2863</v>
      </c>
      <c r="S418" s="159"/>
      <c r="T418" s="159"/>
      <c r="U418" s="158"/>
      <c r="V418" s="158"/>
      <c r="W418" s="159"/>
      <c r="X418" s="159"/>
      <c r="Y418" s="159"/>
      <c r="Z418" s="159"/>
      <c r="AA418" s="159"/>
      <c r="AB418" s="167"/>
      <c r="AC418" s="159" t="s">
        <v>129</v>
      </c>
      <c r="AD418" s="158"/>
      <c r="AE418" s="159"/>
      <c r="AF418" s="159"/>
      <c r="AG418" s="159"/>
      <c r="AH418" s="159"/>
      <c r="AI418" s="159"/>
      <c r="AJ418" s="159"/>
      <c r="AK418" s="159" t="s">
        <v>2600</v>
      </c>
      <c r="AL418" s="159"/>
      <c r="AM418" s="159"/>
      <c r="AN418" s="159" t="s">
        <v>786</v>
      </c>
      <c r="AO418" s="172" t="s">
        <v>115</v>
      </c>
      <c r="AP418" s="172"/>
      <c r="AQ418" s="172"/>
      <c r="AR418" s="178" t="s">
        <v>2618</v>
      </c>
      <c r="AS418" s="178" t="s">
        <v>2618</v>
      </c>
      <c r="BD418" s="185" t="s">
        <v>1442</v>
      </c>
      <c r="BE418" s="156" t="s">
        <v>1758</v>
      </c>
      <c r="BF418" s="159" t="s">
        <v>1482</v>
      </c>
      <c r="BG418" s="159" t="s">
        <v>129</v>
      </c>
      <c r="BH418" s="159" t="s">
        <v>121</v>
      </c>
      <c r="BI418" s="159" t="s">
        <v>41</v>
      </c>
      <c r="BJ418" s="156">
        <v>1</v>
      </c>
      <c r="BL418" s="156"/>
    </row>
    <row r="419" spans="1:70" s="196" customFormat="1">
      <c r="A419" s="184" t="str">
        <f t="shared" si="6"/>
        <v>42605415</v>
      </c>
      <c r="B419" s="158" t="s">
        <v>2326</v>
      </c>
      <c r="C419" s="158" t="s">
        <v>3265</v>
      </c>
      <c r="D419" s="159" t="s">
        <v>2325</v>
      </c>
      <c r="E419" s="159"/>
      <c r="F419" s="158" t="s">
        <v>2327</v>
      </c>
      <c r="G419" s="213">
        <v>38877</v>
      </c>
      <c r="H419" s="213"/>
      <c r="I419" s="214" t="s">
        <v>2569</v>
      </c>
      <c r="J419" s="159" t="s">
        <v>2619</v>
      </c>
      <c r="K419" s="214" t="s">
        <v>81</v>
      </c>
      <c r="L419" s="159" t="s">
        <v>500</v>
      </c>
      <c r="M419" s="158" t="s">
        <v>2623</v>
      </c>
      <c r="N419" s="158" t="s">
        <v>2621</v>
      </c>
      <c r="O419" s="159" t="s">
        <v>2681</v>
      </c>
      <c r="P419" s="159" t="s">
        <v>2662</v>
      </c>
      <c r="Q419" s="159" t="s">
        <v>2840</v>
      </c>
      <c r="R419" s="159" t="s">
        <v>2863</v>
      </c>
      <c r="S419" s="214"/>
      <c r="T419" s="214"/>
      <c r="U419" s="219"/>
      <c r="V419" s="219"/>
      <c r="W419" s="214"/>
      <c r="X419" s="214"/>
      <c r="Y419" s="214"/>
      <c r="Z419" s="214"/>
      <c r="AA419" s="214"/>
      <c r="AB419" s="213">
        <v>46146</v>
      </c>
      <c r="AC419" s="214" t="s">
        <v>129</v>
      </c>
      <c r="AD419" s="219"/>
      <c r="AE419" s="214"/>
      <c r="AF419" s="214"/>
      <c r="AG419" s="214"/>
      <c r="AH419" s="214"/>
      <c r="AI419" s="214"/>
      <c r="AJ419" s="214"/>
      <c r="AK419" s="159" t="s">
        <v>2600</v>
      </c>
      <c r="AL419" s="214"/>
      <c r="AM419" s="214"/>
      <c r="AN419" s="214" t="s">
        <v>786</v>
      </c>
      <c r="AO419" s="172" t="s">
        <v>115</v>
      </c>
      <c r="AP419" s="172"/>
      <c r="AQ419" s="172"/>
      <c r="AR419" s="178" t="s">
        <v>2618</v>
      </c>
      <c r="AS419" s="178" t="s">
        <v>2618</v>
      </c>
      <c r="AT419" s="178"/>
      <c r="AU419" s="159"/>
      <c r="AV419" s="159"/>
      <c r="AW419" s="159"/>
      <c r="AX419" s="159"/>
      <c r="AY419" s="159"/>
      <c r="AZ419" s="159"/>
      <c r="BA419" s="159"/>
      <c r="BB419" s="159"/>
      <c r="BC419" s="159"/>
      <c r="BD419" s="175" t="s">
        <v>1442</v>
      </c>
      <c r="BF419" s="214" t="s">
        <v>1508</v>
      </c>
      <c r="BG419" s="214" t="s">
        <v>129</v>
      </c>
      <c r="BH419" s="214" t="s">
        <v>46</v>
      </c>
      <c r="BI419" s="215"/>
      <c r="BJ419" s="216"/>
      <c r="BL419" s="216"/>
    </row>
    <row r="420" spans="1:70">
      <c r="A420" s="184" t="str">
        <f t="shared" si="6"/>
        <v>40001416</v>
      </c>
      <c r="B420" s="158" t="s">
        <v>1782</v>
      </c>
      <c r="C420" s="158" t="s">
        <v>3266</v>
      </c>
      <c r="D420" s="159" t="s">
        <v>1781</v>
      </c>
      <c r="E420" s="159"/>
      <c r="F420" s="158" t="s">
        <v>1783</v>
      </c>
      <c r="G420" s="167">
        <v>27490</v>
      </c>
      <c r="H420" s="167"/>
      <c r="I420" s="159" t="s">
        <v>2570</v>
      </c>
      <c r="J420" s="159" t="s">
        <v>2619</v>
      </c>
      <c r="K420" s="159" t="s">
        <v>35</v>
      </c>
      <c r="L420" s="159" t="s">
        <v>617</v>
      </c>
      <c r="M420" s="158" t="s">
        <v>2623</v>
      </c>
      <c r="N420" s="158" t="s">
        <v>2621</v>
      </c>
      <c r="O420" s="159" t="s">
        <v>2657</v>
      </c>
      <c r="P420" s="159" t="s">
        <v>2662</v>
      </c>
      <c r="Q420" s="159" t="s">
        <v>2840</v>
      </c>
      <c r="R420" s="159" t="s">
        <v>2863</v>
      </c>
      <c r="S420" s="159"/>
      <c r="T420" s="159"/>
      <c r="U420" s="158"/>
      <c r="V420" s="158"/>
      <c r="W420" s="159"/>
      <c r="X420" s="159"/>
      <c r="Y420" s="159"/>
      <c r="Z420" s="159"/>
      <c r="AA420" s="159"/>
      <c r="AB420" s="167"/>
      <c r="AC420" s="159" t="s">
        <v>129</v>
      </c>
      <c r="AD420" s="158"/>
      <c r="AE420" s="159"/>
      <c r="AF420" s="159"/>
      <c r="AG420" s="159"/>
      <c r="AH420" s="159"/>
      <c r="AI420" s="159"/>
      <c r="AJ420" s="159"/>
      <c r="AK420" s="159" t="s">
        <v>2600</v>
      </c>
      <c r="AL420" s="159"/>
      <c r="AM420" s="159"/>
      <c r="AN420" s="159" t="s">
        <v>786</v>
      </c>
      <c r="AO420" s="172" t="s">
        <v>115</v>
      </c>
      <c r="AP420" s="172"/>
      <c r="AQ420" s="172"/>
      <c r="AR420" s="178" t="s">
        <v>2618</v>
      </c>
      <c r="AS420" s="178" t="s">
        <v>2618</v>
      </c>
      <c r="BD420" s="185" t="s">
        <v>1442</v>
      </c>
      <c r="BE420" s="156" t="s">
        <v>1758</v>
      </c>
      <c r="BF420" s="159" t="s">
        <v>1482</v>
      </c>
      <c r="BG420" s="159" t="s">
        <v>129</v>
      </c>
      <c r="BH420" s="159" t="s">
        <v>121</v>
      </c>
      <c r="BI420" s="159" t="s">
        <v>41</v>
      </c>
      <c r="BJ420" s="156">
        <v>1</v>
      </c>
      <c r="BL420" s="156"/>
    </row>
    <row r="421" spans="1:70">
      <c r="A421" s="184" t="str">
        <f t="shared" si="6"/>
        <v>40001417</v>
      </c>
      <c r="B421" s="158" t="s">
        <v>1785</v>
      </c>
      <c r="C421" s="158" t="s">
        <v>3267</v>
      </c>
      <c r="D421" s="159" t="s">
        <v>1784</v>
      </c>
      <c r="E421" s="159"/>
      <c r="F421" s="158" t="s">
        <v>1786</v>
      </c>
      <c r="G421" s="167">
        <v>28238</v>
      </c>
      <c r="H421" s="167"/>
      <c r="I421" s="159" t="s">
        <v>2570</v>
      </c>
      <c r="J421" s="159" t="s">
        <v>2619</v>
      </c>
      <c r="K421" s="159" t="s">
        <v>35</v>
      </c>
      <c r="L421" s="159" t="s">
        <v>284</v>
      </c>
      <c r="M421" s="158" t="s">
        <v>2626</v>
      </c>
      <c r="N421" s="158" t="s">
        <v>2621</v>
      </c>
      <c r="O421" s="159" t="s">
        <v>2657</v>
      </c>
      <c r="P421" s="159" t="s">
        <v>2662</v>
      </c>
      <c r="Q421" s="159" t="s">
        <v>2840</v>
      </c>
      <c r="R421" s="159" t="s">
        <v>2863</v>
      </c>
      <c r="S421" s="159"/>
      <c r="T421" s="159"/>
      <c r="U421" s="158"/>
      <c r="V421" s="158"/>
      <c r="W421" s="159"/>
      <c r="X421" s="159"/>
      <c r="Y421" s="159"/>
      <c r="Z421" s="159"/>
      <c r="AA421" s="159"/>
      <c r="AB421" s="167"/>
      <c r="AC421" s="159" t="s">
        <v>129</v>
      </c>
      <c r="AD421" s="158"/>
      <c r="AE421" s="159"/>
      <c r="AF421" s="159"/>
      <c r="AG421" s="159"/>
      <c r="AH421" s="159"/>
      <c r="AI421" s="159"/>
      <c r="AJ421" s="159"/>
      <c r="AK421" s="159" t="s">
        <v>2600</v>
      </c>
      <c r="AL421" s="159"/>
      <c r="AM421" s="159"/>
      <c r="AN421" s="159" t="s">
        <v>786</v>
      </c>
      <c r="AO421" s="172" t="s">
        <v>115</v>
      </c>
      <c r="AP421" s="172"/>
      <c r="AQ421" s="172"/>
      <c r="AR421" s="178" t="s">
        <v>2618</v>
      </c>
      <c r="AS421" s="178" t="s">
        <v>2618</v>
      </c>
      <c r="BD421" s="185" t="s">
        <v>1442</v>
      </c>
      <c r="BE421" s="156" t="s">
        <v>1758</v>
      </c>
      <c r="BF421" s="159" t="s">
        <v>1482</v>
      </c>
      <c r="BG421" s="159" t="s">
        <v>129</v>
      </c>
      <c r="BH421" s="159" t="s">
        <v>121</v>
      </c>
      <c r="BI421" s="159" t="s">
        <v>41</v>
      </c>
      <c r="BJ421" s="156">
        <v>1</v>
      </c>
      <c r="BL421" s="154"/>
    </row>
    <row r="422" spans="1:70">
      <c r="A422" s="184" t="str">
        <f t="shared" si="6"/>
        <v>40001418</v>
      </c>
      <c r="B422" s="158" t="s">
        <v>1788</v>
      </c>
      <c r="C422" s="158" t="s">
        <v>3268</v>
      </c>
      <c r="D422" s="159" t="s">
        <v>1787</v>
      </c>
      <c r="E422" s="159"/>
      <c r="F422" s="158" t="s">
        <v>1789</v>
      </c>
      <c r="G422" s="167">
        <v>31271</v>
      </c>
      <c r="H422" s="167"/>
      <c r="I422" s="159" t="s">
        <v>2570</v>
      </c>
      <c r="J422" s="159" t="s">
        <v>2619</v>
      </c>
      <c r="K422" s="159" t="s">
        <v>165</v>
      </c>
      <c r="L422" s="159" t="s">
        <v>850</v>
      </c>
      <c r="M422" s="158" t="s">
        <v>2631</v>
      </c>
      <c r="N422" s="158" t="s">
        <v>2626</v>
      </c>
      <c r="O422" s="159" t="s">
        <v>2660</v>
      </c>
      <c r="P422" s="159" t="s">
        <v>2662</v>
      </c>
      <c r="Q422" s="159" t="s">
        <v>2840</v>
      </c>
      <c r="R422" s="159" t="s">
        <v>2863</v>
      </c>
      <c r="S422" s="159"/>
      <c r="T422" s="159"/>
      <c r="U422" s="158"/>
      <c r="V422" s="158"/>
      <c r="W422" s="159"/>
      <c r="X422" s="159"/>
      <c r="Y422" s="159"/>
      <c r="Z422" s="159"/>
      <c r="AA422" s="159"/>
      <c r="AB422" s="167"/>
      <c r="AC422" s="159" t="s">
        <v>129</v>
      </c>
      <c r="AD422" s="158"/>
      <c r="AE422" s="159"/>
      <c r="AF422" s="159"/>
      <c r="AG422" s="159"/>
      <c r="AH422" s="159"/>
      <c r="AI422" s="159"/>
      <c r="AJ422" s="159"/>
      <c r="AK422" s="159" t="s">
        <v>2600</v>
      </c>
      <c r="AL422" s="159"/>
      <c r="AM422" s="159"/>
      <c r="AN422" s="159" t="s">
        <v>786</v>
      </c>
      <c r="AO422" s="172" t="s">
        <v>115</v>
      </c>
      <c r="AP422" s="172"/>
      <c r="AQ422" s="172"/>
      <c r="AR422" s="178" t="s">
        <v>2618</v>
      </c>
      <c r="AS422" s="178" t="s">
        <v>2618</v>
      </c>
      <c r="BD422" s="185" t="s">
        <v>1442</v>
      </c>
      <c r="BE422" s="156" t="s">
        <v>1758</v>
      </c>
      <c r="BF422" s="159" t="s">
        <v>1482</v>
      </c>
      <c r="BG422" s="159" t="s">
        <v>129</v>
      </c>
      <c r="BH422" s="159" t="s">
        <v>158</v>
      </c>
      <c r="BI422" s="159" t="s">
        <v>41</v>
      </c>
      <c r="BJ422" s="156">
        <v>1</v>
      </c>
      <c r="BL422" s="156"/>
    </row>
    <row r="423" spans="1:70">
      <c r="A423" s="184" t="str">
        <f t="shared" si="6"/>
        <v>40001419</v>
      </c>
      <c r="B423" s="158" t="s">
        <v>1805</v>
      </c>
      <c r="C423" s="158" t="s">
        <v>3269</v>
      </c>
      <c r="D423" s="159" t="s">
        <v>1804</v>
      </c>
      <c r="E423" s="159"/>
      <c r="F423" s="158" t="s">
        <v>1807</v>
      </c>
      <c r="G423" s="167">
        <v>34686</v>
      </c>
      <c r="H423" s="167"/>
      <c r="I423" s="159" t="s">
        <v>2570</v>
      </c>
      <c r="J423" s="159" t="s">
        <v>2619</v>
      </c>
      <c r="K423" s="159" t="s">
        <v>35</v>
      </c>
      <c r="L423" s="159" t="s">
        <v>1806</v>
      </c>
      <c r="M423" s="158" t="s">
        <v>2627</v>
      </c>
      <c r="N423" s="158" t="s">
        <v>2623</v>
      </c>
      <c r="O423" s="159" t="s">
        <v>2787</v>
      </c>
      <c r="P423" s="159" t="s">
        <v>2835</v>
      </c>
      <c r="Q423" s="159" t="s">
        <v>2842</v>
      </c>
      <c r="R423" s="159" t="s">
        <v>2863</v>
      </c>
      <c r="S423" s="159"/>
      <c r="T423" s="159"/>
      <c r="U423" s="158"/>
      <c r="V423" s="158"/>
      <c r="W423" s="159"/>
      <c r="X423" s="159"/>
      <c r="Y423" s="159"/>
      <c r="Z423" s="159"/>
      <c r="AA423" s="159"/>
      <c r="AB423" s="167"/>
      <c r="AC423" s="159" t="s">
        <v>129</v>
      </c>
      <c r="AD423" s="158"/>
      <c r="AE423" s="159"/>
      <c r="AF423" s="159"/>
      <c r="AG423" s="159"/>
      <c r="AH423" s="159"/>
      <c r="AI423" s="159"/>
      <c r="AJ423" s="159"/>
      <c r="AK423" s="159" t="s">
        <v>2600</v>
      </c>
      <c r="AL423" s="159"/>
      <c r="AM423" s="159"/>
      <c r="AN423" s="159" t="s">
        <v>786</v>
      </c>
      <c r="AO423" s="172" t="s">
        <v>115</v>
      </c>
      <c r="AP423" s="172"/>
      <c r="AQ423" s="172"/>
      <c r="AR423" s="178" t="s">
        <v>2618</v>
      </c>
      <c r="AS423" s="178" t="s">
        <v>2618</v>
      </c>
      <c r="BD423" s="185" t="s">
        <v>1442</v>
      </c>
      <c r="BE423" s="156" t="s">
        <v>1758</v>
      </c>
      <c r="BF423" s="159" t="s">
        <v>1482</v>
      </c>
      <c r="BG423" s="159" t="s">
        <v>129</v>
      </c>
      <c r="BH423" s="159" t="s">
        <v>46</v>
      </c>
      <c r="BI423" s="159" t="s">
        <v>41</v>
      </c>
      <c r="BJ423" s="156">
        <v>1</v>
      </c>
      <c r="BL423" s="156"/>
    </row>
    <row r="424" spans="1:70">
      <c r="A424" s="184" t="str">
        <f t="shared" si="6"/>
        <v>40001420</v>
      </c>
      <c r="B424" s="158" t="s">
        <v>1810</v>
      </c>
      <c r="C424" s="158" t="s">
        <v>3270</v>
      </c>
      <c r="D424" s="159" t="s">
        <v>1809</v>
      </c>
      <c r="E424" s="159"/>
      <c r="F424" s="158" t="s">
        <v>1811</v>
      </c>
      <c r="G424" s="167">
        <v>36613</v>
      </c>
      <c r="H424" s="167"/>
      <c r="I424" s="159" t="s">
        <v>2570</v>
      </c>
      <c r="J424" s="159" t="s">
        <v>2619</v>
      </c>
      <c r="K424" s="159" t="s">
        <v>35</v>
      </c>
      <c r="L424" s="159" t="s">
        <v>1253</v>
      </c>
      <c r="M424" s="158" t="s">
        <v>2621</v>
      </c>
      <c r="N424" s="158" t="s">
        <v>2630</v>
      </c>
      <c r="O424" s="159" t="s">
        <v>2699</v>
      </c>
      <c r="P424" s="159" t="s">
        <v>2659</v>
      </c>
      <c r="Q424" s="159" t="s">
        <v>2840</v>
      </c>
      <c r="R424" s="159" t="s">
        <v>2863</v>
      </c>
      <c r="S424" s="159"/>
      <c r="T424" s="159"/>
      <c r="U424" s="158"/>
      <c r="V424" s="158"/>
      <c r="W424" s="159"/>
      <c r="X424" s="159"/>
      <c r="Y424" s="159"/>
      <c r="Z424" s="159"/>
      <c r="AA424" s="159"/>
      <c r="AB424" s="167"/>
      <c r="AC424" s="159" t="s">
        <v>129</v>
      </c>
      <c r="AD424" s="158"/>
      <c r="AE424" s="159"/>
      <c r="AF424" s="159"/>
      <c r="AG424" s="159"/>
      <c r="AH424" s="159"/>
      <c r="AI424" s="159"/>
      <c r="AJ424" s="159"/>
      <c r="AK424" s="159" t="s">
        <v>2600</v>
      </c>
      <c r="AL424" s="159"/>
      <c r="AM424" s="159"/>
      <c r="AN424" s="159" t="s">
        <v>786</v>
      </c>
      <c r="AO424" s="172" t="s">
        <v>115</v>
      </c>
      <c r="AP424" s="172"/>
      <c r="AQ424" s="172"/>
      <c r="AR424" s="178" t="s">
        <v>2618</v>
      </c>
      <c r="AS424" s="178" t="s">
        <v>2618</v>
      </c>
      <c r="BD424" s="185" t="s">
        <v>1442</v>
      </c>
      <c r="BE424" s="156" t="s">
        <v>1758</v>
      </c>
      <c r="BF424" s="159" t="s">
        <v>1482</v>
      </c>
      <c r="BG424" s="159" t="s">
        <v>129</v>
      </c>
      <c r="BH424" s="159" t="s">
        <v>46</v>
      </c>
      <c r="BI424" s="159" t="s">
        <v>41</v>
      </c>
      <c r="BJ424" s="156">
        <v>1</v>
      </c>
      <c r="BL424" s="156"/>
    </row>
    <row r="425" spans="1:70">
      <c r="A425" s="184" t="str">
        <f t="shared" si="6"/>
        <v>40001421</v>
      </c>
      <c r="B425" s="158"/>
      <c r="C425" s="158" t="s">
        <v>3271</v>
      </c>
      <c r="D425" s="159" t="s">
        <v>1813</v>
      </c>
      <c r="E425" s="159"/>
      <c r="F425" s="158"/>
      <c r="G425" s="167"/>
      <c r="H425" s="167"/>
      <c r="I425" s="159" t="s">
        <v>2570</v>
      </c>
      <c r="J425" s="159" t="s">
        <v>2619</v>
      </c>
      <c r="K425" s="159"/>
      <c r="L425" s="159"/>
      <c r="M425" s="158"/>
      <c r="N425" s="158"/>
      <c r="O425" s="159"/>
      <c r="P425" s="159"/>
      <c r="Q425" s="159" t="s">
        <v>2840</v>
      </c>
      <c r="R425" s="159" t="s">
        <v>2863</v>
      </c>
      <c r="S425" s="159"/>
      <c r="T425" s="159"/>
      <c r="U425" s="158"/>
      <c r="V425" s="158"/>
      <c r="W425" s="159"/>
      <c r="X425" s="159"/>
      <c r="Y425" s="159"/>
      <c r="Z425" s="159"/>
      <c r="AA425" s="159"/>
      <c r="AB425" s="167"/>
      <c r="AC425" s="159" t="s">
        <v>129</v>
      </c>
      <c r="AD425" s="158"/>
      <c r="AE425" s="159"/>
      <c r="AF425" s="159"/>
      <c r="AG425" s="159"/>
      <c r="AH425" s="159"/>
      <c r="AI425" s="159"/>
      <c r="AJ425" s="159"/>
      <c r="AK425" s="159" t="s">
        <v>2600</v>
      </c>
      <c r="AL425" s="159"/>
      <c r="AM425" s="159"/>
      <c r="AN425" s="159" t="s">
        <v>786</v>
      </c>
      <c r="AO425" s="172" t="s">
        <v>115</v>
      </c>
      <c r="AP425" s="172"/>
      <c r="AQ425" s="172"/>
      <c r="AR425" s="178" t="s">
        <v>2618</v>
      </c>
      <c r="AS425" s="178" t="s">
        <v>2618</v>
      </c>
      <c r="BD425" s="185" t="s">
        <v>1442</v>
      </c>
      <c r="BE425" s="156" t="s">
        <v>1758</v>
      </c>
      <c r="BF425" s="159" t="s">
        <v>1482</v>
      </c>
      <c r="BG425" s="159" t="s">
        <v>129</v>
      </c>
      <c r="BH425" s="159"/>
      <c r="BI425" s="159" t="s">
        <v>41</v>
      </c>
      <c r="BJ425" s="156">
        <v>1</v>
      </c>
      <c r="BL425" s="156"/>
    </row>
    <row r="426" spans="1:70">
      <c r="A426" s="184" t="str">
        <f t="shared" si="6"/>
        <v>40001422</v>
      </c>
      <c r="B426" s="158" t="s">
        <v>1815</v>
      </c>
      <c r="C426" s="158" t="s">
        <v>3272</v>
      </c>
      <c r="D426" s="159" t="s">
        <v>1814</v>
      </c>
      <c r="E426" s="159"/>
      <c r="F426" s="189" t="s">
        <v>1817</v>
      </c>
      <c r="G426" s="167">
        <v>31909</v>
      </c>
      <c r="H426" s="167"/>
      <c r="I426" s="159" t="s">
        <v>2570</v>
      </c>
      <c r="J426" s="159" t="s">
        <v>2619</v>
      </c>
      <c r="K426" s="159" t="s">
        <v>35</v>
      </c>
      <c r="L426" s="159" t="s">
        <v>1816</v>
      </c>
      <c r="M426" s="158" t="s">
        <v>2624</v>
      </c>
      <c r="N426" s="158" t="s">
        <v>2629</v>
      </c>
      <c r="O426" s="159" t="s">
        <v>2654</v>
      </c>
      <c r="P426" s="159" t="s">
        <v>2659</v>
      </c>
      <c r="Q426" s="159" t="s">
        <v>2840</v>
      </c>
      <c r="R426" s="159" t="s">
        <v>2863</v>
      </c>
      <c r="S426" s="159"/>
      <c r="T426" s="159"/>
      <c r="U426" s="158"/>
      <c r="V426" s="158"/>
      <c r="W426" s="159"/>
      <c r="X426" s="159"/>
      <c r="Y426" s="159"/>
      <c r="Z426" s="159"/>
      <c r="AA426" s="159"/>
      <c r="AB426" s="167"/>
      <c r="AC426" s="159" t="s">
        <v>129</v>
      </c>
      <c r="AD426" s="158"/>
      <c r="AE426" s="159"/>
      <c r="AF426" s="159"/>
      <c r="AG426" s="159"/>
      <c r="AH426" s="159"/>
      <c r="AI426" s="159"/>
      <c r="AJ426" s="159"/>
      <c r="AK426" s="159" t="s">
        <v>2600</v>
      </c>
      <c r="AL426" s="159"/>
      <c r="AM426" s="159"/>
      <c r="AN426" s="159" t="s">
        <v>786</v>
      </c>
      <c r="AO426" s="172" t="s">
        <v>115</v>
      </c>
      <c r="AP426" s="172"/>
      <c r="AQ426" s="172"/>
      <c r="AR426" s="178" t="s">
        <v>2618</v>
      </c>
      <c r="AS426" s="178" t="s">
        <v>2618</v>
      </c>
      <c r="BD426" s="185" t="s">
        <v>1442</v>
      </c>
      <c r="BE426" s="156" t="s">
        <v>1758</v>
      </c>
      <c r="BF426" s="159" t="s">
        <v>1482</v>
      </c>
      <c r="BG426" s="159" t="s">
        <v>129</v>
      </c>
      <c r="BH426" s="159" t="s">
        <v>32</v>
      </c>
      <c r="BI426" s="159" t="s">
        <v>41</v>
      </c>
      <c r="BJ426" s="156">
        <v>1</v>
      </c>
      <c r="BL426" s="156"/>
    </row>
    <row r="427" spans="1:70">
      <c r="A427" s="184" t="str">
        <f t="shared" si="6"/>
        <v>40001423</v>
      </c>
      <c r="B427" s="158" t="s">
        <v>1819</v>
      </c>
      <c r="C427" s="158" t="s">
        <v>3273</v>
      </c>
      <c r="D427" s="159" t="s">
        <v>1818</v>
      </c>
      <c r="E427" s="159"/>
      <c r="F427" s="158" t="s">
        <v>1820</v>
      </c>
      <c r="G427" s="167">
        <v>25359</v>
      </c>
      <c r="H427" s="167"/>
      <c r="I427" s="159" t="s">
        <v>2570</v>
      </c>
      <c r="J427" s="159" t="s">
        <v>2619</v>
      </c>
      <c r="K427" s="159" t="s">
        <v>35</v>
      </c>
      <c r="L427" s="159" t="s">
        <v>920</v>
      </c>
      <c r="M427" s="158" t="s">
        <v>2621</v>
      </c>
      <c r="N427" s="158" t="s">
        <v>2630</v>
      </c>
      <c r="O427" s="159" t="s">
        <v>2657</v>
      </c>
      <c r="P427" s="159" t="s">
        <v>2662</v>
      </c>
      <c r="Q427" s="159" t="s">
        <v>2840</v>
      </c>
      <c r="R427" s="159" t="s">
        <v>2863</v>
      </c>
      <c r="S427" s="159"/>
      <c r="T427" s="159"/>
      <c r="U427" s="158"/>
      <c r="V427" s="158"/>
      <c r="W427" s="159"/>
      <c r="X427" s="159"/>
      <c r="Y427" s="159"/>
      <c r="Z427" s="159"/>
      <c r="AA427" s="159"/>
      <c r="AB427" s="167"/>
      <c r="AC427" s="159" t="s">
        <v>129</v>
      </c>
      <c r="AD427" s="158"/>
      <c r="AE427" s="159"/>
      <c r="AF427" s="159"/>
      <c r="AG427" s="159"/>
      <c r="AH427" s="159"/>
      <c r="AI427" s="159"/>
      <c r="AJ427" s="159"/>
      <c r="AK427" s="159" t="s">
        <v>2600</v>
      </c>
      <c r="AL427" s="159"/>
      <c r="AM427" s="159"/>
      <c r="AN427" s="159" t="s">
        <v>786</v>
      </c>
      <c r="AO427" s="172" t="s">
        <v>115</v>
      </c>
      <c r="AP427" s="172"/>
      <c r="AQ427" s="172"/>
      <c r="AR427" s="178" t="s">
        <v>2618</v>
      </c>
      <c r="AS427" s="178" t="s">
        <v>2618</v>
      </c>
      <c r="BD427" s="185" t="s">
        <v>1442</v>
      </c>
      <c r="BE427" s="156" t="s">
        <v>1758</v>
      </c>
      <c r="BF427" s="159" t="s">
        <v>1508</v>
      </c>
      <c r="BG427" s="159" t="s">
        <v>129</v>
      </c>
      <c r="BH427" s="159" t="s">
        <v>32</v>
      </c>
      <c r="BI427" s="159" t="s">
        <v>41</v>
      </c>
      <c r="BJ427" s="156">
        <v>1</v>
      </c>
      <c r="BL427" s="156"/>
    </row>
    <row r="428" spans="1:70" s="155" customFormat="1">
      <c r="A428" s="184" t="str">
        <f t="shared" si="6"/>
        <v>40001424</v>
      </c>
      <c r="B428" s="158" t="s">
        <v>1845</v>
      </c>
      <c r="C428" s="158" t="s">
        <v>3274</v>
      </c>
      <c r="D428" s="159" t="s">
        <v>1844</v>
      </c>
      <c r="E428" s="159"/>
      <c r="F428" s="158" t="s">
        <v>1846</v>
      </c>
      <c r="G428" s="167">
        <v>30823</v>
      </c>
      <c r="H428" s="167"/>
      <c r="I428" s="159" t="s">
        <v>2570</v>
      </c>
      <c r="J428" s="159" t="s">
        <v>2619</v>
      </c>
      <c r="K428" s="159" t="s">
        <v>35</v>
      </c>
      <c r="L428" s="159" t="s">
        <v>445</v>
      </c>
      <c r="M428" s="158" t="s">
        <v>2622</v>
      </c>
      <c r="N428" s="158" t="s">
        <v>2625</v>
      </c>
      <c r="O428" s="159" t="s">
        <v>2659</v>
      </c>
      <c r="P428" s="159" t="s">
        <v>2659</v>
      </c>
      <c r="Q428" s="159" t="s">
        <v>2840</v>
      </c>
      <c r="R428" s="159" t="s">
        <v>2863</v>
      </c>
      <c r="S428" s="159"/>
      <c r="T428" s="159"/>
      <c r="U428" s="158"/>
      <c r="V428" s="158"/>
      <c r="W428" s="159"/>
      <c r="X428" s="159"/>
      <c r="Y428" s="159"/>
      <c r="Z428" s="159"/>
      <c r="AA428" s="159"/>
      <c r="AB428" s="167"/>
      <c r="AC428" s="159" t="s">
        <v>129</v>
      </c>
      <c r="AD428" s="158"/>
      <c r="AE428" s="159"/>
      <c r="AF428" s="159"/>
      <c r="AG428" s="159"/>
      <c r="AH428" s="159"/>
      <c r="AI428" s="159"/>
      <c r="AJ428" s="159"/>
      <c r="AK428" s="159" t="s">
        <v>2600</v>
      </c>
      <c r="AL428" s="159"/>
      <c r="AM428" s="159"/>
      <c r="AN428" s="159" t="s">
        <v>786</v>
      </c>
      <c r="AO428" s="172" t="s">
        <v>115</v>
      </c>
      <c r="AP428" s="172"/>
      <c r="AQ428" s="172"/>
      <c r="AR428" s="178" t="s">
        <v>2618</v>
      </c>
      <c r="AS428" s="178" t="s">
        <v>2618</v>
      </c>
      <c r="AT428" s="178"/>
      <c r="AU428" s="159"/>
      <c r="AV428" s="159"/>
      <c r="AW428" s="159"/>
      <c r="AX428" s="159"/>
      <c r="AY428" s="159"/>
      <c r="AZ428" s="159"/>
      <c r="BA428" s="159"/>
      <c r="BB428" s="159"/>
      <c r="BC428" s="159"/>
      <c r="BD428" s="185" t="s">
        <v>1442</v>
      </c>
      <c r="BE428" s="156" t="s">
        <v>1758</v>
      </c>
      <c r="BF428" s="159" t="s">
        <v>1508</v>
      </c>
      <c r="BG428" s="159" t="s">
        <v>129</v>
      </c>
      <c r="BH428" s="159" t="s">
        <v>46</v>
      </c>
      <c r="BI428" s="159" t="s">
        <v>41</v>
      </c>
      <c r="BJ428" s="156">
        <v>1</v>
      </c>
      <c r="BL428" s="156"/>
      <c r="BM428" s="162"/>
      <c r="BN428" s="162"/>
      <c r="BO428" s="162"/>
      <c r="BP428" s="162"/>
      <c r="BQ428" s="162"/>
      <c r="BR428" s="162"/>
    </row>
    <row r="429" spans="1:70">
      <c r="A429" s="184" t="str">
        <f t="shared" si="6"/>
        <v>40001425</v>
      </c>
      <c r="B429" s="158" t="s">
        <v>1848</v>
      </c>
      <c r="C429" s="158" t="s">
        <v>3275</v>
      </c>
      <c r="D429" s="159" t="s">
        <v>1847</v>
      </c>
      <c r="E429" s="159"/>
      <c r="F429" s="158" t="s">
        <v>619</v>
      </c>
      <c r="G429" s="167">
        <v>29774</v>
      </c>
      <c r="H429" s="167"/>
      <c r="I429" s="159" t="s">
        <v>2570</v>
      </c>
      <c r="J429" s="159" t="s">
        <v>2619</v>
      </c>
      <c r="K429" s="159" t="s">
        <v>35</v>
      </c>
      <c r="L429" s="159" t="s">
        <v>617</v>
      </c>
      <c r="M429" s="158" t="s">
        <v>2623</v>
      </c>
      <c r="N429" s="158" t="s">
        <v>2621</v>
      </c>
      <c r="O429" s="159" t="s">
        <v>2657</v>
      </c>
      <c r="P429" s="159" t="s">
        <v>2662</v>
      </c>
      <c r="Q429" s="159" t="s">
        <v>2840</v>
      </c>
      <c r="R429" s="159" t="s">
        <v>2863</v>
      </c>
      <c r="S429" s="159"/>
      <c r="T429" s="159"/>
      <c r="U429" s="158"/>
      <c r="V429" s="158"/>
      <c r="W429" s="159"/>
      <c r="X429" s="159"/>
      <c r="Y429" s="159"/>
      <c r="Z429" s="159"/>
      <c r="AA429" s="159"/>
      <c r="AB429" s="167"/>
      <c r="AC429" s="159" t="s">
        <v>129</v>
      </c>
      <c r="AD429" s="158"/>
      <c r="AE429" s="159"/>
      <c r="AF429" s="159"/>
      <c r="AG429" s="159"/>
      <c r="AH429" s="159"/>
      <c r="AI429" s="159"/>
      <c r="AJ429" s="159"/>
      <c r="AK429" s="159" t="s">
        <v>2600</v>
      </c>
      <c r="AL429" s="159"/>
      <c r="AM429" s="159"/>
      <c r="AN429" s="159" t="s">
        <v>786</v>
      </c>
      <c r="AO429" s="172" t="s">
        <v>115</v>
      </c>
      <c r="AP429" s="172"/>
      <c r="AQ429" s="172"/>
      <c r="AR429" s="178" t="s">
        <v>2618</v>
      </c>
      <c r="AS429" s="178" t="s">
        <v>2618</v>
      </c>
      <c r="BD429" s="185" t="s">
        <v>1442</v>
      </c>
      <c r="BE429" s="156" t="s">
        <v>1758</v>
      </c>
      <c r="BF429" s="159" t="s">
        <v>1508</v>
      </c>
      <c r="BG429" s="159" t="s">
        <v>129</v>
      </c>
      <c r="BH429" s="159" t="s">
        <v>46</v>
      </c>
      <c r="BI429" s="159" t="s">
        <v>41</v>
      </c>
      <c r="BJ429" s="156">
        <v>1</v>
      </c>
      <c r="BL429" s="156"/>
      <c r="BP429" s="165"/>
      <c r="BQ429" s="165"/>
      <c r="BR429" s="165"/>
    </row>
    <row r="430" spans="1:70">
      <c r="A430" s="184" t="str">
        <f t="shared" si="6"/>
        <v>40001426</v>
      </c>
      <c r="B430" s="158" t="s">
        <v>1850</v>
      </c>
      <c r="C430" s="158" t="s">
        <v>3276</v>
      </c>
      <c r="D430" s="159" t="s">
        <v>1849</v>
      </c>
      <c r="E430" s="159"/>
      <c r="F430" s="158" t="s">
        <v>1851</v>
      </c>
      <c r="G430" s="167">
        <v>30479</v>
      </c>
      <c r="H430" s="167"/>
      <c r="I430" s="159" t="s">
        <v>2570</v>
      </c>
      <c r="J430" s="159" t="s">
        <v>2619</v>
      </c>
      <c r="K430" s="159" t="s">
        <v>35</v>
      </c>
      <c r="L430" s="159" t="s">
        <v>1460</v>
      </c>
      <c r="M430" s="158" t="s">
        <v>2641</v>
      </c>
      <c r="N430" s="158" t="s">
        <v>2626</v>
      </c>
      <c r="O430" s="159" t="s">
        <v>2660</v>
      </c>
      <c r="P430" s="159" t="s">
        <v>2662</v>
      </c>
      <c r="Q430" s="159" t="s">
        <v>2840</v>
      </c>
      <c r="R430" s="159" t="s">
        <v>2863</v>
      </c>
      <c r="S430" s="159"/>
      <c r="T430" s="159"/>
      <c r="U430" s="158"/>
      <c r="V430" s="158"/>
      <c r="W430" s="159"/>
      <c r="X430" s="159"/>
      <c r="Y430" s="159"/>
      <c r="Z430" s="159"/>
      <c r="AA430" s="159"/>
      <c r="AB430" s="167"/>
      <c r="AC430" s="159" t="s">
        <v>129</v>
      </c>
      <c r="AD430" s="158"/>
      <c r="AE430" s="159"/>
      <c r="AF430" s="159"/>
      <c r="AG430" s="159"/>
      <c r="AH430" s="159"/>
      <c r="AI430" s="159"/>
      <c r="AJ430" s="159"/>
      <c r="AK430" s="159" t="s">
        <v>2600</v>
      </c>
      <c r="AL430" s="159"/>
      <c r="AM430" s="159"/>
      <c r="AN430" s="159" t="s">
        <v>786</v>
      </c>
      <c r="AO430" s="172" t="s">
        <v>115</v>
      </c>
      <c r="AP430" s="172"/>
      <c r="AQ430" s="172"/>
      <c r="AR430" s="178" t="s">
        <v>2618</v>
      </c>
      <c r="AS430" s="178" t="s">
        <v>2618</v>
      </c>
      <c r="BD430" s="185" t="s">
        <v>1442</v>
      </c>
      <c r="BE430" s="156" t="s">
        <v>1758</v>
      </c>
      <c r="BF430" s="159" t="s">
        <v>1508</v>
      </c>
      <c r="BG430" s="159" t="s">
        <v>129</v>
      </c>
      <c r="BH430" s="159" t="s">
        <v>32</v>
      </c>
      <c r="BI430" s="159" t="s">
        <v>41</v>
      </c>
      <c r="BJ430" s="156">
        <v>1</v>
      </c>
      <c r="BL430" s="156"/>
    </row>
    <row r="431" spans="1:70">
      <c r="A431" s="184" t="str">
        <f t="shared" si="6"/>
        <v>40001427</v>
      </c>
      <c r="B431" s="158"/>
      <c r="C431" s="158" t="s">
        <v>3277</v>
      </c>
      <c r="D431" s="159" t="s">
        <v>1864</v>
      </c>
      <c r="E431" s="159"/>
      <c r="F431" s="158"/>
      <c r="G431" s="167"/>
      <c r="H431" s="167"/>
      <c r="I431" s="159" t="s">
        <v>2570</v>
      </c>
      <c r="J431" s="159" t="s">
        <v>2619</v>
      </c>
      <c r="K431" s="159"/>
      <c r="L431" s="159"/>
      <c r="M431" s="158"/>
      <c r="N431" s="158"/>
      <c r="O431" s="159"/>
      <c r="P431" s="159"/>
      <c r="Q431" s="159" t="s">
        <v>2840</v>
      </c>
      <c r="R431" s="159" t="s">
        <v>2863</v>
      </c>
      <c r="S431" s="159"/>
      <c r="T431" s="159"/>
      <c r="U431" s="158"/>
      <c r="V431" s="158"/>
      <c r="W431" s="159"/>
      <c r="X431" s="159"/>
      <c r="Y431" s="159"/>
      <c r="Z431" s="159"/>
      <c r="AA431" s="159"/>
      <c r="AB431" s="167"/>
      <c r="AC431" s="159" t="s">
        <v>129</v>
      </c>
      <c r="AD431" s="158"/>
      <c r="AE431" s="159"/>
      <c r="AF431" s="159"/>
      <c r="AG431" s="159"/>
      <c r="AH431" s="159"/>
      <c r="AI431" s="159"/>
      <c r="AJ431" s="159"/>
      <c r="AK431" s="159" t="s">
        <v>2600</v>
      </c>
      <c r="AL431" s="159"/>
      <c r="AM431" s="159"/>
      <c r="AN431" s="159" t="s">
        <v>786</v>
      </c>
      <c r="AO431" s="172" t="s">
        <v>115</v>
      </c>
      <c r="AP431" s="172"/>
      <c r="AQ431" s="172"/>
      <c r="AR431" s="178" t="s">
        <v>2618</v>
      </c>
      <c r="AS431" s="178" t="s">
        <v>2618</v>
      </c>
      <c r="BD431" s="185" t="s">
        <v>1442</v>
      </c>
      <c r="BE431" s="156" t="s">
        <v>1758</v>
      </c>
      <c r="BF431" s="159" t="s">
        <v>1508</v>
      </c>
      <c r="BG431" s="159" t="s">
        <v>129</v>
      </c>
      <c r="BH431" s="159"/>
      <c r="BI431" s="159" t="s">
        <v>41</v>
      </c>
      <c r="BJ431" s="156">
        <v>1</v>
      </c>
      <c r="BL431" s="156"/>
    </row>
    <row r="432" spans="1:70">
      <c r="A432" s="184" t="str">
        <f t="shared" si="6"/>
        <v>40001428</v>
      </c>
      <c r="B432" s="158" t="s">
        <v>1873</v>
      </c>
      <c r="C432" s="158" t="s">
        <v>3278</v>
      </c>
      <c r="D432" s="159" t="s">
        <v>1872</v>
      </c>
      <c r="E432" s="159"/>
      <c r="F432" s="158" t="s">
        <v>1874</v>
      </c>
      <c r="G432" s="167">
        <v>30048</v>
      </c>
      <c r="H432" s="167"/>
      <c r="I432" s="159" t="s">
        <v>2570</v>
      </c>
      <c r="J432" s="159" t="s">
        <v>2619</v>
      </c>
      <c r="K432" s="159" t="s">
        <v>35</v>
      </c>
      <c r="L432" s="159" t="s">
        <v>343</v>
      </c>
      <c r="M432" s="158" t="s">
        <v>2627</v>
      </c>
      <c r="N432" s="158" t="s">
        <v>2625</v>
      </c>
      <c r="O432" s="159" t="s">
        <v>2659</v>
      </c>
      <c r="P432" s="159" t="s">
        <v>2659</v>
      </c>
      <c r="Q432" s="159" t="s">
        <v>2840</v>
      </c>
      <c r="R432" s="159" t="s">
        <v>2863</v>
      </c>
      <c r="S432" s="159"/>
      <c r="T432" s="159"/>
      <c r="U432" s="158"/>
      <c r="V432" s="158"/>
      <c r="W432" s="159"/>
      <c r="X432" s="159"/>
      <c r="Y432" s="159"/>
      <c r="Z432" s="159"/>
      <c r="AA432" s="159"/>
      <c r="AB432" s="167"/>
      <c r="AC432" s="159" t="s">
        <v>129</v>
      </c>
      <c r="AD432" s="158"/>
      <c r="AE432" s="159"/>
      <c r="AF432" s="159"/>
      <c r="AG432" s="159"/>
      <c r="AH432" s="159"/>
      <c r="AI432" s="159"/>
      <c r="AJ432" s="159"/>
      <c r="AK432" s="159" t="s">
        <v>2600</v>
      </c>
      <c r="AL432" s="159"/>
      <c r="AM432" s="159"/>
      <c r="AN432" s="159" t="s">
        <v>786</v>
      </c>
      <c r="AO432" s="172" t="s">
        <v>115</v>
      </c>
      <c r="AP432" s="172"/>
      <c r="AQ432" s="172"/>
      <c r="AR432" s="178" t="s">
        <v>2618</v>
      </c>
      <c r="AS432" s="178" t="s">
        <v>2618</v>
      </c>
      <c r="BD432" s="185" t="s">
        <v>1442</v>
      </c>
      <c r="BE432" s="156" t="s">
        <v>1758</v>
      </c>
      <c r="BF432" s="159" t="s">
        <v>1508</v>
      </c>
      <c r="BG432" s="159" t="s">
        <v>129</v>
      </c>
      <c r="BH432" s="159"/>
      <c r="BI432" s="159" t="s">
        <v>41</v>
      </c>
      <c r="BJ432" s="156">
        <v>1</v>
      </c>
      <c r="BL432" s="156"/>
    </row>
    <row r="433" spans="1:70">
      <c r="A433" s="184" t="str">
        <f t="shared" si="6"/>
        <v>40001429</v>
      </c>
      <c r="B433" s="158" t="s">
        <v>1877</v>
      </c>
      <c r="C433" s="158" t="s">
        <v>3279</v>
      </c>
      <c r="D433" s="159" t="s">
        <v>1875</v>
      </c>
      <c r="E433" s="159"/>
      <c r="F433" s="158" t="s">
        <v>1879</v>
      </c>
      <c r="G433" s="167">
        <v>29140</v>
      </c>
      <c r="H433" s="167"/>
      <c r="I433" s="159" t="s">
        <v>2570</v>
      </c>
      <c r="J433" s="159" t="s">
        <v>2619</v>
      </c>
      <c r="K433" s="159" t="s">
        <v>35</v>
      </c>
      <c r="L433" s="159" t="s">
        <v>1878</v>
      </c>
      <c r="M433" s="158" t="s">
        <v>2639</v>
      </c>
      <c r="N433" s="158" t="s">
        <v>2623</v>
      </c>
      <c r="O433" s="159" t="s">
        <v>2660</v>
      </c>
      <c r="P433" s="159" t="s">
        <v>2662</v>
      </c>
      <c r="Q433" s="159" t="s">
        <v>2840</v>
      </c>
      <c r="R433" s="159" t="s">
        <v>2863</v>
      </c>
      <c r="S433" s="159"/>
      <c r="T433" s="159"/>
      <c r="U433" s="158"/>
      <c r="V433" s="158"/>
      <c r="W433" s="159"/>
      <c r="X433" s="159"/>
      <c r="Y433" s="159"/>
      <c r="Z433" s="159"/>
      <c r="AA433" s="159"/>
      <c r="AB433" s="167"/>
      <c r="AC433" s="159" t="s">
        <v>129</v>
      </c>
      <c r="AD433" s="158"/>
      <c r="AE433" s="159"/>
      <c r="AF433" s="159"/>
      <c r="AG433" s="159"/>
      <c r="AH433" s="159"/>
      <c r="AI433" s="159"/>
      <c r="AJ433" s="159"/>
      <c r="AK433" s="159" t="s">
        <v>2600</v>
      </c>
      <c r="AL433" s="159"/>
      <c r="AM433" s="159"/>
      <c r="AN433" s="159" t="s">
        <v>786</v>
      </c>
      <c r="AO433" s="172" t="s">
        <v>115</v>
      </c>
      <c r="AP433" s="172"/>
      <c r="AQ433" s="172"/>
      <c r="AR433" s="178" t="s">
        <v>2618</v>
      </c>
      <c r="AS433" s="178" t="s">
        <v>2618</v>
      </c>
      <c r="BD433" s="185" t="s">
        <v>1442</v>
      </c>
      <c r="BE433" s="156" t="s">
        <v>1758</v>
      </c>
      <c r="BF433" s="159" t="s">
        <v>1539</v>
      </c>
      <c r="BG433" s="159" t="s">
        <v>129</v>
      </c>
      <c r="BH433" s="159" t="s">
        <v>121</v>
      </c>
      <c r="BI433" s="159" t="s">
        <v>41</v>
      </c>
      <c r="BJ433" s="156">
        <v>1</v>
      </c>
      <c r="BL433" s="156"/>
      <c r="BM433" s="165"/>
      <c r="BN433" s="165"/>
      <c r="BO433" s="165"/>
      <c r="BP433" s="165"/>
      <c r="BQ433" s="165"/>
      <c r="BR433" s="165"/>
    </row>
    <row r="434" spans="1:70">
      <c r="A434" s="184" t="str">
        <f t="shared" si="6"/>
        <v>40001430</v>
      </c>
      <c r="B434" s="158" t="s">
        <v>1881</v>
      </c>
      <c r="C434" s="158" t="s">
        <v>3280</v>
      </c>
      <c r="D434" s="159" t="s">
        <v>1880</v>
      </c>
      <c r="E434" s="159"/>
      <c r="F434" s="158" t="s">
        <v>1883</v>
      </c>
      <c r="G434" s="167">
        <v>29725</v>
      </c>
      <c r="H434" s="167"/>
      <c r="I434" s="159" t="s">
        <v>2570</v>
      </c>
      <c r="J434" s="159" t="s">
        <v>2619</v>
      </c>
      <c r="K434" s="159" t="s">
        <v>35</v>
      </c>
      <c r="L434" s="159" t="s">
        <v>1882</v>
      </c>
      <c r="M434" s="158" t="s">
        <v>2621</v>
      </c>
      <c r="N434" s="158" t="s">
        <v>2626</v>
      </c>
      <c r="O434" s="159" t="s">
        <v>2788</v>
      </c>
      <c r="P434" s="159" t="s">
        <v>2836</v>
      </c>
      <c r="Q434" s="159" t="s">
        <v>2842</v>
      </c>
      <c r="R434" s="159" t="s">
        <v>2863</v>
      </c>
      <c r="S434" s="159"/>
      <c r="T434" s="159"/>
      <c r="U434" s="158"/>
      <c r="V434" s="158"/>
      <c r="W434" s="159"/>
      <c r="X434" s="159"/>
      <c r="Y434" s="159"/>
      <c r="Z434" s="159"/>
      <c r="AA434" s="159"/>
      <c r="AB434" s="167"/>
      <c r="AC434" s="159" t="s">
        <v>129</v>
      </c>
      <c r="AD434" s="158"/>
      <c r="AE434" s="159"/>
      <c r="AF434" s="159"/>
      <c r="AG434" s="159"/>
      <c r="AH434" s="159"/>
      <c r="AI434" s="159"/>
      <c r="AJ434" s="159"/>
      <c r="AK434" s="159" t="s">
        <v>2600</v>
      </c>
      <c r="AL434" s="159"/>
      <c r="AM434" s="159"/>
      <c r="AN434" s="159" t="s">
        <v>786</v>
      </c>
      <c r="AO434" s="172" t="s">
        <v>115</v>
      </c>
      <c r="AP434" s="172"/>
      <c r="AQ434" s="172"/>
      <c r="AR434" s="178" t="s">
        <v>2618</v>
      </c>
      <c r="AS434" s="178" t="s">
        <v>2618</v>
      </c>
      <c r="BD434" s="185" t="s">
        <v>1442</v>
      </c>
      <c r="BE434" s="156" t="s">
        <v>1758</v>
      </c>
      <c r="BF434" s="159" t="s">
        <v>1539</v>
      </c>
      <c r="BG434" s="159" t="s">
        <v>129</v>
      </c>
      <c r="BH434" s="159" t="s">
        <v>121</v>
      </c>
      <c r="BI434" s="159" t="s">
        <v>41</v>
      </c>
      <c r="BJ434" s="156">
        <v>1</v>
      </c>
      <c r="BL434" s="156"/>
    </row>
    <row r="435" spans="1:70">
      <c r="A435" s="184" t="str">
        <f t="shared" si="6"/>
        <v>40001431</v>
      </c>
      <c r="B435" s="158" t="s">
        <v>1885</v>
      </c>
      <c r="C435" s="158" t="s">
        <v>3281</v>
      </c>
      <c r="D435" s="159" t="s">
        <v>1884</v>
      </c>
      <c r="E435" s="159"/>
      <c r="F435" s="158" t="s">
        <v>1886</v>
      </c>
      <c r="G435" s="167">
        <v>26347</v>
      </c>
      <c r="H435" s="167"/>
      <c r="I435" s="159" t="s">
        <v>2570</v>
      </c>
      <c r="J435" s="159" t="s">
        <v>2619</v>
      </c>
      <c r="K435" s="159" t="s">
        <v>35</v>
      </c>
      <c r="L435" s="159" t="s">
        <v>1471</v>
      </c>
      <c r="M435" s="158" t="s">
        <v>2623</v>
      </c>
      <c r="N435" s="158" t="s">
        <v>2630</v>
      </c>
      <c r="O435" s="159" t="s">
        <v>2789</v>
      </c>
      <c r="P435" s="159" t="s">
        <v>2789</v>
      </c>
      <c r="Q435" s="159" t="s">
        <v>2840</v>
      </c>
      <c r="R435" s="159" t="s">
        <v>2863</v>
      </c>
      <c r="S435" s="159"/>
      <c r="T435" s="159"/>
      <c r="U435" s="158"/>
      <c r="V435" s="158"/>
      <c r="W435" s="159"/>
      <c r="X435" s="159"/>
      <c r="Y435" s="159"/>
      <c r="Z435" s="159"/>
      <c r="AA435" s="159"/>
      <c r="AB435" s="167"/>
      <c r="AC435" s="159" t="s">
        <v>129</v>
      </c>
      <c r="AD435" s="158"/>
      <c r="AE435" s="159"/>
      <c r="AF435" s="159"/>
      <c r="AG435" s="159"/>
      <c r="AH435" s="159"/>
      <c r="AI435" s="159"/>
      <c r="AJ435" s="159"/>
      <c r="AK435" s="159" t="s">
        <v>2600</v>
      </c>
      <c r="AL435" s="159"/>
      <c r="AM435" s="159"/>
      <c r="AN435" s="159" t="s">
        <v>786</v>
      </c>
      <c r="AO435" s="172" t="s">
        <v>115</v>
      </c>
      <c r="AP435" s="172"/>
      <c r="AQ435" s="172"/>
      <c r="AR435" s="178" t="s">
        <v>2618</v>
      </c>
      <c r="AS435" s="178" t="s">
        <v>2618</v>
      </c>
      <c r="BD435" s="185" t="s">
        <v>1442</v>
      </c>
      <c r="BE435" s="156" t="s">
        <v>1758</v>
      </c>
      <c r="BF435" s="159" t="s">
        <v>1539</v>
      </c>
      <c r="BG435" s="159" t="s">
        <v>129</v>
      </c>
      <c r="BH435" s="159" t="s">
        <v>121</v>
      </c>
      <c r="BI435" s="159" t="s">
        <v>41</v>
      </c>
      <c r="BJ435" s="156">
        <v>1</v>
      </c>
      <c r="BL435" s="156"/>
    </row>
    <row r="436" spans="1:70">
      <c r="A436" s="184" t="str">
        <f t="shared" si="6"/>
        <v>40001432</v>
      </c>
      <c r="B436" s="158" t="s">
        <v>1888</v>
      </c>
      <c r="C436" s="158" t="s">
        <v>3282</v>
      </c>
      <c r="D436" s="159" t="s">
        <v>1887</v>
      </c>
      <c r="E436" s="159"/>
      <c r="F436" s="158" t="s">
        <v>1889</v>
      </c>
      <c r="G436" s="167">
        <v>29609</v>
      </c>
      <c r="H436" s="167"/>
      <c r="I436" s="159" t="s">
        <v>2570</v>
      </c>
      <c r="J436" s="159" t="s">
        <v>2619</v>
      </c>
      <c r="K436" s="159" t="s">
        <v>35</v>
      </c>
      <c r="L436" s="159" t="s">
        <v>355</v>
      </c>
      <c r="M436" s="158" t="s">
        <v>2642</v>
      </c>
      <c r="N436" s="158" t="s">
        <v>2623</v>
      </c>
      <c r="O436" s="159" t="s">
        <v>2660</v>
      </c>
      <c r="P436" s="159" t="s">
        <v>2662</v>
      </c>
      <c r="Q436" s="159" t="s">
        <v>2840</v>
      </c>
      <c r="R436" s="159" t="s">
        <v>2863</v>
      </c>
      <c r="S436" s="159"/>
      <c r="T436" s="159"/>
      <c r="U436" s="158"/>
      <c r="V436" s="158"/>
      <c r="W436" s="159"/>
      <c r="X436" s="159"/>
      <c r="Y436" s="159"/>
      <c r="Z436" s="159"/>
      <c r="AA436" s="159"/>
      <c r="AB436" s="167"/>
      <c r="AC436" s="159" t="s">
        <v>129</v>
      </c>
      <c r="AD436" s="158"/>
      <c r="AE436" s="159"/>
      <c r="AF436" s="159"/>
      <c r="AG436" s="159"/>
      <c r="AH436" s="159"/>
      <c r="AI436" s="159"/>
      <c r="AJ436" s="159"/>
      <c r="AK436" s="159" t="s">
        <v>2600</v>
      </c>
      <c r="AL436" s="159"/>
      <c r="AM436" s="159"/>
      <c r="AN436" s="159" t="s">
        <v>786</v>
      </c>
      <c r="AO436" s="172" t="s">
        <v>115</v>
      </c>
      <c r="AP436" s="172"/>
      <c r="AQ436" s="172"/>
      <c r="AR436" s="178" t="s">
        <v>2618</v>
      </c>
      <c r="AS436" s="178" t="s">
        <v>2618</v>
      </c>
      <c r="BD436" s="185" t="s">
        <v>1442</v>
      </c>
      <c r="BE436" s="156" t="s">
        <v>1758</v>
      </c>
      <c r="BF436" s="159" t="s">
        <v>1539</v>
      </c>
      <c r="BG436" s="159" t="s">
        <v>129</v>
      </c>
      <c r="BH436" s="159" t="s">
        <v>46</v>
      </c>
      <c r="BI436" s="159" t="s">
        <v>41</v>
      </c>
      <c r="BJ436" s="156">
        <v>1</v>
      </c>
      <c r="BL436" s="156"/>
    </row>
    <row r="437" spans="1:70">
      <c r="A437" s="184" t="str">
        <f t="shared" si="6"/>
        <v>40001433</v>
      </c>
      <c r="B437" s="158" t="s">
        <v>1891</v>
      </c>
      <c r="C437" s="158" t="s">
        <v>3283</v>
      </c>
      <c r="D437" s="159" t="s">
        <v>1890</v>
      </c>
      <c r="E437" s="159"/>
      <c r="F437" s="158" t="s">
        <v>1893</v>
      </c>
      <c r="G437" s="167">
        <v>26350</v>
      </c>
      <c r="H437" s="167"/>
      <c r="I437" s="159" t="s">
        <v>2570</v>
      </c>
      <c r="J437" s="159" t="s">
        <v>2619</v>
      </c>
      <c r="K437" s="159" t="s">
        <v>35</v>
      </c>
      <c r="L437" s="159" t="s">
        <v>1892</v>
      </c>
      <c r="M437" s="158" t="s">
        <v>2630</v>
      </c>
      <c r="N437" s="158" t="s">
        <v>2623</v>
      </c>
      <c r="O437" s="159" t="s">
        <v>2660</v>
      </c>
      <c r="P437" s="159" t="s">
        <v>2662</v>
      </c>
      <c r="Q437" s="159" t="s">
        <v>2840</v>
      </c>
      <c r="R437" s="159" t="s">
        <v>2863</v>
      </c>
      <c r="S437" s="159"/>
      <c r="T437" s="159"/>
      <c r="U437" s="158"/>
      <c r="V437" s="158"/>
      <c r="W437" s="159"/>
      <c r="X437" s="159"/>
      <c r="Y437" s="159"/>
      <c r="Z437" s="159"/>
      <c r="AA437" s="159"/>
      <c r="AB437" s="167"/>
      <c r="AC437" s="159" t="s">
        <v>129</v>
      </c>
      <c r="AD437" s="158"/>
      <c r="AE437" s="159"/>
      <c r="AF437" s="159"/>
      <c r="AG437" s="159"/>
      <c r="AH437" s="159"/>
      <c r="AI437" s="159"/>
      <c r="AJ437" s="159"/>
      <c r="AK437" s="159" t="s">
        <v>2600</v>
      </c>
      <c r="AL437" s="159"/>
      <c r="AM437" s="159"/>
      <c r="AN437" s="159" t="s">
        <v>786</v>
      </c>
      <c r="AO437" s="172" t="s">
        <v>115</v>
      </c>
      <c r="AP437" s="172"/>
      <c r="AQ437" s="172"/>
      <c r="AR437" s="178" t="s">
        <v>2618</v>
      </c>
      <c r="AS437" s="178" t="s">
        <v>2618</v>
      </c>
      <c r="BD437" s="185" t="s">
        <v>1442</v>
      </c>
      <c r="BE437" s="156" t="s">
        <v>1758</v>
      </c>
      <c r="BF437" s="159" t="s">
        <v>1539</v>
      </c>
      <c r="BG437" s="159" t="s">
        <v>129</v>
      </c>
      <c r="BH437" s="159" t="s">
        <v>158</v>
      </c>
      <c r="BI437" s="159" t="s">
        <v>41</v>
      </c>
      <c r="BJ437" s="156">
        <v>1</v>
      </c>
      <c r="BL437" s="156"/>
    </row>
    <row r="438" spans="1:70">
      <c r="A438" s="184" t="str">
        <f t="shared" si="6"/>
        <v>40001434</v>
      </c>
      <c r="B438" s="158" t="s">
        <v>1895</v>
      </c>
      <c r="C438" s="158" t="s">
        <v>3284</v>
      </c>
      <c r="D438" s="159" t="s">
        <v>1894</v>
      </c>
      <c r="E438" s="159"/>
      <c r="F438" s="158" t="s">
        <v>1897</v>
      </c>
      <c r="G438" s="167">
        <v>33180</v>
      </c>
      <c r="H438" s="167"/>
      <c r="I438" s="159" t="s">
        <v>2570</v>
      </c>
      <c r="J438" s="159" t="s">
        <v>2619</v>
      </c>
      <c r="K438" s="159" t="s">
        <v>35</v>
      </c>
      <c r="L438" s="159" t="s">
        <v>1896</v>
      </c>
      <c r="M438" s="158" t="s">
        <v>2623</v>
      </c>
      <c r="N438" s="158" t="s">
        <v>2623</v>
      </c>
      <c r="O438" s="159" t="s">
        <v>2668</v>
      </c>
      <c r="P438" s="159" t="s">
        <v>2662</v>
      </c>
      <c r="Q438" s="159" t="s">
        <v>2840</v>
      </c>
      <c r="R438" s="159" t="s">
        <v>2863</v>
      </c>
      <c r="S438" s="159"/>
      <c r="T438" s="159"/>
      <c r="U438" s="158"/>
      <c r="V438" s="158"/>
      <c r="W438" s="159"/>
      <c r="X438" s="159"/>
      <c r="Y438" s="159"/>
      <c r="Z438" s="159"/>
      <c r="AA438" s="159"/>
      <c r="AB438" s="167"/>
      <c r="AC438" s="159" t="s">
        <v>129</v>
      </c>
      <c r="AD438" s="158"/>
      <c r="AE438" s="159"/>
      <c r="AF438" s="159"/>
      <c r="AG438" s="159"/>
      <c r="AH438" s="159"/>
      <c r="AI438" s="159"/>
      <c r="AJ438" s="159"/>
      <c r="AK438" s="159" t="s">
        <v>2600</v>
      </c>
      <c r="AL438" s="159"/>
      <c r="AM438" s="159"/>
      <c r="AN438" s="159" t="s">
        <v>786</v>
      </c>
      <c r="AO438" s="172" t="s">
        <v>115</v>
      </c>
      <c r="AP438" s="172"/>
      <c r="AQ438" s="172"/>
      <c r="AR438" s="178" t="s">
        <v>2618</v>
      </c>
      <c r="AS438" s="178" t="s">
        <v>2618</v>
      </c>
      <c r="BD438" s="185" t="s">
        <v>1442</v>
      </c>
      <c r="BE438" s="156" t="s">
        <v>1758</v>
      </c>
      <c r="BF438" s="159" t="s">
        <v>1539</v>
      </c>
      <c r="BG438" s="159" t="s">
        <v>129</v>
      </c>
      <c r="BH438" s="159" t="s">
        <v>158</v>
      </c>
      <c r="BI438" s="159" t="s">
        <v>41</v>
      </c>
      <c r="BJ438" s="156">
        <v>1</v>
      </c>
      <c r="BL438" s="156"/>
    </row>
    <row r="439" spans="1:70">
      <c r="A439" s="184" t="str">
        <f t="shared" si="6"/>
        <v>40001435</v>
      </c>
      <c r="B439" s="158" t="s">
        <v>1899</v>
      </c>
      <c r="C439" s="158" t="s">
        <v>3285</v>
      </c>
      <c r="D439" s="159" t="s">
        <v>1898</v>
      </c>
      <c r="E439" s="159"/>
      <c r="F439" s="158" t="s">
        <v>1900</v>
      </c>
      <c r="G439" s="167">
        <v>31085</v>
      </c>
      <c r="H439" s="167"/>
      <c r="I439" s="159" t="s">
        <v>2570</v>
      </c>
      <c r="J439" s="159" t="s">
        <v>2619</v>
      </c>
      <c r="K439" s="159" t="s">
        <v>35</v>
      </c>
      <c r="L439" s="159" t="s">
        <v>1878</v>
      </c>
      <c r="M439" s="158" t="s">
        <v>2639</v>
      </c>
      <c r="N439" s="158" t="s">
        <v>2623</v>
      </c>
      <c r="O439" s="159" t="s">
        <v>2660</v>
      </c>
      <c r="P439" s="159" t="s">
        <v>2662</v>
      </c>
      <c r="Q439" s="159" t="s">
        <v>2840</v>
      </c>
      <c r="R439" s="159" t="s">
        <v>2863</v>
      </c>
      <c r="S439" s="159"/>
      <c r="T439" s="159"/>
      <c r="U439" s="158"/>
      <c r="V439" s="158"/>
      <c r="W439" s="159"/>
      <c r="X439" s="159"/>
      <c r="Y439" s="159"/>
      <c r="Z439" s="159"/>
      <c r="AA439" s="159"/>
      <c r="AB439" s="167"/>
      <c r="AC439" s="159" t="s">
        <v>129</v>
      </c>
      <c r="AD439" s="158"/>
      <c r="AE439" s="159"/>
      <c r="AF439" s="159"/>
      <c r="AG439" s="159"/>
      <c r="AH439" s="159"/>
      <c r="AI439" s="159"/>
      <c r="AJ439" s="159"/>
      <c r="AK439" s="159" t="s">
        <v>2600</v>
      </c>
      <c r="AL439" s="159"/>
      <c r="AM439" s="159"/>
      <c r="AN439" s="159" t="s">
        <v>786</v>
      </c>
      <c r="AO439" s="172" t="s">
        <v>115</v>
      </c>
      <c r="AP439" s="172"/>
      <c r="AQ439" s="172"/>
      <c r="AR439" s="178" t="s">
        <v>2618</v>
      </c>
      <c r="AS439" s="178" t="s">
        <v>2618</v>
      </c>
      <c r="BD439" s="185" t="s">
        <v>1442</v>
      </c>
      <c r="BE439" s="156" t="s">
        <v>1758</v>
      </c>
      <c r="BF439" s="159" t="s">
        <v>1539</v>
      </c>
      <c r="BG439" s="159" t="s">
        <v>129</v>
      </c>
      <c r="BH439" s="159" t="s">
        <v>121</v>
      </c>
      <c r="BI439" s="159" t="s">
        <v>41</v>
      </c>
      <c r="BJ439" s="156">
        <v>1</v>
      </c>
      <c r="BL439" s="156"/>
    </row>
    <row r="440" spans="1:70">
      <c r="A440" s="184" t="str">
        <f t="shared" si="6"/>
        <v>40001436</v>
      </c>
      <c r="B440" s="158" t="s">
        <v>1902</v>
      </c>
      <c r="C440" s="158" t="s">
        <v>3286</v>
      </c>
      <c r="D440" s="159" t="s">
        <v>1901</v>
      </c>
      <c r="E440" s="159"/>
      <c r="F440" s="158" t="s">
        <v>1903</v>
      </c>
      <c r="G440" s="167">
        <v>36046</v>
      </c>
      <c r="H440" s="167"/>
      <c r="I440" s="159" t="s">
        <v>2570</v>
      </c>
      <c r="J440" s="159" t="s">
        <v>2619</v>
      </c>
      <c r="K440" s="159" t="s">
        <v>35</v>
      </c>
      <c r="L440" s="159" t="s">
        <v>141</v>
      </c>
      <c r="M440" s="158" t="s">
        <v>2626</v>
      </c>
      <c r="N440" s="158" t="s">
        <v>2625</v>
      </c>
      <c r="O440" s="159" t="s">
        <v>2659</v>
      </c>
      <c r="P440" s="159" t="s">
        <v>2659</v>
      </c>
      <c r="Q440" s="159" t="s">
        <v>2840</v>
      </c>
      <c r="R440" s="159" t="s">
        <v>2863</v>
      </c>
      <c r="S440" s="159"/>
      <c r="T440" s="159"/>
      <c r="U440" s="158"/>
      <c r="V440" s="158"/>
      <c r="W440" s="159"/>
      <c r="X440" s="159"/>
      <c r="Y440" s="159"/>
      <c r="Z440" s="159"/>
      <c r="AA440" s="159"/>
      <c r="AB440" s="167"/>
      <c r="AC440" s="159" t="s">
        <v>129</v>
      </c>
      <c r="AD440" s="158"/>
      <c r="AE440" s="159"/>
      <c r="AF440" s="159"/>
      <c r="AG440" s="159"/>
      <c r="AH440" s="159"/>
      <c r="AI440" s="159"/>
      <c r="AJ440" s="159"/>
      <c r="AK440" s="159" t="s">
        <v>2600</v>
      </c>
      <c r="AL440" s="159"/>
      <c r="AM440" s="159"/>
      <c r="AN440" s="159" t="s">
        <v>786</v>
      </c>
      <c r="AO440" s="172" t="s">
        <v>115</v>
      </c>
      <c r="AP440" s="172"/>
      <c r="AQ440" s="172"/>
      <c r="AR440" s="178" t="s">
        <v>2618</v>
      </c>
      <c r="AS440" s="178" t="s">
        <v>2618</v>
      </c>
      <c r="BD440" s="185" t="s">
        <v>1442</v>
      </c>
      <c r="BE440" s="156" t="s">
        <v>1758</v>
      </c>
      <c r="BF440" s="159" t="s">
        <v>1539</v>
      </c>
      <c r="BG440" s="159" t="s">
        <v>129</v>
      </c>
      <c r="BH440" s="159" t="s">
        <v>32</v>
      </c>
      <c r="BI440" s="159" t="s">
        <v>41</v>
      </c>
      <c r="BJ440" s="156">
        <v>1</v>
      </c>
      <c r="BL440" s="156"/>
      <c r="BM440" s="165"/>
      <c r="BN440" s="165"/>
      <c r="BO440" s="165"/>
      <c r="BP440" s="165"/>
      <c r="BQ440" s="165"/>
      <c r="BR440" s="165"/>
    </row>
    <row r="441" spans="1:70">
      <c r="A441" s="184" t="str">
        <f t="shared" si="6"/>
        <v>40001437</v>
      </c>
      <c r="B441" s="158"/>
      <c r="C441" s="158" t="s">
        <v>3287</v>
      </c>
      <c r="D441" s="159" t="s">
        <v>1909</v>
      </c>
      <c r="E441" s="159"/>
      <c r="F441" s="158"/>
      <c r="G441" s="167"/>
      <c r="H441" s="167"/>
      <c r="I441" s="159" t="s">
        <v>2570</v>
      </c>
      <c r="J441" s="159" t="s">
        <v>2619</v>
      </c>
      <c r="K441" s="159"/>
      <c r="L441" s="159"/>
      <c r="M441" s="158"/>
      <c r="N441" s="158"/>
      <c r="O441" s="159"/>
      <c r="P441" s="159"/>
      <c r="Q441" s="159" t="s">
        <v>2840</v>
      </c>
      <c r="R441" s="159" t="s">
        <v>2863</v>
      </c>
      <c r="S441" s="159"/>
      <c r="T441" s="159"/>
      <c r="U441" s="158"/>
      <c r="V441" s="158"/>
      <c r="W441" s="159"/>
      <c r="X441" s="159"/>
      <c r="Y441" s="159"/>
      <c r="Z441" s="159"/>
      <c r="AA441" s="159"/>
      <c r="AB441" s="167"/>
      <c r="AC441" s="159" t="s">
        <v>129</v>
      </c>
      <c r="AD441" s="158"/>
      <c r="AE441" s="159"/>
      <c r="AF441" s="159"/>
      <c r="AG441" s="159"/>
      <c r="AH441" s="159"/>
      <c r="AI441" s="159"/>
      <c r="AJ441" s="159"/>
      <c r="AK441" s="159" t="s">
        <v>2600</v>
      </c>
      <c r="AL441" s="159"/>
      <c r="AM441" s="159"/>
      <c r="AN441" s="159" t="s">
        <v>786</v>
      </c>
      <c r="AO441" s="172" t="s">
        <v>115</v>
      </c>
      <c r="AP441" s="172"/>
      <c r="AQ441" s="172"/>
      <c r="AR441" s="178" t="s">
        <v>2618</v>
      </c>
      <c r="AS441" s="178" t="s">
        <v>2618</v>
      </c>
      <c r="BD441" s="185" t="s">
        <v>1442</v>
      </c>
      <c r="BE441" s="156" t="s">
        <v>1758</v>
      </c>
      <c r="BF441" s="159" t="s">
        <v>1539</v>
      </c>
      <c r="BG441" s="159" t="s">
        <v>129</v>
      </c>
      <c r="BH441" s="159"/>
      <c r="BI441" s="159" t="s">
        <v>41</v>
      </c>
      <c r="BJ441" s="156">
        <v>1</v>
      </c>
      <c r="BL441" s="156"/>
    </row>
    <row r="442" spans="1:70">
      <c r="A442" s="184" t="str">
        <f t="shared" si="6"/>
        <v>40001438</v>
      </c>
      <c r="B442" s="158"/>
      <c r="C442" s="158" t="s">
        <v>3288</v>
      </c>
      <c r="D442" s="159" t="s">
        <v>1910</v>
      </c>
      <c r="E442" s="159"/>
      <c r="F442" s="158"/>
      <c r="G442" s="167"/>
      <c r="H442" s="167"/>
      <c r="I442" s="159" t="s">
        <v>2570</v>
      </c>
      <c r="J442" s="159" t="s">
        <v>2619</v>
      </c>
      <c r="K442" s="159"/>
      <c r="L442" s="159"/>
      <c r="M442" s="158"/>
      <c r="N442" s="158"/>
      <c r="O442" s="159"/>
      <c r="P442" s="159"/>
      <c r="Q442" s="159" t="s">
        <v>2840</v>
      </c>
      <c r="R442" s="159" t="s">
        <v>2863</v>
      </c>
      <c r="S442" s="159"/>
      <c r="T442" s="159"/>
      <c r="U442" s="158"/>
      <c r="V442" s="158"/>
      <c r="W442" s="159"/>
      <c r="X442" s="159"/>
      <c r="Y442" s="159"/>
      <c r="Z442" s="159"/>
      <c r="AA442" s="159"/>
      <c r="AB442" s="167"/>
      <c r="AC442" s="159" t="s">
        <v>129</v>
      </c>
      <c r="AD442" s="158"/>
      <c r="AE442" s="159"/>
      <c r="AF442" s="159"/>
      <c r="AG442" s="159"/>
      <c r="AH442" s="159"/>
      <c r="AI442" s="159"/>
      <c r="AJ442" s="159"/>
      <c r="AK442" s="159" t="s">
        <v>2600</v>
      </c>
      <c r="AL442" s="159"/>
      <c r="AM442" s="159"/>
      <c r="AN442" s="159" t="s">
        <v>786</v>
      </c>
      <c r="AO442" s="172" t="s">
        <v>115</v>
      </c>
      <c r="AP442" s="172"/>
      <c r="AQ442" s="172"/>
      <c r="AR442" s="178" t="s">
        <v>2618</v>
      </c>
      <c r="AS442" s="178" t="s">
        <v>2618</v>
      </c>
      <c r="BD442" s="185" t="s">
        <v>1442</v>
      </c>
      <c r="BE442" s="156" t="s">
        <v>1758</v>
      </c>
      <c r="BF442" s="159" t="s">
        <v>1539</v>
      </c>
      <c r="BG442" s="159" t="s">
        <v>129</v>
      </c>
      <c r="BH442" s="159"/>
      <c r="BI442" s="159" t="s">
        <v>41</v>
      </c>
      <c r="BJ442" s="156">
        <v>1</v>
      </c>
      <c r="BL442" s="156"/>
    </row>
    <row r="443" spans="1:70">
      <c r="A443" s="184" t="str">
        <f t="shared" si="6"/>
        <v>40001439</v>
      </c>
      <c r="B443" s="158"/>
      <c r="C443" s="158" t="s">
        <v>3289</v>
      </c>
      <c r="D443" s="159" t="s">
        <v>1913</v>
      </c>
      <c r="E443" s="159"/>
      <c r="F443" s="158"/>
      <c r="G443" s="167"/>
      <c r="H443" s="167"/>
      <c r="I443" s="159" t="s">
        <v>2570</v>
      </c>
      <c r="J443" s="159" t="s">
        <v>2619</v>
      </c>
      <c r="K443" s="159"/>
      <c r="L443" s="159"/>
      <c r="M443" s="158"/>
      <c r="N443" s="158"/>
      <c r="O443" s="159"/>
      <c r="P443" s="159"/>
      <c r="Q443" s="159" t="s">
        <v>2840</v>
      </c>
      <c r="R443" s="159" t="s">
        <v>2863</v>
      </c>
      <c r="S443" s="159"/>
      <c r="T443" s="159"/>
      <c r="U443" s="158"/>
      <c r="V443" s="158"/>
      <c r="W443" s="159"/>
      <c r="X443" s="159"/>
      <c r="Y443" s="159"/>
      <c r="Z443" s="159"/>
      <c r="AA443" s="159"/>
      <c r="AB443" s="167"/>
      <c r="AC443" s="159" t="s">
        <v>129</v>
      </c>
      <c r="AD443" s="158"/>
      <c r="AE443" s="159"/>
      <c r="AF443" s="159"/>
      <c r="AG443" s="159"/>
      <c r="AH443" s="159"/>
      <c r="AI443" s="159"/>
      <c r="AJ443" s="159"/>
      <c r="AK443" s="159" t="s">
        <v>2600</v>
      </c>
      <c r="AL443" s="159"/>
      <c r="AM443" s="159"/>
      <c r="AN443" s="159" t="s">
        <v>786</v>
      </c>
      <c r="AO443" s="172" t="s">
        <v>115</v>
      </c>
      <c r="AP443" s="172"/>
      <c r="AQ443" s="172"/>
      <c r="AR443" s="178" t="s">
        <v>2618</v>
      </c>
      <c r="AS443" s="178" t="s">
        <v>2618</v>
      </c>
      <c r="BD443" s="185" t="s">
        <v>1442</v>
      </c>
      <c r="BE443" s="156" t="s">
        <v>1758</v>
      </c>
      <c r="BF443" s="159" t="s">
        <v>1539</v>
      </c>
      <c r="BG443" s="159" t="s">
        <v>129</v>
      </c>
      <c r="BH443" s="159"/>
      <c r="BI443" s="159" t="s">
        <v>41</v>
      </c>
      <c r="BJ443" s="156">
        <v>1</v>
      </c>
      <c r="BL443" s="156"/>
    </row>
    <row r="444" spans="1:70">
      <c r="A444" s="184" t="str">
        <f t="shared" si="6"/>
        <v>40001440</v>
      </c>
      <c r="B444" s="158" t="s">
        <v>1915</v>
      </c>
      <c r="C444" s="158" t="s">
        <v>3290</v>
      </c>
      <c r="D444" s="159" t="s">
        <v>1914</v>
      </c>
      <c r="E444" s="159"/>
      <c r="F444" s="158" t="s">
        <v>1916</v>
      </c>
      <c r="G444" s="167">
        <v>30078</v>
      </c>
      <c r="H444" s="167"/>
      <c r="I444" s="159" t="s">
        <v>2570</v>
      </c>
      <c r="J444" s="159" t="s">
        <v>2619</v>
      </c>
      <c r="K444" s="159" t="s">
        <v>35</v>
      </c>
      <c r="L444" s="159" t="s">
        <v>74</v>
      </c>
      <c r="M444" s="158" t="s">
        <v>2623</v>
      </c>
      <c r="N444" s="158" t="s">
        <v>2625</v>
      </c>
      <c r="O444" s="159" t="s">
        <v>2659</v>
      </c>
      <c r="P444" s="159" t="s">
        <v>2659</v>
      </c>
      <c r="Q444" s="159" t="s">
        <v>2840</v>
      </c>
      <c r="R444" s="159" t="s">
        <v>2863</v>
      </c>
      <c r="S444" s="159"/>
      <c r="T444" s="159"/>
      <c r="U444" s="158"/>
      <c r="V444" s="158"/>
      <c r="W444" s="159"/>
      <c r="X444" s="159"/>
      <c r="Y444" s="159"/>
      <c r="Z444" s="159"/>
      <c r="AA444" s="159"/>
      <c r="AB444" s="167"/>
      <c r="AC444" s="159" t="s">
        <v>129</v>
      </c>
      <c r="AD444" s="158"/>
      <c r="AE444" s="159"/>
      <c r="AF444" s="159"/>
      <c r="AG444" s="159"/>
      <c r="AH444" s="159"/>
      <c r="AI444" s="159"/>
      <c r="AJ444" s="159"/>
      <c r="AK444" s="159" t="s">
        <v>2600</v>
      </c>
      <c r="AL444" s="159"/>
      <c r="AM444" s="159"/>
      <c r="AN444" s="159" t="s">
        <v>786</v>
      </c>
      <c r="AO444" s="172" t="s">
        <v>115</v>
      </c>
      <c r="AP444" s="172"/>
      <c r="AQ444" s="172"/>
      <c r="AR444" s="178" t="s">
        <v>2618</v>
      </c>
      <c r="AS444" s="178" t="s">
        <v>2618</v>
      </c>
      <c r="BD444" s="185" t="s">
        <v>1442</v>
      </c>
      <c r="BE444" s="156" t="s">
        <v>1758</v>
      </c>
      <c r="BF444" s="159" t="s">
        <v>1539</v>
      </c>
      <c r="BG444" s="159" t="s">
        <v>129</v>
      </c>
      <c r="BH444" s="159" t="s">
        <v>32</v>
      </c>
      <c r="BI444" s="159" t="s">
        <v>41</v>
      </c>
      <c r="BJ444" s="156">
        <v>1</v>
      </c>
      <c r="BL444" s="156"/>
    </row>
    <row r="445" spans="1:70">
      <c r="A445" s="184" t="str">
        <f t="shared" si="6"/>
        <v>40001441</v>
      </c>
      <c r="B445" s="158" t="s">
        <v>1921</v>
      </c>
      <c r="C445" s="158" t="s">
        <v>3291</v>
      </c>
      <c r="D445" s="159" t="s">
        <v>1919</v>
      </c>
      <c r="E445" s="159"/>
      <c r="F445" s="158" t="s">
        <v>1923</v>
      </c>
      <c r="G445" s="167">
        <v>24709</v>
      </c>
      <c r="H445" s="167"/>
      <c r="I445" s="159" t="s">
        <v>2569</v>
      </c>
      <c r="J445" s="159" t="s">
        <v>2619</v>
      </c>
      <c r="K445" s="159" t="s">
        <v>35</v>
      </c>
      <c r="L445" s="159" t="s">
        <v>1922</v>
      </c>
      <c r="M445" s="158" t="s">
        <v>2626</v>
      </c>
      <c r="N445" s="158" t="s">
        <v>2621</v>
      </c>
      <c r="O445" s="159" t="s">
        <v>2790</v>
      </c>
      <c r="P445" s="159" t="s">
        <v>2790</v>
      </c>
      <c r="Q445" s="159" t="s">
        <v>2844</v>
      </c>
      <c r="R445" s="159" t="s">
        <v>2863</v>
      </c>
      <c r="S445" s="159"/>
      <c r="T445" s="159"/>
      <c r="U445" s="158"/>
      <c r="V445" s="158"/>
      <c r="W445" s="159"/>
      <c r="X445" s="159"/>
      <c r="Y445" s="159"/>
      <c r="Z445" s="159"/>
      <c r="AA445" s="159"/>
      <c r="AB445" s="167"/>
      <c r="AC445" s="159" t="s">
        <v>129</v>
      </c>
      <c r="AD445" s="158"/>
      <c r="AE445" s="159"/>
      <c r="AF445" s="159"/>
      <c r="AG445" s="159"/>
      <c r="AH445" s="159"/>
      <c r="AI445" s="159"/>
      <c r="AJ445" s="159"/>
      <c r="AK445" s="159" t="s">
        <v>2600</v>
      </c>
      <c r="AL445" s="159"/>
      <c r="AM445" s="159"/>
      <c r="AN445" s="159" t="s">
        <v>786</v>
      </c>
      <c r="AO445" s="172" t="s">
        <v>115</v>
      </c>
      <c r="AP445" s="172"/>
      <c r="AQ445" s="172"/>
      <c r="AR445" s="178" t="s">
        <v>2618</v>
      </c>
      <c r="AS445" s="178" t="s">
        <v>2618</v>
      </c>
      <c r="BD445" s="185" t="s">
        <v>1442</v>
      </c>
      <c r="BE445" s="156" t="s">
        <v>2476</v>
      </c>
      <c r="BF445" s="159" t="s">
        <v>1482</v>
      </c>
      <c r="BG445" s="159" t="s">
        <v>129</v>
      </c>
      <c r="BH445" s="159" t="s">
        <v>72</v>
      </c>
      <c r="BI445" s="159" t="s">
        <v>41</v>
      </c>
      <c r="BJ445" s="156">
        <v>1</v>
      </c>
      <c r="BL445" s="156"/>
    </row>
    <row r="446" spans="1:70">
      <c r="A446" s="184" t="str">
        <f t="shared" si="6"/>
        <v>40001442</v>
      </c>
      <c r="B446" s="158" t="s">
        <v>1926</v>
      </c>
      <c r="C446" s="158" t="s">
        <v>3292</v>
      </c>
      <c r="D446" s="159" t="s">
        <v>1925</v>
      </c>
      <c r="E446" s="159"/>
      <c r="F446" s="158" t="s">
        <v>1927</v>
      </c>
      <c r="G446" s="167">
        <v>38322</v>
      </c>
      <c r="H446" s="167"/>
      <c r="I446" s="159" t="s">
        <v>2569</v>
      </c>
      <c r="J446" s="159" t="s">
        <v>2619</v>
      </c>
      <c r="K446" s="159" t="s">
        <v>165</v>
      </c>
      <c r="L446" s="159" t="s">
        <v>100</v>
      </c>
      <c r="M446" s="158" t="s">
        <v>2627</v>
      </c>
      <c r="N446" s="158" t="s">
        <v>2622</v>
      </c>
      <c r="O446" s="159" t="s">
        <v>2659</v>
      </c>
      <c r="P446" s="159" t="s">
        <v>2659</v>
      </c>
      <c r="Q446" s="159" t="s">
        <v>2840</v>
      </c>
      <c r="R446" s="159" t="s">
        <v>2863</v>
      </c>
      <c r="S446" s="159"/>
      <c r="T446" s="159"/>
      <c r="U446" s="158"/>
      <c r="V446" s="158"/>
      <c r="W446" s="159"/>
      <c r="X446" s="159"/>
      <c r="Y446" s="159"/>
      <c r="Z446" s="159"/>
      <c r="AA446" s="159"/>
      <c r="AB446" s="167"/>
      <c r="AC446" s="159" t="s">
        <v>129</v>
      </c>
      <c r="AD446" s="158"/>
      <c r="AE446" s="159"/>
      <c r="AF446" s="159"/>
      <c r="AG446" s="159"/>
      <c r="AH446" s="159"/>
      <c r="AI446" s="159"/>
      <c r="AJ446" s="159"/>
      <c r="AK446" s="159" t="s">
        <v>2600</v>
      </c>
      <c r="AL446" s="159"/>
      <c r="AM446" s="159"/>
      <c r="AN446" s="159" t="s">
        <v>786</v>
      </c>
      <c r="AO446" s="172" t="s">
        <v>115</v>
      </c>
      <c r="AP446" s="172"/>
      <c r="AQ446" s="172"/>
      <c r="AR446" s="178" t="s">
        <v>2618</v>
      </c>
      <c r="AS446" s="178" t="s">
        <v>2618</v>
      </c>
      <c r="BD446" s="185" t="s">
        <v>1442</v>
      </c>
      <c r="BE446" s="156" t="s">
        <v>1526</v>
      </c>
      <c r="BF446" s="159" t="s">
        <v>1508</v>
      </c>
      <c r="BG446" s="159" t="s">
        <v>129</v>
      </c>
      <c r="BH446" s="159" t="s">
        <v>46</v>
      </c>
      <c r="BI446" s="159" t="s">
        <v>41</v>
      </c>
      <c r="BJ446" s="156">
        <v>1</v>
      </c>
      <c r="BL446" s="156"/>
    </row>
    <row r="447" spans="1:70" s="186" customFormat="1">
      <c r="A447" s="184" t="str">
        <f t="shared" si="6"/>
        <v>40001443</v>
      </c>
      <c r="B447" s="158"/>
      <c r="C447" s="158" t="s">
        <v>3293</v>
      </c>
      <c r="D447" s="159" t="s">
        <v>1938</v>
      </c>
      <c r="E447" s="159"/>
      <c r="F447" s="158"/>
      <c r="G447" s="167"/>
      <c r="H447" s="167"/>
      <c r="I447" s="159" t="s">
        <v>2569</v>
      </c>
      <c r="J447" s="159" t="s">
        <v>2619</v>
      </c>
      <c r="K447" s="159"/>
      <c r="L447" s="159"/>
      <c r="M447" s="158"/>
      <c r="N447" s="158"/>
      <c r="O447" s="159"/>
      <c r="P447" s="159"/>
      <c r="Q447" s="159" t="s">
        <v>2840</v>
      </c>
      <c r="R447" s="159" t="s">
        <v>2863</v>
      </c>
      <c r="S447" s="159"/>
      <c r="T447" s="159"/>
      <c r="U447" s="158"/>
      <c r="V447" s="158"/>
      <c r="W447" s="159"/>
      <c r="X447" s="159"/>
      <c r="Y447" s="159"/>
      <c r="Z447" s="159"/>
      <c r="AA447" s="159"/>
      <c r="AB447" s="167"/>
      <c r="AC447" s="159" t="s">
        <v>129</v>
      </c>
      <c r="AD447" s="158"/>
      <c r="AE447" s="159"/>
      <c r="AF447" s="159"/>
      <c r="AG447" s="159"/>
      <c r="AH447" s="159"/>
      <c r="AI447" s="159"/>
      <c r="AJ447" s="159"/>
      <c r="AK447" s="159" t="s">
        <v>2600</v>
      </c>
      <c r="AL447" s="159"/>
      <c r="AM447" s="159"/>
      <c r="AN447" s="159" t="s">
        <v>786</v>
      </c>
      <c r="AO447" s="185" t="s">
        <v>115</v>
      </c>
      <c r="AP447" s="172"/>
      <c r="AQ447" s="172"/>
      <c r="AR447" s="178" t="s">
        <v>2618</v>
      </c>
      <c r="AS447" s="178" t="s">
        <v>2618</v>
      </c>
      <c r="AT447" s="178"/>
      <c r="AU447" s="159"/>
      <c r="AV447" s="159"/>
      <c r="AW447" s="159"/>
      <c r="AX447" s="159"/>
      <c r="AY447" s="159"/>
      <c r="AZ447" s="159"/>
      <c r="BA447" s="159"/>
      <c r="BB447" s="159"/>
      <c r="BC447" s="159"/>
      <c r="BD447" s="185" t="s">
        <v>1442</v>
      </c>
      <c r="BE447" s="156" t="s">
        <v>1920</v>
      </c>
      <c r="BF447" s="159" t="s">
        <v>1482</v>
      </c>
      <c r="BG447" s="159" t="s">
        <v>129</v>
      </c>
      <c r="BH447" s="159"/>
      <c r="BI447" s="159" t="s">
        <v>41</v>
      </c>
      <c r="BJ447" s="156">
        <v>1</v>
      </c>
      <c r="BL447" s="156"/>
      <c r="BM447" s="163"/>
      <c r="BN447" s="163"/>
      <c r="BO447" s="163"/>
      <c r="BP447" s="155"/>
      <c r="BQ447" s="155"/>
      <c r="BR447" s="155"/>
    </row>
    <row r="448" spans="1:70" s="186" customFormat="1">
      <c r="A448" s="184" t="str">
        <f t="shared" si="6"/>
        <v>40001444</v>
      </c>
      <c r="B448" s="158"/>
      <c r="C448" s="158" t="s">
        <v>3294</v>
      </c>
      <c r="D448" s="159" t="s">
        <v>2257</v>
      </c>
      <c r="E448" s="159"/>
      <c r="F448" s="158"/>
      <c r="G448" s="167"/>
      <c r="H448" s="167"/>
      <c r="I448" s="159" t="s">
        <v>2569</v>
      </c>
      <c r="J448" s="159" t="s">
        <v>2619</v>
      </c>
      <c r="K448" s="159"/>
      <c r="L448" s="159"/>
      <c r="M448" s="158"/>
      <c r="N448" s="158"/>
      <c r="O448" s="159"/>
      <c r="P448" s="159"/>
      <c r="Q448" s="159" t="s">
        <v>2840</v>
      </c>
      <c r="R448" s="159" t="s">
        <v>2863</v>
      </c>
      <c r="S448" s="159"/>
      <c r="T448" s="159"/>
      <c r="U448" s="158"/>
      <c r="V448" s="158"/>
      <c r="W448" s="159"/>
      <c r="X448" s="159"/>
      <c r="Y448" s="159"/>
      <c r="Z448" s="159"/>
      <c r="AA448" s="159"/>
      <c r="AB448" s="167"/>
      <c r="AC448" s="159" t="s">
        <v>129</v>
      </c>
      <c r="AD448" s="158"/>
      <c r="AE448" s="159"/>
      <c r="AF448" s="159"/>
      <c r="AG448" s="159"/>
      <c r="AH448" s="159"/>
      <c r="AI448" s="159"/>
      <c r="AJ448" s="159"/>
      <c r="AK448" s="159" t="s">
        <v>2600</v>
      </c>
      <c r="AL448" s="159"/>
      <c r="AM448" s="159"/>
      <c r="AN448" s="159" t="s">
        <v>29</v>
      </c>
      <c r="AO448" s="185" t="s">
        <v>115</v>
      </c>
      <c r="AP448" s="172"/>
      <c r="AQ448" s="172"/>
      <c r="AR448" s="178" t="s">
        <v>2618</v>
      </c>
      <c r="AS448" s="178" t="s">
        <v>2618</v>
      </c>
      <c r="AT448" s="178"/>
      <c r="AU448" s="159"/>
      <c r="AV448" s="159"/>
      <c r="AW448" s="159"/>
      <c r="AX448" s="159"/>
      <c r="AY448" s="159"/>
      <c r="AZ448" s="159"/>
      <c r="BA448" s="159"/>
      <c r="BB448" s="159"/>
      <c r="BC448" s="159"/>
      <c r="BD448" s="185"/>
      <c r="BE448" s="185" t="s">
        <v>128</v>
      </c>
      <c r="BF448" s="159"/>
      <c r="BG448" s="159" t="s">
        <v>129</v>
      </c>
      <c r="BH448" s="159"/>
      <c r="BI448" s="159" t="s">
        <v>41</v>
      </c>
      <c r="BJ448" s="156">
        <v>1</v>
      </c>
      <c r="BL448" s="156"/>
      <c r="BM448" s="162"/>
      <c r="BN448" s="162"/>
      <c r="BO448" s="162"/>
      <c r="BP448" s="162"/>
      <c r="BQ448" s="162"/>
      <c r="BR448" s="162"/>
    </row>
    <row r="449" spans="1:70">
      <c r="A449" s="184" t="str">
        <f t="shared" si="6"/>
        <v>40001445</v>
      </c>
      <c r="B449" s="158"/>
      <c r="C449" s="158" t="s">
        <v>3295</v>
      </c>
      <c r="D449" s="159" t="s">
        <v>1980</v>
      </c>
      <c r="E449" s="159"/>
      <c r="F449" s="158"/>
      <c r="G449" s="167"/>
      <c r="H449" s="167"/>
      <c r="I449" s="159" t="s">
        <v>2569</v>
      </c>
      <c r="J449" s="159" t="s">
        <v>2619</v>
      </c>
      <c r="K449" s="159"/>
      <c r="L449" s="159"/>
      <c r="M449" s="158"/>
      <c r="N449" s="158"/>
      <c r="O449" s="159"/>
      <c r="P449" s="159"/>
      <c r="Q449" s="159" t="s">
        <v>2840</v>
      </c>
      <c r="R449" s="159" t="s">
        <v>2863</v>
      </c>
      <c r="S449" s="159"/>
      <c r="T449" s="159"/>
      <c r="U449" s="158"/>
      <c r="V449" s="158"/>
      <c r="W449" s="159"/>
      <c r="X449" s="159"/>
      <c r="Y449" s="159"/>
      <c r="Z449" s="159"/>
      <c r="AA449" s="159"/>
      <c r="AB449" s="167"/>
      <c r="AC449" s="159" t="s">
        <v>129</v>
      </c>
      <c r="AD449" s="158"/>
      <c r="AE449" s="159"/>
      <c r="AF449" s="159"/>
      <c r="AG449" s="159"/>
      <c r="AH449" s="159"/>
      <c r="AI449" s="159"/>
      <c r="AJ449" s="159"/>
      <c r="AK449" s="159" t="s">
        <v>2600</v>
      </c>
      <c r="AL449" s="159"/>
      <c r="AM449" s="159"/>
      <c r="AN449" s="159" t="s">
        <v>786</v>
      </c>
      <c r="AO449" s="185" t="s">
        <v>115</v>
      </c>
      <c r="AP449" s="172"/>
      <c r="AQ449" s="172"/>
      <c r="AR449" s="178" t="s">
        <v>2618</v>
      </c>
      <c r="AS449" s="178" t="s">
        <v>2618</v>
      </c>
      <c r="BD449" s="185" t="s">
        <v>1442</v>
      </c>
      <c r="BE449" s="156" t="s">
        <v>1920</v>
      </c>
      <c r="BF449" s="159" t="s">
        <v>1508</v>
      </c>
      <c r="BG449" s="159" t="s">
        <v>129</v>
      </c>
      <c r="BH449" s="159"/>
      <c r="BI449" s="159" t="s">
        <v>41</v>
      </c>
      <c r="BJ449" s="156">
        <v>1</v>
      </c>
      <c r="BL449" s="156"/>
    </row>
    <row r="450" spans="1:70" s="212" customFormat="1">
      <c r="A450" s="184" t="str">
        <f t="shared" si="6"/>
        <v>40001446</v>
      </c>
      <c r="B450" s="158" t="s">
        <v>1988</v>
      </c>
      <c r="C450" s="158" t="s">
        <v>3296</v>
      </c>
      <c r="D450" s="159" t="s">
        <v>1986</v>
      </c>
      <c r="E450" s="159"/>
      <c r="F450" s="158" t="s">
        <v>1989</v>
      </c>
      <c r="G450" s="167">
        <v>37729</v>
      </c>
      <c r="H450" s="167"/>
      <c r="I450" s="159" t="s">
        <v>2569</v>
      </c>
      <c r="J450" s="159" t="s">
        <v>2619</v>
      </c>
      <c r="K450" s="159" t="s">
        <v>165</v>
      </c>
      <c r="L450" s="159" t="s">
        <v>1153</v>
      </c>
      <c r="M450" s="158" t="s">
        <v>2622</v>
      </c>
      <c r="N450" s="158" t="s">
        <v>2622</v>
      </c>
      <c r="O450" s="159" t="s">
        <v>2659</v>
      </c>
      <c r="P450" s="159" t="s">
        <v>2659</v>
      </c>
      <c r="Q450" s="159" t="s">
        <v>2840</v>
      </c>
      <c r="R450" s="159" t="s">
        <v>2863</v>
      </c>
      <c r="S450" s="159"/>
      <c r="T450" s="159"/>
      <c r="U450" s="158"/>
      <c r="V450" s="158"/>
      <c r="W450" s="159"/>
      <c r="X450" s="159"/>
      <c r="Y450" s="159"/>
      <c r="Z450" s="159"/>
      <c r="AA450" s="159"/>
      <c r="AB450" s="167"/>
      <c r="AC450" s="159" t="s">
        <v>129</v>
      </c>
      <c r="AD450" s="158"/>
      <c r="AE450" s="159"/>
      <c r="AF450" s="159"/>
      <c r="AG450" s="159"/>
      <c r="AH450" s="159"/>
      <c r="AI450" s="159"/>
      <c r="AJ450" s="159"/>
      <c r="AK450" s="159" t="s">
        <v>2600</v>
      </c>
      <c r="AL450" s="159"/>
      <c r="AM450" s="159"/>
      <c r="AN450" s="159" t="s">
        <v>786</v>
      </c>
      <c r="AO450" s="185" t="s">
        <v>115</v>
      </c>
      <c r="AP450" s="172"/>
      <c r="AQ450" s="172"/>
      <c r="AR450" s="178" t="s">
        <v>2618</v>
      </c>
      <c r="AS450" s="178" t="s">
        <v>2618</v>
      </c>
      <c r="AT450" s="178"/>
      <c r="AU450" s="159"/>
      <c r="AV450" s="159"/>
      <c r="AW450" s="159"/>
      <c r="AX450" s="159"/>
      <c r="AY450" s="159"/>
      <c r="AZ450" s="159"/>
      <c r="BA450" s="159"/>
      <c r="BB450" s="159"/>
      <c r="BC450" s="159"/>
      <c r="BD450" s="185" t="s">
        <v>1442</v>
      </c>
      <c r="BE450" s="156" t="s">
        <v>1920</v>
      </c>
      <c r="BF450" s="159" t="s">
        <v>1539</v>
      </c>
      <c r="BG450" s="159" t="s">
        <v>129</v>
      </c>
      <c r="BH450" s="159" t="s">
        <v>46</v>
      </c>
      <c r="BI450" s="159" t="s">
        <v>41</v>
      </c>
      <c r="BJ450" s="156">
        <v>1</v>
      </c>
      <c r="BL450" s="156"/>
      <c r="BM450" s="162"/>
      <c r="BN450" s="162"/>
      <c r="BO450" s="162"/>
      <c r="BP450" s="162"/>
      <c r="BQ450" s="162"/>
      <c r="BR450" s="162"/>
    </row>
    <row r="451" spans="1:70">
      <c r="A451" s="184" t="str">
        <f t="shared" si="6"/>
        <v>40001447</v>
      </c>
      <c r="B451" s="158" t="s">
        <v>1995</v>
      </c>
      <c r="C451" s="158" t="s">
        <v>3297</v>
      </c>
      <c r="D451" s="159" t="s">
        <v>1994</v>
      </c>
      <c r="E451" s="159"/>
      <c r="F451" s="158" t="s">
        <v>1996</v>
      </c>
      <c r="G451" s="167">
        <v>35981</v>
      </c>
      <c r="H451" s="167"/>
      <c r="I451" s="159" t="s">
        <v>2569</v>
      </c>
      <c r="J451" s="159" t="s">
        <v>2619</v>
      </c>
      <c r="K451" s="159" t="s">
        <v>165</v>
      </c>
      <c r="L451" s="159" t="s">
        <v>284</v>
      </c>
      <c r="M451" s="158" t="s">
        <v>2626</v>
      </c>
      <c r="N451" s="158" t="s">
        <v>2621</v>
      </c>
      <c r="O451" s="159" t="s">
        <v>2657</v>
      </c>
      <c r="P451" s="159" t="s">
        <v>2662</v>
      </c>
      <c r="Q451" s="159" t="s">
        <v>2840</v>
      </c>
      <c r="R451" s="159" t="s">
        <v>2863</v>
      </c>
      <c r="S451" s="159"/>
      <c r="T451" s="159"/>
      <c r="U451" s="158"/>
      <c r="V451" s="158"/>
      <c r="W451" s="159"/>
      <c r="X451" s="159"/>
      <c r="Y451" s="159"/>
      <c r="Z451" s="159"/>
      <c r="AA451" s="159"/>
      <c r="AB451" s="167"/>
      <c r="AC451" s="159" t="s">
        <v>129</v>
      </c>
      <c r="AD451" s="158"/>
      <c r="AE451" s="159"/>
      <c r="AF451" s="159"/>
      <c r="AG451" s="159"/>
      <c r="AH451" s="159"/>
      <c r="AI451" s="159"/>
      <c r="AJ451" s="159"/>
      <c r="AK451" s="159" t="s">
        <v>2600</v>
      </c>
      <c r="AL451" s="159"/>
      <c r="AM451" s="159"/>
      <c r="AN451" s="159" t="s">
        <v>786</v>
      </c>
      <c r="AO451" s="185" t="s">
        <v>115</v>
      </c>
      <c r="AP451" s="172"/>
      <c r="AQ451" s="172"/>
      <c r="AR451" s="178" t="s">
        <v>2618</v>
      </c>
      <c r="AS451" s="178" t="s">
        <v>2618</v>
      </c>
      <c r="BD451" s="185" t="s">
        <v>1442</v>
      </c>
      <c r="BE451" s="156" t="s">
        <v>2467</v>
      </c>
      <c r="BF451" s="159" t="s">
        <v>1482</v>
      </c>
      <c r="BG451" s="159" t="s">
        <v>129</v>
      </c>
      <c r="BH451" s="159" t="s">
        <v>46</v>
      </c>
      <c r="BI451" s="159" t="s">
        <v>41</v>
      </c>
      <c r="BJ451" s="156">
        <v>1</v>
      </c>
      <c r="BL451" s="156"/>
    </row>
    <row r="452" spans="1:70">
      <c r="A452" s="184" t="str">
        <f t="shared" si="6"/>
        <v>40001448</v>
      </c>
      <c r="B452" s="158"/>
      <c r="C452" s="158" t="s">
        <v>3298</v>
      </c>
      <c r="D452" s="159" t="s">
        <v>2010</v>
      </c>
      <c r="E452" s="159"/>
      <c r="F452" s="158"/>
      <c r="G452" s="167"/>
      <c r="H452" s="167"/>
      <c r="I452" s="159" t="s">
        <v>2569</v>
      </c>
      <c r="J452" s="159" t="s">
        <v>2619</v>
      </c>
      <c r="K452" s="159"/>
      <c r="L452" s="159"/>
      <c r="M452" s="158"/>
      <c r="N452" s="158"/>
      <c r="O452" s="159"/>
      <c r="P452" s="159"/>
      <c r="Q452" s="159" t="s">
        <v>2840</v>
      </c>
      <c r="R452" s="159" t="s">
        <v>2863</v>
      </c>
      <c r="S452" s="159"/>
      <c r="T452" s="159"/>
      <c r="U452" s="158"/>
      <c r="V452" s="158"/>
      <c r="W452" s="159"/>
      <c r="X452" s="159"/>
      <c r="Y452" s="159"/>
      <c r="Z452" s="159"/>
      <c r="AA452" s="159"/>
      <c r="AB452" s="167"/>
      <c r="AC452" s="159" t="s">
        <v>129</v>
      </c>
      <c r="AD452" s="158"/>
      <c r="AE452" s="159"/>
      <c r="AF452" s="159"/>
      <c r="AG452" s="159"/>
      <c r="AH452" s="159"/>
      <c r="AI452" s="159"/>
      <c r="AJ452" s="159"/>
      <c r="AK452" s="159" t="s">
        <v>2600</v>
      </c>
      <c r="AL452" s="159"/>
      <c r="AM452" s="159"/>
      <c r="AN452" s="159" t="s">
        <v>786</v>
      </c>
      <c r="AO452" s="185" t="s">
        <v>115</v>
      </c>
      <c r="AP452" s="172"/>
      <c r="AQ452" s="172"/>
      <c r="AR452" s="178" t="s">
        <v>2618</v>
      </c>
      <c r="AS452" s="178" t="s">
        <v>2618</v>
      </c>
      <c r="BD452" s="185" t="s">
        <v>1442</v>
      </c>
      <c r="BE452" s="156" t="s">
        <v>1920</v>
      </c>
      <c r="BF452" s="159" t="s">
        <v>1539</v>
      </c>
      <c r="BG452" s="159" t="s">
        <v>129</v>
      </c>
      <c r="BH452" s="159"/>
      <c r="BI452" s="159" t="s">
        <v>41</v>
      </c>
      <c r="BJ452" s="156">
        <v>1</v>
      </c>
      <c r="BL452" s="156"/>
    </row>
    <row r="453" spans="1:70">
      <c r="A453" s="184" t="str">
        <f t="shared" si="6"/>
        <v>40001449</v>
      </c>
      <c r="B453" s="158"/>
      <c r="C453" s="158" t="s">
        <v>3299</v>
      </c>
      <c r="D453" s="159" t="s">
        <v>2041</v>
      </c>
      <c r="E453" s="159"/>
      <c r="F453" s="158"/>
      <c r="G453" s="167"/>
      <c r="H453" s="167"/>
      <c r="I453" s="159" t="s">
        <v>2570</v>
      </c>
      <c r="J453" s="159" t="s">
        <v>2619</v>
      </c>
      <c r="K453" s="159"/>
      <c r="L453" s="159"/>
      <c r="M453" s="158"/>
      <c r="N453" s="158"/>
      <c r="O453" s="159"/>
      <c r="P453" s="159"/>
      <c r="Q453" s="159" t="s">
        <v>2840</v>
      </c>
      <c r="R453" s="159" t="s">
        <v>2863</v>
      </c>
      <c r="S453" s="159"/>
      <c r="T453" s="159"/>
      <c r="U453" s="158"/>
      <c r="V453" s="158"/>
      <c r="W453" s="159"/>
      <c r="X453" s="159"/>
      <c r="Y453" s="159"/>
      <c r="Z453" s="159"/>
      <c r="AA453" s="159"/>
      <c r="AB453" s="167"/>
      <c r="AC453" s="159" t="s">
        <v>129</v>
      </c>
      <c r="AD453" s="158"/>
      <c r="AE453" s="159"/>
      <c r="AF453" s="159"/>
      <c r="AG453" s="159"/>
      <c r="AH453" s="159"/>
      <c r="AI453" s="159"/>
      <c r="AJ453" s="159"/>
      <c r="AK453" s="159" t="s">
        <v>2600</v>
      </c>
      <c r="AL453" s="159"/>
      <c r="AM453" s="159"/>
      <c r="AN453" s="159" t="s">
        <v>786</v>
      </c>
      <c r="AO453" s="172" t="s">
        <v>115</v>
      </c>
      <c r="AP453" s="172"/>
      <c r="AQ453" s="172"/>
      <c r="AR453" s="178" t="s">
        <v>2618</v>
      </c>
      <c r="AS453" s="178" t="s">
        <v>2618</v>
      </c>
      <c r="BD453" s="185" t="s">
        <v>1442</v>
      </c>
      <c r="BE453" s="156" t="s">
        <v>2304</v>
      </c>
      <c r="BF453" s="159" t="s">
        <v>1508</v>
      </c>
      <c r="BG453" s="159" t="s">
        <v>129</v>
      </c>
      <c r="BH453" s="159"/>
      <c r="BI453" s="159" t="s">
        <v>41</v>
      </c>
      <c r="BJ453" s="156">
        <v>1</v>
      </c>
      <c r="BL453" s="156"/>
      <c r="BM453" s="190"/>
      <c r="BN453" s="190"/>
      <c r="BO453" s="190"/>
      <c r="BP453" s="190"/>
      <c r="BQ453" s="190"/>
      <c r="BR453" s="190"/>
    </row>
    <row r="454" spans="1:70">
      <c r="A454" s="184" t="str">
        <f t="shared" ref="A454:A517" si="7">IF(AC454="Tetap","1",IF(AC454="Kontrak","2",IF(AC454="Harian Lepas","3",IF(AC454="Borongan","4"))))&amp;TEXT(AB454,"YY")&amp;TEXT(AB454,"MM")&amp;TEXT(C454,"00")</f>
        <v>40001450</v>
      </c>
      <c r="B454" s="158"/>
      <c r="C454" s="158" t="s">
        <v>3300</v>
      </c>
      <c r="D454" s="159" t="s">
        <v>2042</v>
      </c>
      <c r="E454" s="159"/>
      <c r="F454" s="158"/>
      <c r="G454" s="167"/>
      <c r="H454" s="167"/>
      <c r="I454" s="159" t="s">
        <v>2570</v>
      </c>
      <c r="J454" s="159" t="s">
        <v>2619</v>
      </c>
      <c r="K454" s="159"/>
      <c r="L454" s="159"/>
      <c r="M454" s="158"/>
      <c r="N454" s="158"/>
      <c r="O454" s="159"/>
      <c r="P454" s="159"/>
      <c r="Q454" s="159" t="s">
        <v>2840</v>
      </c>
      <c r="R454" s="159" t="s">
        <v>2863</v>
      </c>
      <c r="S454" s="159"/>
      <c r="T454" s="159"/>
      <c r="U454" s="158"/>
      <c r="V454" s="158"/>
      <c r="W454" s="159"/>
      <c r="X454" s="159"/>
      <c r="Y454" s="159"/>
      <c r="Z454" s="159"/>
      <c r="AA454" s="159"/>
      <c r="AB454" s="167"/>
      <c r="AC454" s="159" t="s">
        <v>129</v>
      </c>
      <c r="AD454" s="158"/>
      <c r="AE454" s="159"/>
      <c r="AF454" s="159"/>
      <c r="AG454" s="159"/>
      <c r="AH454" s="159"/>
      <c r="AI454" s="159"/>
      <c r="AJ454" s="159"/>
      <c r="AK454" s="159" t="s">
        <v>2600</v>
      </c>
      <c r="AL454" s="159"/>
      <c r="AM454" s="159"/>
      <c r="AN454" s="159" t="s">
        <v>786</v>
      </c>
      <c r="AO454" s="172" t="s">
        <v>115</v>
      </c>
      <c r="AP454" s="172"/>
      <c r="AQ454" s="172"/>
      <c r="AR454" s="178" t="s">
        <v>2618</v>
      </c>
      <c r="AS454" s="178" t="s">
        <v>2618</v>
      </c>
      <c r="BD454" s="185" t="s">
        <v>1442</v>
      </c>
      <c r="BE454" s="156" t="s">
        <v>2304</v>
      </c>
      <c r="BF454" s="159" t="s">
        <v>1539</v>
      </c>
      <c r="BG454" s="159" t="s">
        <v>129</v>
      </c>
      <c r="BH454" s="159"/>
      <c r="BI454" s="159" t="s">
        <v>41</v>
      </c>
      <c r="BJ454" s="156">
        <v>1</v>
      </c>
      <c r="BL454" s="156"/>
      <c r="BM454" s="156"/>
      <c r="BN454" s="156"/>
      <c r="BO454" s="156"/>
      <c r="BP454" s="156"/>
      <c r="BQ454" s="156"/>
      <c r="BR454" s="156"/>
    </row>
    <row r="455" spans="1:70">
      <c r="A455" s="184" t="str">
        <f t="shared" si="7"/>
        <v>20001451</v>
      </c>
      <c r="B455" s="158"/>
      <c r="C455" s="158" t="s">
        <v>3301</v>
      </c>
      <c r="D455" s="159" t="s">
        <v>2262</v>
      </c>
      <c r="E455" s="159"/>
      <c r="F455" s="158"/>
      <c r="G455" s="167"/>
      <c r="H455" s="167"/>
      <c r="I455" s="159" t="s">
        <v>2569</v>
      </c>
      <c r="J455" s="159" t="s">
        <v>2619</v>
      </c>
      <c r="K455" s="159"/>
      <c r="L455" s="159"/>
      <c r="M455" s="158"/>
      <c r="N455" s="158"/>
      <c r="O455" s="159"/>
      <c r="P455" s="159"/>
      <c r="Q455" s="159" t="s">
        <v>2840</v>
      </c>
      <c r="R455" s="159" t="s">
        <v>2863</v>
      </c>
      <c r="S455" s="159"/>
      <c r="T455" s="159"/>
      <c r="U455" s="158"/>
      <c r="V455" s="158"/>
      <c r="W455" s="159"/>
      <c r="X455" s="159"/>
      <c r="Y455" s="159"/>
      <c r="Z455" s="159"/>
      <c r="AA455" s="159"/>
      <c r="AB455" s="167"/>
      <c r="AC455" s="159" t="s">
        <v>45</v>
      </c>
      <c r="AD455" s="158"/>
      <c r="AE455" s="159"/>
      <c r="AF455" s="159"/>
      <c r="AG455" s="159"/>
      <c r="AH455" s="159"/>
      <c r="AI455" s="159"/>
      <c r="AJ455" s="159"/>
      <c r="AK455" s="159" t="s">
        <v>2600</v>
      </c>
      <c r="AL455" s="159"/>
      <c r="AM455" s="159"/>
      <c r="AN455" s="159" t="s">
        <v>392</v>
      </c>
      <c r="AO455" s="172" t="s">
        <v>78</v>
      </c>
      <c r="AP455" s="172"/>
      <c r="AQ455" s="172"/>
      <c r="AR455" s="178" t="s">
        <v>2618</v>
      </c>
      <c r="AS455" s="178" t="s">
        <v>2618</v>
      </c>
      <c r="BD455" s="159"/>
      <c r="BF455" s="159"/>
      <c r="BG455" s="159" t="s">
        <v>45</v>
      </c>
      <c r="BH455" s="159"/>
      <c r="BI455" s="159" t="s">
        <v>41</v>
      </c>
      <c r="BJ455" s="156">
        <v>1</v>
      </c>
      <c r="BL455" s="156"/>
      <c r="BM455" s="190"/>
      <c r="BN455" s="190"/>
      <c r="BO455" s="190"/>
      <c r="BP455" s="190"/>
      <c r="BQ455" s="190"/>
      <c r="BR455" s="190"/>
    </row>
    <row r="456" spans="1:70">
      <c r="A456" s="184" t="str">
        <f t="shared" si="7"/>
        <v>20001452</v>
      </c>
      <c r="B456" s="158"/>
      <c r="C456" s="158" t="s">
        <v>3302</v>
      </c>
      <c r="D456" s="159" t="s">
        <v>2263</v>
      </c>
      <c r="E456" s="159"/>
      <c r="F456" s="158"/>
      <c r="G456" s="167"/>
      <c r="H456" s="167"/>
      <c r="I456" s="159" t="s">
        <v>2569</v>
      </c>
      <c r="J456" s="159" t="s">
        <v>2619</v>
      </c>
      <c r="K456" s="159"/>
      <c r="L456" s="159"/>
      <c r="M456" s="158"/>
      <c r="N456" s="158"/>
      <c r="O456" s="159"/>
      <c r="P456" s="159"/>
      <c r="Q456" s="159" t="s">
        <v>2840</v>
      </c>
      <c r="R456" s="159" t="s">
        <v>2863</v>
      </c>
      <c r="S456" s="159"/>
      <c r="T456" s="159"/>
      <c r="U456" s="158"/>
      <c r="V456" s="158"/>
      <c r="W456" s="159"/>
      <c r="X456" s="159"/>
      <c r="Y456" s="159"/>
      <c r="Z456" s="159"/>
      <c r="AA456" s="159"/>
      <c r="AB456" s="167"/>
      <c r="AC456" s="159" t="s">
        <v>45</v>
      </c>
      <c r="AD456" s="158"/>
      <c r="AE456" s="159"/>
      <c r="AF456" s="159"/>
      <c r="AG456" s="159"/>
      <c r="AH456" s="159"/>
      <c r="AI456" s="159"/>
      <c r="AJ456" s="159"/>
      <c r="AK456" s="159" t="s">
        <v>2600</v>
      </c>
      <c r="AL456" s="159"/>
      <c r="AM456" s="159"/>
      <c r="AN456" s="159" t="s">
        <v>392</v>
      </c>
      <c r="AO456" s="172" t="s">
        <v>78</v>
      </c>
      <c r="AP456" s="172"/>
      <c r="AQ456" s="172"/>
      <c r="AR456" s="178" t="s">
        <v>2618</v>
      </c>
      <c r="AS456" s="178" t="s">
        <v>2618</v>
      </c>
      <c r="BD456" s="159"/>
      <c r="BF456" s="159"/>
      <c r="BG456" s="159" t="s">
        <v>45</v>
      </c>
      <c r="BH456" s="159"/>
      <c r="BI456" s="159" t="s">
        <v>41</v>
      </c>
      <c r="BJ456" s="156">
        <v>3</v>
      </c>
      <c r="BL456" s="156"/>
      <c r="BM456" s="156"/>
      <c r="BN456" s="156"/>
      <c r="BO456" s="156"/>
      <c r="BP456" s="156"/>
      <c r="BQ456" s="156"/>
      <c r="BR456" s="156"/>
    </row>
    <row r="457" spans="1:70">
      <c r="A457" s="184" t="str">
        <f t="shared" si="7"/>
        <v>20001453</v>
      </c>
      <c r="B457" s="158"/>
      <c r="C457" s="158" t="s">
        <v>3303</v>
      </c>
      <c r="D457" s="159" t="s">
        <v>2264</v>
      </c>
      <c r="E457" s="159"/>
      <c r="F457" s="158"/>
      <c r="G457" s="167"/>
      <c r="H457" s="167"/>
      <c r="I457" s="159" t="s">
        <v>2569</v>
      </c>
      <c r="J457" s="159" t="s">
        <v>2619</v>
      </c>
      <c r="K457" s="159"/>
      <c r="L457" s="159"/>
      <c r="M457" s="158"/>
      <c r="N457" s="158"/>
      <c r="O457" s="159"/>
      <c r="P457" s="159"/>
      <c r="Q457" s="159" t="s">
        <v>2840</v>
      </c>
      <c r="R457" s="159" t="s">
        <v>2863</v>
      </c>
      <c r="S457" s="159"/>
      <c r="T457" s="159"/>
      <c r="U457" s="158"/>
      <c r="V457" s="158"/>
      <c r="W457" s="159"/>
      <c r="X457" s="159"/>
      <c r="Y457" s="159"/>
      <c r="Z457" s="159"/>
      <c r="AA457" s="159"/>
      <c r="AB457" s="167"/>
      <c r="AC457" s="159" t="s">
        <v>45</v>
      </c>
      <c r="AD457" s="158"/>
      <c r="AE457" s="159"/>
      <c r="AF457" s="159"/>
      <c r="AG457" s="159"/>
      <c r="AH457" s="159"/>
      <c r="AI457" s="159"/>
      <c r="AJ457" s="159"/>
      <c r="AK457" s="159" t="s">
        <v>2600</v>
      </c>
      <c r="AL457" s="159"/>
      <c r="AM457" s="159"/>
      <c r="AN457" s="159" t="s">
        <v>392</v>
      </c>
      <c r="AO457" s="172" t="s">
        <v>78</v>
      </c>
      <c r="AP457" s="172"/>
      <c r="AQ457" s="172"/>
      <c r="AR457" s="178" t="s">
        <v>2618</v>
      </c>
      <c r="AS457" s="178" t="s">
        <v>2618</v>
      </c>
      <c r="BD457" s="159"/>
      <c r="BF457" s="159"/>
      <c r="BG457" s="159" t="s">
        <v>45</v>
      </c>
      <c r="BH457" s="159"/>
      <c r="BI457" s="159" t="s">
        <v>41</v>
      </c>
      <c r="BJ457" s="156">
        <v>3</v>
      </c>
      <c r="BL457" s="156"/>
      <c r="BM457" s="186"/>
      <c r="BN457" s="186"/>
      <c r="BO457" s="186"/>
      <c r="BP457" s="186"/>
      <c r="BQ457" s="186"/>
      <c r="BR457" s="186"/>
    </row>
    <row r="458" spans="1:70">
      <c r="A458" s="184" t="str">
        <f t="shared" si="7"/>
        <v>20001454</v>
      </c>
      <c r="B458" s="158"/>
      <c r="C458" s="158" t="s">
        <v>3304</v>
      </c>
      <c r="D458" s="159" t="s">
        <v>2266</v>
      </c>
      <c r="E458" s="159"/>
      <c r="F458" s="158"/>
      <c r="G458" s="167"/>
      <c r="H458" s="167"/>
      <c r="I458" s="159" t="s">
        <v>2569</v>
      </c>
      <c r="J458" s="159" t="s">
        <v>2619</v>
      </c>
      <c r="K458" s="159"/>
      <c r="L458" s="159"/>
      <c r="M458" s="158"/>
      <c r="N458" s="158"/>
      <c r="O458" s="159"/>
      <c r="P458" s="159"/>
      <c r="Q458" s="159" t="s">
        <v>2840</v>
      </c>
      <c r="R458" s="159" t="s">
        <v>2863</v>
      </c>
      <c r="S458" s="159"/>
      <c r="T458" s="159"/>
      <c r="U458" s="158"/>
      <c r="V458" s="158"/>
      <c r="W458" s="159"/>
      <c r="X458" s="159"/>
      <c r="Y458" s="159"/>
      <c r="Z458" s="159"/>
      <c r="AA458" s="159"/>
      <c r="AB458" s="167"/>
      <c r="AC458" s="159" t="s">
        <v>45</v>
      </c>
      <c r="AD458" s="158"/>
      <c r="AE458" s="159"/>
      <c r="AF458" s="159"/>
      <c r="AG458" s="159"/>
      <c r="AH458" s="159"/>
      <c r="AI458" s="159"/>
      <c r="AJ458" s="159"/>
      <c r="AK458" s="159" t="s">
        <v>2600</v>
      </c>
      <c r="AL458" s="159"/>
      <c r="AM458" s="159"/>
      <c r="AN458" s="159" t="s">
        <v>392</v>
      </c>
      <c r="AO458" s="172" t="s">
        <v>78</v>
      </c>
      <c r="AP458" s="172"/>
      <c r="AQ458" s="172"/>
      <c r="AR458" s="178" t="s">
        <v>2618</v>
      </c>
      <c r="AS458" s="178" t="s">
        <v>2618</v>
      </c>
      <c r="BD458" s="159"/>
      <c r="BF458" s="159"/>
      <c r="BG458" s="159" t="s">
        <v>45</v>
      </c>
      <c r="BH458" s="159"/>
      <c r="BI458" s="159" t="s">
        <v>41</v>
      </c>
      <c r="BJ458" s="156">
        <v>3</v>
      </c>
      <c r="BL458" s="156"/>
      <c r="BM458" s="190"/>
      <c r="BN458" s="190"/>
      <c r="BO458" s="190"/>
      <c r="BP458" s="190"/>
      <c r="BQ458" s="190"/>
      <c r="BR458" s="190"/>
    </row>
    <row r="459" spans="1:70">
      <c r="A459" s="184" t="str">
        <f t="shared" si="7"/>
        <v>20001455</v>
      </c>
      <c r="B459" s="158"/>
      <c r="C459" s="158" t="s">
        <v>3305</v>
      </c>
      <c r="D459" s="159" t="s">
        <v>2267</v>
      </c>
      <c r="E459" s="159"/>
      <c r="F459" s="158"/>
      <c r="G459" s="167"/>
      <c r="H459" s="167"/>
      <c r="I459" s="159" t="s">
        <v>2569</v>
      </c>
      <c r="J459" s="159" t="s">
        <v>2619</v>
      </c>
      <c r="K459" s="159"/>
      <c r="L459" s="159"/>
      <c r="M459" s="158"/>
      <c r="N459" s="158"/>
      <c r="O459" s="159"/>
      <c r="P459" s="159"/>
      <c r="Q459" s="159" t="s">
        <v>2840</v>
      </c>
      <c r="R459" s="159" t="s">
        <v>2863</v>
      </c>
      <c r="S459" s="159"/>
      <c r="T459" s="159"/>
      <c r="U459" s="158"/>
      <c r="V459" s="158"/>
      <c r="W459" s="159"/>
      <c r="X459" s="159"/>
      <c r="Y459" s="159"/>
      <c r="Z459" s="159"/>
      <c r="AA459" s="159"/>
      <c r="AB459" s="167"/>
      <c r="AC459" s="159" t="s">
        <v>45</v>
      </c>
      <c r="AD459" s="158"/>
      <c r="AE459" s="159"/>
      <c r="AF459" s="159"/>
      <c r="AG459" s="159"/>
      <c r="AH459" s="159"/>
      <c r="AI459" s="159"/>
      <c r="AJ459" s="159"/>
      <c r="AK459" s="159" t="s">
        <v>2600</v>
      </c>
      <c r="AL459" s="159"/>
      <c r="AM459" s="159"/>
      <c r="AN459" s="159" t="s">
        <v>392</v>
      </c>
      <c r="AO459" s="172" t="s">
        <v>78</v>
      </c>
      <c r="AP459" s="172"/>
      <c r="AQ459" s="172"/>
      <c r="AR459" s="178" t="s">
        <v>2618</v>
      </c>
      <c r="AS459" s="178" t="s">
        <v>2618</v>
      </c>
      <c r="BD459" s="159"/>
      <c r="BF459" s="159"/>
      <c r="BG459" s="159" t="s">
        <v>45</v>
      </c>
      <c r="BH459" s="159"/>
      <c r="BI459" s="159" t="s">
        <v>41</v>
      </c>
      <c r="BJ459" s="156">
        <v>3</v>
      </c>
      <c r="BL459" s="156"/>
      <c r="BM459" s="156"/>
      <c r="BN459" s="156"/>
      <c r="BO459" s="156"/>
      <c r="BP459" s="156"/>
      <c r="BQ459" s="156"/>
      <c r="BR459" s="156"/>
    </row>
    <row r="460" spans="1:70">
      <c r="A460" s="184" t="str">
        <f t="shared" si="7"/>
        <v>20001456</v>
      </c>
      <c r="B460" s="158"/>
      <c r="C460" s="158" t="s">
        <v>3306</v>
      </c>
      <c r="D460" s="159" t="s">
        <v>2265</v>
      </c>
      <c r="E460" s="159"/>
      <c r="F460" s="158"/>
      <c r="G460" s="167"/>
      <c r="H460" s="167"/>
      <c r="I460" s="159" t="s">
        <v>2569</v>
      </c>
      <c r="J460" s="159" t="s">
        <v>2619</v>
      </c>
      <c r="K460" s="159"/>
      <c r="L460" s="159"/>
      <c r="M460" s="158"/>
      <c r="N460" s="158"/>
      <c r="O460" s="159"/>
      <c r="P460" s="159"/>
      <c r="Q460" s="159" t="s">
        <v>2840</v>
      </c>
      <c r="R460" s="159" t="s">
        <v>2863</v>
      </c>
      <c r="S460" s="159"/>
      <c r="T460" s="159"/>
      <c r="U460" s="158"/>
      <c r="V460" s="158"/>
      <c r="W460" s="159"/>
      <c r="X460" s="159"/>
      <c r="Y460" s="159"/>
      <c r="Z460" s="159"/>
      <c r="AA460" s="159"/>
      <c r="AB460" s="167"/>
      <c r="AC460" s="159" t="s">
        <v>45</v>
      </c>
      <c r="AD460" s="158"/>
      <c r="AE460" s="159"/>
      <c r="AF460" s="159"/>
      <c r="AG460" s="159"/>
      <c r="AH460" s="159"/>
      <c r="AI460" s="159"/>
      <c r="AJ460" s="159"/>
      <c r="AK460" s="159" t="s">
        <v>2600</v>
      </c>
      <c r="AL460" s="159"/>
      <c r="AM460" s="159"/>
      <c r="AN460" s="159" t="s">
        <v>392</v>
      </c>
      <c r="AO460" s="172" t="s">
        <v>78</v>
      </c>
      <c r="AP460" s="172"/>
      <c r="AQ460" s="172"/>
      <c r="AR460" s="178" t="s">
        <v>2618</v>
      </c>
      <c r="AS460" s="178" t="s">
        <v>2618</v>
      </c>
      <c r="BD460" s="159"/>
      <c r="BF460" s="159"/>
      <c r="BG460" s="159" t="s">
        <v>45</v>
      </c>
      <c r="BH460" s="159"/>
      <c r="BI460" s="159" t="s">
        <v>41</v>
      </c>
      <c r="BJ460" s="156">
        <v>3</v>
      </c>
      <c r="BL460" s="156"/>
      <c r="BM460" s="156"/>
      <c r="BN460" s="156"/>
      <c r="BO460" s="156"/>
      <c r="BP460" s="156"/>
      <c r="BQ460" s="156"/>
      <c r="BR460" s="156"/>
    </row>
    <row r="461" spans="1:70">
      <c r="A461" s="184" t="str">
        <f t="shared" si="7"/>
        <v>40001457</v>
      </c>
      <c r="B461" s="158"/>
      <c r="C461" s="158" t="s">
        <v>3307</v>
      </c>
      <c r="D461" s="153" t="s">
        <v>2251</v>
      </c>
      <c r="E461" s="153"/>
      <c r="F461" s="158"/>
      <c r="G461" s="167"/>
      <c r="H461" s="167"/>
      <c r="I461" s="159" t="s">
        <v>2569</v>
      </c>
      <c r="J461" s="159" t="s">
        <v>2619</v>
      </c>
      <c r="K461" s="159"/>
      <c r="L461" s="159"/>
      <c r="M461" s="158"/>
      <c r="N461" s="158"/>
      <c r="O461" s="159"/>
      <c r="P461" s="159"/>
      <c r="Q461" s="159" t="s">
        <v>2840</v>
      </c>
      <c r="R461" s="159" t="s">
        <v>2863</v>
      </c>
      <c r="S461" s="159"/>
      <c r="T461" s="159"/>
      <c r="U461" s="158"/>
      <c r="V461" s="158"/>
      <c r="W461" s="159"/>
      <c r="X461" s="159"/>
      <c r="Y461" s="159"/>
      <c r="Z461" s="159"/>
      <c r="AA461" s="159"/>
      <c r="AB461" s="167"/>
      <c r="AC461" s="159" t="s">
        <v>129</v>
      </c>
      <c r="AD461" s="158"/>
      <c r="AE461" s="159"/>
      <c r="AF461" s="159"/>
      <c r="AG461" s="159"/>
      <c r="AH461" s="159"/>
      <c r="AI461" s="159"/>
      <c r="AJ461" s="159"/>
      <c r="AK461" s="159" t="s">
        <v>2600</v>
      </c>
      <c r="AL461" s="159"/>
      <c r="AM461" s="159"/>
      <c r="AN461" s="159" t="s">
        <v>786</v>
      </c>
      <c r="AO461" s="172" t="s">
        <v>115</v>
      </c>
      <c r="AP461" s="172"/>
      <c r="AQ461" s="172"/>
      <c r="AR461" s="178" t="s">
        <v>2618</v>
      </c>
      <c r="AS461" s="178" t="s">
        <v>2618</v>
      </c>
      <c r="BD461" s="185" t="s">
        <v>1442</v>
      </c>
      <c r="BE461" s="156" t="s">
        <v>1493</v>
      </c>
      <c r="BF461" s="159" t="s">
        <v>1482</v>
      </c>
      <c r="BG461" s="159" t="s">
        <v>129</v>
      </c>
      <c r="BH461" s="159"/>
      <c r="BI461" s="159" t="s">
        <v>41</v>
      </c>
      <c r="BJ461" s="156">
        <v>1</v>
      </c>
      <c r="BL461" s="156"/>
    </row>
    <row r="462" spans="1:70">
      <c r="A462" s="184" t="str">
        <f t="shared" si="7"/>
        <v>40001458</v>
      </c>
      <c r="B462" s="208"/>
      <c r="C462" s="158" t="s">
        <v>3308</v>
      </c>
      <c r="D462" s="153" t="s">
        <v>2252</v>
      </c>
      <c r="E462" s="153"/>
      <c r="F462" s="208"/>
      <c r="G462" s="169"/>
      <c r="H462" s="169"/>
      <c r="I462" s="159" t="s">
        <v>2569</v>
      </c>
      <c r="J462" s="159" t="s">
        <v>2619</v>
      </c>
      <c r="K462" s="160"/>
      <c r="L462" s="160"/>
      <c r="M462" s="208"/>
      <c r="N462" s="208"/>
      <c r="O462" s="160"/>
      <c r="P462" s="160"/>
      <c r="Q462" s="159" t="s">
        <v>2840</v>
      </c>
      <c r="R462" s="159" t="s">
        <v>2863</v>
      </c>
      <c r="S462" s="160"/>
      <c r="T462" s="160"/>
      <c r="U462" s="208"/>
      <c r="V462" s="208"/>
      <c r="W462" s="160"/>
      <c r="X462" s="160"/>
      <c r="Y462" s="160"/>
      <c r="Z462" s="160"/>
      <c r="AA462" s="160"/>
      <c r="AB462" s="169"/>
      <c r="AC462" s="160" t="s">
        <v>129</v>
      </c>
      <c r="AD462" s="208"/>
      <c r="AE462" s="160"/>
      <c r="AF462" s="160"/>
      <c r="AG462" s="160"/>
      <c r="AH462" s="160"/>
      <c r="AI462" s="160"/>
      <c r="AJ462" s="160"/>
      <c r="AK462" s="159" t="s">
        <v>2600</v>
      </c>
      <c r="AL462" s="160"/>
      <c r="AM462" s="160"/>
      <c r="AN462" s="159" t="s">
        <v>786</v>
      </c>
      <c r="AO462" s="172" t="s">
        <v>115</v>
      </c>
      <c r="AP462" s="172"/>
      <c r="AQ462" s="172"/>
      <c r="AR462" s="178" t="s">
        <v>2618</v>
      </c>
      <c r="AS462" s="178" t="s">
        <v>2618</v>
      </c>
      <c r="BD462" s="185" t="s">
        <v>1442</v>
      </c>
      <c r="BE462" s="156" t="s">
        <v>1493</v>
      </c>
      <c r="BF462" s="187" t="s">
        <v>1508</v>
      </c>
      <c r="BG462" s="160" t="s">
        <v>129</v>
      </c>
      <c r="BH462" s="160"/>
      <c r="BI462" s="159" t="s">
        <v>41</v>
      </c>
      <c r="BJ462" s="156">
        <v>1</v>
      </c>
      <c r="BL462" s="156"/>
    </row>
    <row r="463" spans="1:70">
      <c r="A463" s="184" t="str">
        <f t="shared" si="7"/>
        <v>40001459</v>
      </c>
      <c r="B463" s="208"/>
      <c r="C463" s="158" t="s">
        <v>3309</v>
      </c>
      <c r="D463" s="153" t="s">
        <v>2253</v>
      </c>
      <c r="E463" s="153"/>
      <c r="F463" s="208"/>
      <c r="G463" s="169"/>
      <c r="H463" s="169"/>
      <c r="I463" s="159" t="s">
        <v>2569</v>
      </c>
      <c r="J463" s="159" t="s">
        <v>2619</v>
      </c>
      <c r="K463" s="160"/>
      <c r="L463" s="160"/>
      <c r="M463" s="208"/>
      <c r="N463" s="208"/>
      <c r="O463" s="160"/>
      <c r="P463" s="160"/>
      <c r="Q463" s="159" t="s">
        <v>2840</v>
      </c>
      <c r="R463" s="159" t="s">
        <v>2863</v>
      </c>
      <c r="S463" s="160"/>
      <c r="T463" s="160"/>
      <c r="U463" s="208"/>
      <c r="V463" s="208"/>
      <c r="W463" s="160"/>
      <c r="X463" s="160"/>
      <c r="Y463" s="160"/>
      <c r="Z463" s="160"/>
      <c r="AA463" s="160"/>
      <c r="AB463" s="169"/>
      <c r="AC463" s="160" t="s">
        <v>129</v>
      </c>
      <c r="AD463" s="208"/>
      <c r="AE463" s="160"/>
      <c r="AF463" s="160"/>
      <c r="AG463" s="160"/>
      <c r="AH463" s="160"/>
      <c r="AI463" s="160"/>
      <c r="AJ463" s="160"/>
      <c r="AK463" s="159" t="s">
        <v>2600</v>
      </c>
      <c r="AL463" s="160"/>
      <c r="AM463" s="160"/>
      <c r="AN463" s="159" t="s">
        <v>786</v>
      </c>
      <c r="AO463" s="172" t="s">
        <v>115</v>
      </c>
      <c r="AP463" s="172"/>
      <c r="AQ463" s="172"/>
      <c r="AR463" s="178" t="s">
        <v>2618</v>
      </c>
      <c r="AS463" s="178" t="s">
        <v>2618</v>
      </c>
      <c r="BD463" s="185" t="s">
        <v>1442</v>
      </c>
      <c r="BE463" s="156" t="s">
        <v>1493</v>
      </c>
      <c r="BF463" s="187" t="s">
        <v>1508</v>
      </c>
      <c r="BG463" s="160" t="s">
        <v>129</v>
      </c>
      <c r="BH463" s="160"/>
      <c r="BI463" s="159" t="s">
        <v>41</v>
      </c>
      <c r="BJ463" s="156">
        <v>1</v>
      </c>
      <c r="BL463" s="156"/>
    </row>
    <row r="464" spans="1:70">
      <c r="A464" s="184" t="str">
        <f t="shared" si="7"/>
        <v>40001460</v>
      </c>
      <c r="B464" s="158"/>
      <c r="C464" s="158" t="s">
        <v>3310</v>
      </c>
      <c r="D464" s="159" t="s">
        <v>2254</v>
      </c>
      <c r="E464" s="159"/>
      <c r="F464" s="158"/>
      <c r="G464" s="167"/>
      <c r="H464" s="167"/>
      <c r="I464" s="159" t="s">
        <v>2569</v>
      </c>
      <c r="J464" s="159" t="s">
        <v>2619</v>
      </c>
      <c r="K464" s="159"/>
      <c r="L464" s="159"/>
      <c r="M464" s="158"/>
      <c r="N464" s="158"/>
      <c r="O464" s="159"/>
      <c r="P464" s="159"/>
      <c r="Q464" s="159" t="s">
        <v>2840</v>
      </c>
      <c r="R464" s="159" t="s">
        <v>2863</v>
      </c>
      <c r="S464" s="159"/>
      <c r="T464" s="159"/>
      <c r="U464" s="158"/>
      <c r="V464" s="158"/>
      <c r="W464" s="159"/>
      <c r="X464" s="159"/>
      <c r="Y464" s="159"/>
      <c r="Z464" s="159"/>
      <c r="AA464" s="159"/>
      <c r="AB464" s="167"/>
      <c r="AC464" s="159" t="s">
        <v>129</v>
      </c>
      <c r="AD464" s="158"/>
      <c r="AE464" s="159"/>
      <c r="AF464" s="159"/>
      <c r="AG464" s="159"/>
      <c r="AH464" s="159"/>
      <c r="AI464" s="159"/>
      <c r="AJ464" s="159"/>
      <c r="AK464" s="159" t="s">
        <v>2600</v>
      </c>
      <c r="AL464" s="159"/>
      <c r="AM464" s="159"/>
      <c r="AN464" s="159" t="s">
        <v>786</v>
      </c>
      <c r="AO464" s="172" t="s">
        <v>115</v>
      </c>
      <c r="AP464" s="172"/>
      <c r="AQ464" s="172"/>
      <c r="AR464" s="178" t="s">
        <v>2618</v>
      </c>
      <c r="AS464" s="178" t="s">
        <v>2618</v>
      </c>
      <c r="BD464" s="185" t="s">
        <v>1442</v>
      </c>
      <c r="BE464" s="156" t="s">
        <v>1493</v>
      </c>
      <c r="BF464" s="187" t="s">
        <v>1539</v>
      </c>
      <c r="BG464" s="159" t="s">
        <v>129</v>
      </c>
      <c r="BH464" s="159"/>
      <c r="BI464" s="159" t="s">
        <v>41</v>
      </c>
      <c r="BJ464" s="156">
        <v>1</v>
      </c>
      <c r="BL464" s="156"/>
    </row>
    <row r="465" spans="1:64">
      <c r="A465" s="184" t="str">
        <f t="shared" si="7"/>
        <v>20001461</v>
      </c>
      <c r="B465" s="158"/>
      <c r="C465" s="158" t="s">
        <v>3311</v>
      </c>
      <c r="D465" s="159" t="s">
        <v>2255</v>
      </c>
      <c r="E465" s="159"/>
      <c r="F465" s="158"/>
      <c r="G465" s="167"/>
      <c r="H465" s="167"/>
      <c r="I465" s="159" t="s">
        <v>2569</v>
      </c>
      <c r="J465" s="159" t="s">
        <v>2619</v>
      </c>
      <c r="K465" s="159"/>
      <c r="L465" s="159"/>
      <c r="M465" s="158"/>
      <c r="N465" s="158"/>
      <c r="O465" s="159"/>
      <c r="P465" s="159"/>
      <c r="Q465" s="159" t="s">
        <v>2840</v>
      </c>
      <c r="R465" s="159" t="s">
        <v>2863</v>
      </c>
      <c r="S465" s="159"/>
      <c r="T465" s="159"/>
      <c r="U465" s="158"/>
      <c r="V465" s="158"/>
      <c r="W465" s="159"/>
      <c r="X465" s="159"/>
      <c r="Y465" s="159"/>
      <c r="Z465" s="159"/>
      <c r="AA465" s="159"/>
      <c r="AB465" s="167"/>
      <c r="AC465" s="159" t="s">
        <v>45</v>
      </c>
      <c r="AD465" s="158"/>
      <c r="AE465" s="159"/>
      <c r="AF465" s="159"/>
      <c r="AG465" s="159"/>
      <c r="AH465" s="159"/>
      <c r="AI465" s="159"/>
      <c r="AJ465" s="159"/>
      <c r="AK465" s="159" t="s">
        <v>2600</v>
      </c>
      <c r="AL465" s="159"/>
      <c r="AM465" s="159"/>
      <c r="AN465" s="159" t="s">
        <v>786</v>
      </c>
      <c r="AO465" s="172" t="s">
        <v>78</v>
      </c>
      <c r="AP465" s="172"/>
      <c r="AQ465" s="172"/>
      <c r="AR465" s="178" t="s">
        <v>2618</v>
      </c>
      <c r="AS465" s="178" t="s">
        <v>2618</v>
      </c>
      <c r="BD465" s="185" t="s">
        <v>1442</v>
      </c>
      <c r="BE465" s="156" t="s">
        <v>1505</v>
      </c>
      <c r="BF465" s="187" t="s">
        <v>1508</v>
      </c>
      <c r="BG465" s="159" t="s">
        <v>45</v>
      </c>
      <c r="BH465" s="159"/>
      <c r="BI465" s="159" t="s">
        <v>41</v>
      </c>
      <c r="BJ465" s="156">
        <v>1</v>
      </c>
      <c r="BL465" s="156"/>
    </row>
    <row r="466" spans="1:64">
      <c r="A466" s="184" t="str">
        <f t="shared" si="7"/>
        <v>40001462</v>
      </c>
      <c r="B466" s="158"/>
      <c r="C466" s="158" t="s">
        <v>3312</v>
      </c>
      <c r="D466" s="153" t="s">
        <v>2256</v>
      </c>
      <c r="E466" s="153"/>
      <c r="F466" s="158"/>
      <c r="G466" s="167"/>
      <c r="H466" s="167"/>
      <c r="I466" s="159" t="s">
        <v>2569</v>
      </c>
      <c r="J466" s="159" t="s">
        <v>2619</v>
      </c>
      <c r="K466" s="159"/>
      <c r="L466" s="159"/>
      <c r="M466" s="158"/>
      <c r="N466" s="158"/>
      <c r="O466" s="159"/>
      <c r="P466" s="159"/>
      <c r="Q466" s="159" t="s">
        <v>2840</v>
      </c>
      <c r="R466" s="159" t="s">
        <v>2863</v>
      </c>
      <c r="S466" s="159"/>
      <c r="T466" s="159"/>
      <c r="U466" s="158"/>
      <c r="V466" s="158"/>
      <c r="W466" s="159"/>
      <c r="X466" s="159"/>
      <c r="Y466" s="159"/>
      <c r="Z466" s="159"/>
      <c r="AA466" s="159"/>
      <c r="AB466" s="167"/>
      <c r="AC466" s="156" t="s">
        <v>129</v>
      </c>
      <c r="AD466" s="164"/>
      <c r="AE466" s="156"/>
      <c r="AF466" s="156"/>
      <c r="AG466" s="156"/>
      <c r="AH466" s="156"/>
      <c r="AI466" s="156"/>
      <c r="AJ466" s="156"/>
      <c r="AK466" s="159" t="s">
        <v>2600</v>
      </c>
      <c r="AL466" s="156"/>
      <c r="AM466" s="156"/>
      <c r="AN466" s="159" t="s">
        <v>786</v>
      </c>
      <c r="AO466" s="172" t="s">
        <v>115</v>
      </c>
      <c r="AP466" s="172"/>
      <c r="AQ466" s="172"/>
      <c r="AR466" s="178" t="s">
        <v>2618</v>
      </c>
      <c r="AS466" s="178" t="s">
        <v>2618</v>
      </c>
      <c r="BD466" s="185" t="s">
        <v>1442</v>
      </c>
      <c r="BE466" s="156" t="s">
        <v>1558</v>
      </c>
      <c r="BF466" s="159" t="s">
        <v>1482</v>
      </c>
      <c r="BG466" s="156" t="s">
        <v>129</v>
      </c>
      <c r="BH466" s="159"/>
      <c r="BI466" s="159" t="s">
        <v>41</v>
      </c>
      <c r="BJ466" s="156">
        <v>1</v>
      </c>
      <c r="BL466" s="156"/>
    </row>
    <row r="467" spans="1:64">
      <c r="A467" s="184" t="str">
        <f t="shared" si="7"/>
        <v>20001463</v>
      </c>
      <c r="B467" s="158"/>
      <c r="C467" s="158" t="s">
        <v>3313</v>
      </c>
      <c r="D467" s="153" t="s">
        <v>2423</v>
      </c>
      <c r="E467" s="153"/>
      <c r="F467" s="158"/>
      <c r="G467" s="167"/>
      <c r="H467" s="167"/>
      <c r="I467" s="159" t="s">
        <v>2570</v>
      </c>
      <c r="J467" s="159" t="s">
        <v>2619</v>
      </c>
      <c r="K467" s="159"/>
      <c r="L467" s="159"/>
      <c r="M467" s="158"/>
      <c r="N467" s="158"/>
      <c r="O467" s="159"/>
      <c r="P467" s="159"/>
      <c r="Q467" s="159" t="s">
        <v>2840</v>
      </c>
      <c r="R467" s="159" t="s">
        <v>2863</v>
      </c>
      <c r="S467" s="159"/>
      <c r="T467" s="159"/>
      <c r="U467" s="158"/>
      <c r="V467" s="158"/>
      <c r="W467" s="159"/>
      <c r="X467" s="159"/>
      <c r="Y467" s="159"/>
      <c r="Z467" s="159"/>
      <c r="AA467" s="159"/>
      <c r="AB467" s="167"/>
      <c r="AC467" s="159" t="s">
        <v>45</v>
      </c>
      <c r="AD467" s="158"/>
      <c r="AE467" s="159"/>
      <c r="AF467" s="159"/>
      <c r="AG467" s="159"/>
      <c r="AH467" s="159"/>
      <c r="AI467" s="159"/>
      <c r="AJ467" s="159"/>
      <c r="AK467" s="159" t="s">
        <v>2600</v>
      </c>
      <c r="AL467" s="159"/>
      <c r="AM467" s="159"/>
      <c r="AN467" s="159" t="s">
        <v>786</v>
      </c>
      <c r="AO467" s="172" t="s">
        <v>63</v>
      </c>
      <c r="AP467" s="172"/>
      <c r="AQ467" s="172"/>
      <c r="AR467" s="178" t="s">
        <v>2618</v>
      </c>
      <c r="AS467" s="178" t="s">
        <v>2618</v>
      </c>
      <c r="BD467" s="185"/>
      <c r="BF467" s="159"/>
      <c r="BG467" s="159" t="s">
        <v>45</v>
      </c>
      <c r="BH467" s="159"/>
      <c r="BI467" s="159" t="s">
        <v>41</v>
      </c>
      <c r="BJ467" s="156">
        <v>2</v>
      </c>
      <c r="BL467" s="156"/>
    </row>
    <row r="468" spans="1:64">
      <c r="A468" s="184" t="str">
        <f t="shared" si="7"/>
        <v>10001464</v>
      </c>
      <c r="B468" s="158"/>
      <c r="C468" s="158" t="s">
        <v>3314</v>
      </c>
      <c r="D468" s="156" t="s">
        <v>2272</v>
      </c>
      <c r="E468" s="156"/>
      <c r="F468" s="164"/>
      <c r="G468" s="170"/>
      <c r="H468" s="170"/>
      <c r="I468" s="159" t="s">
        <v>2570</v>
      </c>
      <c r="J468" s="159" t="s">
        <v>2619</v>
      </c>
      <c r="K468" s="159"/>
      <c r="L468" s="159"/>
      <c r="M468" s="158"/>
      <c r="N468" s="158"/>
      <c r="O468" s="159"/>
      <c r="P468" s="159"/>
      <c r="Q468" s="159" t="s">
        <v>2840</v>
      </c>
      <c r="R468" s="159" t="s">
        <v>2863</v>
      </c>
      <c r="S468" s="159"/>
      <c r="T468" s="159"/>
      <c r="U468" s="158"/>
      <c r="V468" s="158"/>
      <c r="W468" s="159"/>
      <c r="X468" s="159"/>
      <c r="Y468" s="159"/>
      <c r="Z468" s="159"/>
      <c r="AA468" s="159"/>
      <c r="AB468" s="170"/>
      <c r="AC468" s="159" t="s">
        <v>30</v>
      </c>
      <c r="AD468" s="158"/>
      <c r="AE468" s="159"/>
      <c r="AF468" s="159"/>
      <c r="AG468" s="159"/>
      <c r="AH468" s="159"/>
      <c r="AI468" s="159"/>
      <c r="AJ468" s="159"/>
      <c r="AK468" s="159" t="s">
        <v>2600</v>
      </c>
      <c r="AL468" s="159"/>
      <c r="AM468" s="159"/>
      <c r="AN468" s="156" t="s">
        <v>2273</v>
      </c>
      <c r="AO468" s="162" t="s">
        <v>683</v>
      </c>
      <c r="AR468" s="178" t="s">
        <v>2618</v>
      </c>
      <c r="AS468" s="178" t="s">
        <v>2618</v>
      </c>
      <c r="BD468" s="185"/>
      <c r="BF468" s="156"/>
      <c r="BG468" s="159" t="s">
        <v>30</v>
      </c>
      <c r="BH468" s="159"/>
      <c r="BI468" s="159" t="s">
        <v>41</v>
      </c>
      <c r="BJ468" s="156">
        <v>2</v>
      </c>
      <c r="BL468" s="156"/>
    </row>
    <row r="469" spans="1:64">
      <c r="A469" s="184" t="str">
        <f t="shared" si="7"/>
        <v>20001465</v>
      </c>
      <c r="B469" s="164"/>
      <c r="C469" s="158" t="s">
        <v>3315</v>
      </c>
      <c r="D469" s="156" t="s">
        <v>2268</v>
      </c>
      <c r="E469" s="156"/>
      <c r="F469" s="164"/>
      <c r="G469" s="170"/>
      <c r="H469" s="170"/>
      <c r="I469" s="159" t="s">
        <v>2570</v>
      </c>
      <c r="J469" s="159" t="s">
        <v>2619</v>
      </c>
      <c r="K469" s="159"/>
      <c r="L469" s="159"/>
      <c r="M469" s="158"/>
      <c r="N469" s="158"/>
      <c r="O469" s="159"/>
      <c r="P469" s="159"/>
      <c r="Q469" s="159" t="s">
        <v>2840</v>
      </c>
      <c r="R469" s="159" t="s">
        <v>2863</v>
      </c>
      <c r="S469" s="159"/>
      <c r="T469" s="159"/>
      <c r="U469" s="158"/>
      <c r="V469" s="158"/>
      <c r="W469" s="159"/>
      <c r="X469" s="159"/>
      <c r="Y469" s="159"/>
      <c r="Z469" s="159"/>
      <c r="AA469" s="159"/>
      <c r="AB469" s="170"/>
      <c r="AC469" s="159" t="s">
        <v>45</v>
      </c>
      <c r="AD469" s="158"/>
      <c r="AE469" s="159"/>
      <c r="AF469" s="159"/>
      <c r="AG469" s="159"/>
      <c r="AH469" s="159"/>
      <c r="AI469" s="159"/>
      <c r="AJ469" s="159"/>
      <c r="AK469" s="159" t="s">
        <v>2600</v>
      </c>
      <c r="AL469" s="159"/>
      <c r="AM469" s="159"/>
      <c r="AN469" s="156" t="s">
        <v>2273</v>
      </c>
      <c r="AO469" s="162" t="s">
        <v>54</v>
      </c>
      <c r="AR469" s="178" t="s">
        <v>2618</v>
      </c>
      <c r="AS469" s="178" t="s">
        <v>2618</v>
      </c>
      <c r="BD469" s="185"/>
      <c r="BF469" s="156"/>
      <c r="BG469" s="159" t="s">
        <v>45</v>
      </c>
      <c r="BH469" s="156"/>
      <c r="BI469" s="159" t="s">
        <v>41</v>
      </c>
      <c r="BJ469" s="156">
        <v>2</v>
      </c>
      <c r="BL469" s="156"/>
    </row>
    <row r="470" spans="1:64">
      <c r="A470" s="184" t="str">
        <f t="shared" si="7"/>
        <v>20001466</v>
      </c>
      <c r="B470" s="164"/>
      <c r="C470" s="158" t="s">
        <v>3316</v>
      </c>
      <c r="D470" s="156" t="s">
        <v>2270</v>
      </c>
      <c r="E470" s="156"/>
      <c r="F470" s="164"/>
      <c r="G470" s="170"/>
      <c r="H470" s="170"/>
      <c r="I470" s="159" t="s">
        <v>2570</v>
      </c>
      <c r="J470" s="159" t="s">
        <v>2619</v>
      </c>
      <c r="K470" s="159"/>
      <c r="L470" s="159"/>
      <c r="M470" s="158"/>
      <c r="N470" s="158"/>
      <c r="O470" s="159"/>
      <c r="P470" s="159"/>
      <c r="Q470" s="159" t="s">
        <v>2840</v>
      </c>
      <c r="R470" s="159" t="s">
        <v>2863</v>
      </c>
      <c r="S470" s="159"/>
      <c r="T470" s="159"/>
      <c r="U470" s="158"/>
      <c r="V470" s="158"/>
      <c r="W470" s="159"/>
      <c r="X470" s="159"/>
      <c r="Y470" s="159"/>
      <c r="Z470" s="159"/>
      <c r="AA470" s="159"/>
      <c r="AB470" s="170"/>
      <c r="AC470" s="159" t="s">
        <v>45</v>
      </c>
      <c r="AD470" s="158"/>
      <c r="AE470" s="159"/>
      <c r="AF470" s="159"/>
      <c r="AG470" s="159"/>
      <c r="AH470" s="159"/>
      <c r="AI470" s="159"/>
      <c r="AJ470" s="159"/>
      <c r="AK470" s="159" t="s">
        <v>2600</v>
      </c>
      <c r="AL470" s="159"/>
      <c r="AM470" s="159"/>
      <c r="AN470" s="156" t="s">
        <v>2273</v>
      </c>
      <c r="AO470" s="162" t="s">
        <v>54</v>
      </c>
      <c r="AR470" s="178" t="s">
        <v>2618</v>
      </c>
      <c r="AS470" s="178" t="s">
        <v>2618</v>
      </c>
      <c r="BD470" s="185"/>
      <c r="BF470" s="156"/>
      <c r="BG470" s="159" t="s">
        <v>45</v>
      </c>
      <c r="BH470" s="156"/>
      <c r="BI470" s="159" t="s">
        <v>41</v>
      </c>
      <c r="BJ470" s="156">
        <v>2</v>
      </c>
      <c r="BL470" s="156"/>
    </row>
    <row r="471" spans="1:64">
      <c r="A471" s="184" t="str">
        <f t="shared" si="7"/>
        <v>20001467</v>
      </c>
      <c r="B471" s="164"/>
      <c r="C471" s="158" t="s">
        <v>3317</v>
      </c>
      <c r="D471" s="156" t="s">
        <v>2271</v>
      </c>
      <c r="E471" s="156"/>
      <c r="F471" s="164"/>
      <c r="G471" s="170"/>
      <c r="H471" s="170"/>
      <c r="I471" s="159" t="s">
        <v>2570</v>
      </c>
      <c r="J471" s="159" t="s">
        <v>2619</v>
      </c>
      <c r="K471" s="159"/>
      <c r="L471" s="159"/>
      <c r="M471" s="158"/>
      <c r="N471" s="158"/>
      <c r="O471" s="159"/>
      <c r="P471" s="159"/>
      <c r="Q471" s="159" t="s">
        <v>2840</v>
      </c>
      <c r="R471" s="159" t="s">
        <v>2863</v>
      </c>
      <c r="S471" s="159"/>
      <c r="T471" s="159"/>
      <c r="U471" s="158"/>
      <c r="V471" s="158"/>
      <c r="W471" s="159"/>
      <c r="X471" s="159"/>
      <c r="Y471" s="159"/>
      <c r="Z471" s="159"/>
      <c r="AA471" s="159"/>
      <c r="AB471" s="170"/>
      <c r="AC471" s="159" t="s">
        <v>45</v>
      </c>
      <c r="AD471" s="158"/>
      <c r="AE471" s="159"/>
      <c r="AF471" s="159"/>
      <c r="AG471" s="159"/>
      <c r="AH471" s="159"/>
      <c r="AI471" s="159"/>
      <c r="AJ471" s="159"/>
      <c r="AK471" s="159" t="s">
        <v>2600</v>
      </c>
      <c r="AL471" s="159"/>
      <c r="AM471" s="159"/>
      <c r="AN471" s="156" t="s">
        <v>2273</v>
      </c>
      <c r="AO471" s="162" t="s">
        <v>54</v>
      </c>
      <c r="AR471" s="178" t="s">
        <v>2618</v>
      </c>
      <c r="AS471" s="178" t="s">
        <v>2618</v>
      </c>
      <c r="BD471" s="185"/>
      <c r="BF471" s="156"/>
      <c r="BG471" s="159" t="s">
        <v>45</v>
      </c>
      <c r="BH471" s="156"/>
      <c r="BI471" s="159" t="s">
        <v>41</v>
      </c>
      <c r="BJ471" s="156">
        <v>2</v>
      </c>
      <c r="BL471" s="156"/>
    </row>
    <row r="472" spans="1:64">
      <c r="A472" s="184" t="str">
        <f t="shared" si="7"/>
        <v>10001468</v>
      </c>
      <c r="B472" s="164"/>
      <c r="C472" s="158" t="s">
        <v>3318</v>
      </c>
      <c r="D472" s="156" t="s">
        <v>2281</v>
      </c>
      <c r="E472" s="156"/>
      <c r="F472" s="164"/>
      <c r="G472" s="170"/>
      <c r="H472" s="170"/>
      <c r="I472" s="159" t="s">
        <v>2570</v>
      </c>
      <c r="J472" s="159" t="s">
        <v>2619</v>
      </c>
      <c r="K472" s="159"/>
      <c r="L472" s="159"/>
      <c r="M472" s="158"/>
      <c r="N472" s="158"/>
      <c r="O472" s="159"/>
      <c r="P472" s="159"/>
      <c r="Q472" s="159" t="s">
        <v>2840</v>
      </c>
      <c r="R472" s="159" t="s">
        <v>2863</v>
      </c>
      <c r="S472" s="159"/>
      <c r="T472" s="159"/>
      <c r="U472" s="158"/>
      <c r="V472" s="158"/>
      <c r="W472" s="159"/>
      <c r="X472" s="159"/>
      <c r="Y472" s="159"/>
      <c r="Z472" s="159"/>
      <c r="AA472" s="159"/>
      <c r="AB472" s="170"/>
      <c r="AC472" s="159" t="s">
        <v>30</v>
      </c>
      <c r="AD472" s="158"/>
      <c r="AE472" s="159"/>
      <c r="AF472" s="159"/>
      <c r="AG472" s="159"/>
      <c r="AH472" s="159"/>
      <c r="AI472" s="159"/>
      <c r="AJ472" s="159"/>
      <c r="AK472" s="159" t="s">
        <v>2600</v>
      </c>
      <c r="AL472" s="159"/>
      <c r="AM472" s="159"/>
      <c r="AN472" s="156" t="s">
        <v>2282</v>
      </c>
      <c r="AO472" s="162" t="s">
        <v>2283</v>
      </c>
      <c r="AR472" s="178" t="s">
        <v>2618</v>
      </c>
      <c r="AS472" s="178" t="s">
        <v>2618</v>
      </c>
      <c r="BD472" s="156"/>
      <c r="BF472" s="156"/>
      <c r="BG472" s="159" t="s">
        <v>30</v>
      </c>
      <c r="BH472" s="156"/>
      <c r="BI472" s="159" t="s">
        <v>41</v>
      </c>
      <c r="BJ472" s="156">
        <v>2</v>
      </c>
      <c r="BK472" s="156"/>
      <c r="BL472" s="156"/>
    </row>
    <row r="473" spans="1:64">
      <c r="A473" s="184" t="str">
        <f t="shared" si="7"/>
        <v>20001469</v>
      </c>
      <c r="B473" s="164"/>
      <c r="C473" s="158" t="s">
        <v>3319</v>
      </c>
      <c r="D473" s="156" t="s">
        <v>2274</v>
      </c>
      <c r="E473" s="156"/>
      <c r="F473" s="164"/>
      <c r="G473" s="170"/>
      <c r="H473" s="170"/>
      <c r="I473" s="159" t="s">
        <v>2569</v>
      </c>
      <c r="J473" s="159" t="s">
        <v>2619</v>
      </c>
      <c r="K473" s="159"/>
      <c r="L473" s="159"/>
      <c r="M473" s="158"/>
      <c r="N473" s="158"/>
      <c r="O473" s="159"/>
      <c r="P473" s="159"/>
      <c r="Q473" s="159" t="s">
        <v>2840</v>
      </c>
      <c r="R473" s="159" t="s">
        <v>2863</v>
      </c>
      <c r="S473" s="159"/>
      <c r="T473" s="159"/>
      <c r="U473" s="158"/>
      <c r="V473" s="158"/>
      <c r="W473" s="159"/>
      <c r="X473" s="159"/>
      <c r="Y473" s="159"/>
      <c r="Z473" s="159"/>
      <c r="AA473" s="159"/>
      <c r="AB473" s="170"/>
      <c r="AC473" s="159" t="s">
        <v>45</v>
      </c>
      <c r="AD473" s="158"/>
      <c r="AE473" s="159"/>
      <c r="AF473" s="159"/>
      <c r="AG473" s="159"/>
      <c r="AH473" s="159"/>
      <c r="AI473" s="159"/>
      <c r="AJ473" s="159"/>
      <c r="AK473" s="159" t="s">
        <v>2600</v>
      </c>
      <c r="AL473" s="159"/>
      <c r="AM473" s="159"/>
      <c r="AN473" s="156" t="s">
        <v>2282</v>
      </c>
      <c r="AO473" s="162" t="s">
        <v>54</v>
      </c>
      <c r="AR473" s="178" t="s">
        <v>2618</v>
      </c>
      <c r="AS473" s="178" t="s">
        <v>2618</v>
      </c>
      <c r="BD473" s="185"/>
      <c r="BF473" s="156"/>
      <c r="BG473" s="159" t="s">
        <v>45</v>
      </c>
      <c r="BH473" s="156"/>
      <c r="BI473" s="159" t="s">
        <v>41</v>
      </c>
      <c r="BJ473" s="156">
        <v>2</v>
      </c>
      <c r="BK473" s="156"/>
      <c r="BL473" s="156"/>
    </row>
    <row r="474" spans="1:64">
      <c r="A474" s="184" t="str">
        <f t="shared" si="7"/>
        <v>20001470</v>
      </c>
      <c r="B474" s="164"/>
      <c r="C474" s="158" t="s">
        <v>3320</v>
      </c>
      <c r="D474" s="156" t="s">
        <v>2275</v>
      </c>
      <c r="E474" s="156"/>
      <c r="F474" s="164"/>
      <c r="G474" s="170"/>
      <c r="H474" s="170"/>
      <c r="I474" s="159" t="s">
        <v>2570</v>
      </c>
      <c r="J474" s="159" t="s">
        <v>2619</v>
      </c>
      <c r="K474" s="159"/>
      <c r="L474" s="159"/>
      <c r="M474" s="158"/>
      <c r="N474" s="158"/>
      <c r="O474" s="159"/>
      <c r="P474" s="159"/>
      <c r="Q474" s="159" t="s">
        <v>2840</v>
      </c>
      <c r="R474" s="159" t="s">
        <v>2863</v>
      </c>
      <c r="S474" s="159"/>
      <c r="T474" s="159"/>
      <c r="U474" s="158"/>
      <c r="V474" s="158"/>
      <c r="W474" s="159"/>
      <c r="X474" s="159"/>
      <c r="Y474" s="159"/>
      <c r="Z474" s="159"/>
      <c r="AA474" s="159"/>
      <c r="AB474" s="170"/>
      <c r="AC474" s="159" t="s">
        <v>45</v>
      </c>
      <c r="AD474" s="158"/>
      <c r="AE474" s="159"/>
      <c r="AF474" s="159"/>
      <c r="AG474" s="159"/>
      <c r="AH474" s="159"/>
      <c r="AI474" s="159"/>
      <c r="AJ474" s="159"/>
      <c r="AK474" s="159" t="s">
        <v>2600</v>
      </c>
      <c r="AL474" s="159"/>
      <c r="AM474" s="159"/>
      <c r="AN474" s="156" t="s">
        <v>2282</v>
      </c>
      <c r="AO474" s="162" t="s">
        <v>54</v>
      </c>
      <c r="AR474" s="178" t="s">
        <v>2618</v>
      </c>
      <c r="AS474" s="178" t="s">
        <v>2618</v>
      </c>
      <c r="BD474" s="185"/>
      <c r="BF474" s="156"/>
      <c r="BG474" s="159" t="s">
        <v>45</v>
      </c>
      <c r="BH474" s="156"/>
      <c r="BI474" s="159" t="s">
        <v>41</v>
      </c>
      <c r="BJ474" s="156">
        <v>2</v>
      </c>
      <c r="BK474" s="156"/>
      <c r="BL474" s="156"/>
    </row>
    <row r="475" spans="1:64">
      <c r="A475" s="184" t="str">
        <f t="shared" si="7"/>
        <v>20001471</v>
      </c>
      <c r="B475" s="164"/>
      <c r="C475" s="158" t="s">
        <v>3321</v>
      </c>
      <c r="D475" s="156" t="s">
        <v>2276</v>
      </c>
      <c r="E475" s="156"/>
      <c r="F475" s="164"/>
      <c r="G475" s="170"/>
      <c r="H475" s="170"/>
      <c r="I475" s="159" t="s">
        <v>2570</v>
      </c>
      <c r="J475" s="159" t="s">
        <v>2619</v>
      </c>
      <c r="K475" s="159"/>
      <c r="L475" s="159"/>
      <c r="M475" s="158"/>
      <c r="N475" s="158"/>
      <c r="O475" s="159"/>
      <c r="P475" s="159"/>
      <c r="Q475" s="159" t="s">
        <v>2840</v>
      </c>
      <c r="R475" s="159" t="s">
        <v>2863</v>
      </c>
      <c r="S475" s="159"/>
      <c r="T475" s="159"/>
      <c r="U475" s="158"/>
      <c r="V475" s="158"/>
      <c r="W475" s="159"/>
      <c r="X475" s="159"/>
      <c r="Y475" s="159"/>
      <c r="Z475" s="159"/>
      <c r="AA475" s="159"/>
      <c r="AB475" s="170"/>
      <c r="AC475" s="159" t="s">
        <v>45</v>
      </c>
      <c r="AD475" s="158"/>
      <c r="AE475" s="159"/>
      <c r="AF475" s="159"/>
      <c r="AG475" s="159"/>
      <c r="AH475" s="159"/>
      <c r="AI475" s="159"/>
      <c r="AJ475" s="159"/>
      <c r="AK475" s="159" t="s">
        <v>2600</v>
      </c>
      <c r="AL475" s="159"/>
      <c r="AM475" s="159"/>
      <c r="AN475" s="156" t="s">
        <v>2282</v>
      </c>
      <c r="AO475" s="162" t="s">
        <v>54</v>
      </c>
      <c r="AR475" s="178" t="s">
        <v>2618</v>
      </c>
      <c r="AS475" s="178" t="s">
        <v>2618</v>
      </c>
      <c r="BD475" s="185"/>
      <c r="BF475" s="156"/>
      <c r="BG475" s="159" t="s">
        <v>45</v>
      </c>
      <c r="BH475" s="156"/>
      <c r="BI475" s="159" t="s">
        <v>41</v>
      </c>
      <c r="BJ475" s="156">
        <v>2</v>
      </c>
      <c r="BK475" s="156"/>
      <c r="BL475" s="156"/>
    </row>
    <row r="476" spans="1:64">
      <c r="A476" s="184" t="str">
        <f t="shared" si="7"/>
        <v>20001472</v>
      </c>
      <c r="B476" s="164"/>
      <c r="C476" s="158" t="s">
        <v>3322</v>
      </c>
      <c r="D476" s="156" t="s">
        <v>2277</v>
      </c>
      <c r="E476" s="156"/>
      <c r="F476" s="164"/>
      <c r="G476" s="170"/>
      <c r="H476" s="170"/>
      <c r="I476" s="159" t="s">
        <v>2570</v>
      </c>
      <c r="J476" s="159" t="s">
        <v>2619</v>
      </c>
      <c r="K476" s="159"/>
      <c r="L476" s="159"/>
      <c r="M476" s="158"/>
      <c r="N476" s="158"/>
      <c r="O476" s="159"/>
      <c r="P476" s="159"/>
      <c r="Q476" s="159" t="s">
        <v>2840</v>
      </c>
      <c r="R476" s="159" t="s">
        <v>2863</v>
      </c>
      <c r="S476" s="159"/>
      <c r="T476" s="159"/>
      <c r="U476" s="158"/>
      <c r="V476" s="158"/>
      <c r="W476" s="159"/>
      <c r="X476" s="159"/>
      <c r="Y476" s="159"/>
      <c r="Z476" s="159"/>
      <c r="AA476" s="159"/>
      <c r="AB476" s="170"/>
      <c r="AC476" s="159" t="s">
        <v>45</v>
      </c>
      <c r="AD476" s="158"/>
      <c r="AE476" s="159"/>
      <c r="AF476" s="159"/>
      <c r="AG476" s="159"/>
      <c r="AH476" s="159"/>
      <c r="AI476" s="159"/>
      <c r="AJ476" s="159"/>
      <c r="AK476" s="159" t="s">
        <v>2600</v>
      </c>
      <c r="AL476" s="159"/>
      <c r="AM476" s="159"/>
      <c r="AN476" s="156" t="s">
        <v>2282</v>
      </c>
      <c r="AO476" s="162" t="s">
        <v>54</v>
      </c>
      <c r="AR476" s="178" t="s">
        <v>2618</v>
      </c>
      <c r="AS476" s="178" t="s">
        <v>2618</v>
      </c>
      <c r="BD476" s="185"/>
      <c r="BF476" s="156"/>
      <c r="BG476" s="159" t="s">
        <v>45</v>
      </c>
      <c r="BH476" s="156"/>
      <c r="BI476" s="159" t="s">
        <v>41</v>
      </c>
      <c r="BJ476" s="156">
        <v>2</v>
      </c>
      <c r="BK476" s="156"/>
      <c r="BL476" s="156"/>
    </row>
    <row r="477" spans="1:64">
      <c r="A477" s="184" t="str">
        <f t="shared" si="7"/>
        <v>20001473</v>
      </c>
      <c r="B477" s="164"/>
      <c r="C477" s="158" t="s">
        <v>3323</v>
      </c>
      <c r="D477" s="156" t="s">
        <v>2278</v>
      </c>
      <c r="E477" s="156"/>
      <c r="F477" s="164"/>
      <c r="G477" s="170"/>
      <c r="H477" s="170"/>
      <c r="I477" s="159" t="s">
        <v>2570</v>
      </c>
      <c r="J477" s="159" t="s">
        <v>2619</v>
      </c>
      <c r="K477" s="159"/>
      <c r="L477" s="159"/>
      <c r="M477" s="158"/>
      <c r="N477" s="158"/>
      <c r="O477" s="159"/>
      <c r="P477" s="159"/>
      <c r="Q477" s="159" t="s">
        <v>2840</v>
      </c>
      <c r="R477" s="159" t="s">
        <v>2863</v>
      </c>
      <c r="S477" s="159"/>
      <c r="T477" s="159"/>
      <c r="U477" s="158"/>
      <c r="V477" s="158"/>
      <c r="W477" s="159"/>
      <c r="X477" s="159"/>
      <c r="Y477" s="159"/>
      <c r="Z477" s="159"/>
      <c r="AA477" s="159"/>
      <c r="AB477" s="170"/>
      <c r="AC477" s="159" t="s">
        <v>45</v>
      </c>
      <c r="AD477" s="158"/>
      <c r="AE477" s="159"/>
      <c r="AF477" s="159"/>
      <c r="AG477" s="159"/>
      <c r="AH477" s="159"/>
      <c r="AI477" s="159"/>
      <c r="AJ477" s="159"/>
      <c r="AK477" s="159" t="s">
        <v>2600</v>
      </c>
      <c r="AL477" s="159"/>
      <c r="AM477" s="159"/>
      <c r="AN477" s="156" t="s">
        <v>2282</v>
      </c>
      <c r="AO477" s="162" t="s">
        <v>54</v>
      </c>
      <c r="AR477" s="178" t="s">
        <v>2618</v>
      </c>
      <c r="AS477" s="178" t="s">
        <v>2618</v>
      </c>
      <c r="BD477" s="185"/>
      <c r="BF477" s="156"/>
      <c r="BG477" s="159" t="s">
        <v>45</v>
      </c>
      <c r="BH477" s="156"/>
      <c r="BI477" s="159" t="s">
        <v>41</v>
      </c>
      <c r="BJ477" s="156">
        <v>2</v>
      </c>
      <c r="BK477" s="156"/>
      <c r="BL477" s="156"/>
    </row>
    <row r="478" spans="1:64">
      <c r="A478" s="184" t="str">
        <f t="shared" si="7"/>
        <v>20001474</v>
      </c>
      <c r="B478" s="164"/>
      <c r="C478" s="158" t="s">
        <v>3324</v>
      </c>
      <c r="D478" s="156" t="s">
        <v>2279</v>
      </c>
      <c r="E478" s="156"/>
      <c r="F478" s="164"/>
      <c r="G478" s="170"/>
      <c r="H478" s="170"/>
      <c r="I478" s="159" t="s">
        <v>2570</v>
      </c>
      <c r="J478" s="159" t="s">
        <v>2619</v>
      </c>
      <c r="K478" s="159"/>
      <c r="L478" s="159"/>
      <c r="M478" s="158"/>
      <c r="N478" s="158"/>
      <c r="O478" s="159"/>
      <c r="P478" s="159"/>
      <c r="Q478" s="159" t="s">
        <v>2840</v>
      </c>
      <c r="R478" s="159" t="s">
        <v>2863</v>
      </c>
      <c r="S478" s="159"/>
      <c r="T478" s="159"/>
      <c r="U478" s="158"/>
      <c r="V478" s="158"/>
      <c r="W478" s="159"/>
      <c r="X478" s="159"/>
      <c r="Y478" s="159"/>
      <c r="Z478" s="159"/>
      <c r="AA478" s="159"/>
      <c r="AB478" s="170"/>
      <c r="AC478" s="159" t="s">
        <v>45</v>
      </c>
      <c r="AD478" s="158"/>
      <c r="AE478" s="159"/>
      <c r="AF478" s="159"/>
      <c r="AG478" s="159"/>
      <c r="AH478" s="159"/>
      <c r="AI478" s="159"/>
      <c r="AJ478" s="159"/>
      <c r="AK478" s="159" t="s">
        <v>2600</v>
      </c>
      <c r="AL478" s="159"/>
      <c r="AM478" s="159"/>
      <c r="AN478" s="156" t="s">
        <v>2282</v>
      </c>
      <c r="AO478" s="162" t="s">
        <v>54</v>
      </c>
      <c r="AR478" s="178" t="s">
        <v>2618</v>
      </c>
      <c r="AS478" s="178" t="s">
        <v>2618</v>
      </c>
      <c r="BD478" s="185"/>
      <c r="BF478" s="156"/>
      <c r="BG478" s="159" t="s">
        <v>45</v>
      </c>
      <c r="BH478" s="156"/>
      <c r="BI478" s="159" t="s">
        <v>41</v>
      </c>
      <c r="BJ478" s="156">
        <v>2</v>
      </c>
      <c r="BK478" s="156"/>
      <c r="BL478" s="156"/>
    </row>
    <row r="479" spans="1:64">
      <c r="A479" s="184" t="str">
        <f t="shared" si="7"/>
        <v>20001475</v>
      </c>
      <c r="B479" s="164"/>
      <c r="C479" s="158" t="s">
        <v>3325</v>
      </c>
      <c r="D479" s="156" t="s">
        <v>2280</v>
      </c>
      <c r="E479" s="156"/>
      <c r="F479" s="164"/>
      <c r="G479" s="170"/>
      <c r="H479" s="170"/>
      <c r="I479" s="159" t="s">
        <v>2570</v>
      </c>
      <c r="J479" s="159" t="s">
        <v>2619</v>
      </c>
      <c r="K479" s="159"/>
      <c r="L479" s="159"/>
      <c r="M479" s="158"/>
      <c r="N479" s="158"/>
      <c r="O479" s="159"/>
      <c r="P479" s="159"/>
      <c r="Q479" s="159" t="s">
        <v>2840</v>
      </c>
      <c r="R479" s="159" t="s">
        <v>2863</v>
      </c>
      <c r="S479" s="159"/>
      <c r="T479" s="159"/>
      <c r="U479" s="158"/>
      <c r="V479" s="158"/>
      <c r="W479" s="159"/>
      <c r="X479" s="159"/>
      <c r="Y479" s="159"/>
      <c r="Z479" s="159"/>
      <c r="AA479" s="159"/>
      <c r="AB479" s="170"/>
      <c r="AC479" s="159" t="s">
        <v>45</v>
      </c>
      <c r="AD479" s="158"/>
      <c r="AE479" s="159"/>
      <c r="AF479" s="159"/>
      <c r="AG479" s="159"/>
      <c r="AH479" s="159"/>
      <c r="AI479" s="159"/>
      <c r="AJ479" s="159"/>
      <c r="AK479" s="159" t="s">
        <v>2600</v>
      </c>
      <c r="AL479" s="159"/>
      <c r="AM479" s="159"/>
      <c r="AN479" s="156" t="s">
        <v>2282</v>
      </c>
      <c r="AO479" s="162" t="s">
        <v>54</v>
      </c>
      <c r="AR479" s="178" t="s">
        <v>2618</v>
      </c>
      <c r="AS479" s="178" t="s">
        <v>2618</v>
      </c>
      <c r="BD479" s="185"/>
      <c r="BF479" s="156"/>
      <c r="BG479" s="159" t="s">
        <v>45</v>
      </c>
      <c r="BH479" s="156"/>
      <c r="BI479" s="159" t="s">
        <v>41</v>
      </c>
      <c r="BJ479" s="156">
        <v>2</v>
      </c>
      <c r="BK479" s="156"/>
      <c r="BL479" s="156"/>
    </row>
    <row r="480" spans="1:64">
      <c r="A480" s="184" t="str">
        <f t="shared" si="7"/>
        <v>30001476</v>
      </c>
      <c r="B480" s="164"/>
      <c r="C480" s="158" t="s">
        <v>3326</v>
      </c>
      <c r="D480" s="156" t="s">
        <v>2514</v>
      </c>
      <c r="E480" s="156"/>
      <c r="F480" s="164"/>
      <c r="G480" s="170"/>
      <c r="H480" s="170"/>
      <c r="I480" s="159" t="s">
        <v>2570</v>
      </c>
      <c r="J480" s="159" t="s">
        <v>2619</v>
      </c>
      <c r="K480" s="159"/>
      <c r="L480" s="159"/>
      <c r="M480" s="158"/>
      <c r="N480" s="158"/>
      <c r="O480" s="159"/>
      <c r="P480" s="159"/>
      <c r="Q480" s="159" t="s">
        <v>2840</v>
      </c>
      <c r="R480" s="159" t="s">
        <v>2863</v>
      </c>
      <c r="S480" s="159"/>
      <c r="T480" s="159"/>
      <c r="U480" s="158"/>
      <c r="V480" s="158"/>
      <c r="W480" s="159"/>
      <c r="X480" s="159"/>
      <c r="Y480" s="159"/>
      <c r="Z480" s="159"/>
      <c r="AA480" s="159"/>
      <c r="AB480" s="170"/>
      <c r="AC480" s="159" t="s">
        <v>71</v>
      </c>
      <c r="AD480" s="158"/>
      <c r="AE480" s="159"/>
      <c r="AF480" s="159"/>
      <c r="AG480" s="159"/>
      <c r="AH480" s="159"/>
      <c r="AI480" s="159"/>
      <c r="AJ480" s="159"/>
      <c r="AK480" s="159" t="s">
        <v>2600</v>
      </c>
      <c r="AL480" s="159"/>
      <c r="AM480" s="159"/>
      <c r="AN480" s="156" t="s">
        <v>2282</v>
      </c>
      <c r="AO480" s="162" t="s">
        <v>54</v>
      </c>
      <c r="AR480" s="178" t="s">
        <v>2618</v>
      </c>
      <c r="AS480" s="178" t="s">
        <v>2618</v>
      </c>
      <c r="BD480" s="185"/>
      <c r="BF480" s="156"/>
      <c r="BG480" s="159" t="s">
        <v>71</v>
      </c>
      <c r="BH480" s="156"/>
      <c r="BI480" s="159" t="s">
        <v>41</v>
      </c>
      <c r="BJ480" s="156">
        <v>2</v>
      </c>
      <c r="BK480" s="156"/>
      <c r="BL480" s="156"/>
    </row>
    <row r="481" spans="1:64">
      <c r="A481" s="184" t="str">
        <f t="shared" si="7"/>
        <v>10001477</v>
      </c>
      <c r="B481" s="164"/>
      <c r="C481" s="158" t="s">
        <v>3327</v>
      </c>
      <c r="D481" s="156" t="s">
        <v>2292</v>
      </c>
      <c r="E481" s="156"/>
      <c r="F481" s="164"/>
      <c r="G481" s="170"/>
      <c r="H481" s="170"/>
      <c r="I481" s="159" t="s">
        <v>2569</v>
      </c>
      <c r="J481" s="159" t="s">
        <v>2620</v>
      </c>
      <c r="K481" s="159"/>
      <c r="L481" s="159"/>
      <c r="M481" s="158"/>
      <c r="N481" s="158"/>
      <c r="O481" s="159"/>
      <c r="P481" s="159"/>
      <c r="Q481" s="159" t="s">
        <v>2840</v>
      </c>
      <c r="R481" s="159" t="s">
        <v>2863</v>
      </c>
      <c r="S481" s="159"/>
      <c r="T481" s="159"/>
      <c r="U481" s="158"/>
      <c r="V481" s="158"/>
      <c r="W481" s="159"/>
      <c r="X481" s="159"/>
      <c r="Y481" s="159"/>
      <c r="Z481" s="159"/>
      <c r="AA481" s="159"/>
      <c r="AB481" s="170"/>
      <c r="AC481" s="159" t="s">
        <v>30</v>
      </c>
      <c r="AD481" s="158"/>
      <c r="AE481" s="159"/>
      <c r="AF481" s="159"/>
      <c r="AG481" s="159"/>
      <c r="AH481" s="159"/>
      <c r="AI481" s="159"/>
      <c r="AJ481" s="159"/>
      <c r="AK481" s="159" t="s">
        <v>2600</v>
      </c>
      <c r="AL481" s="159"/>
      <c r="AM481" s="159"/>
      <c r="AN481" s="156" t="s">
        <v>543</v>
      </c>
      <c r="AO481" s="162" t="s">
        <v>2283</v>
      </c>
      <c r="AR481" s="178" t="s">
        <v>2618</v>
      </c>
      <c r="AS481" s="178" t="s">
        <v>2618</v>
      </c>
      <c r="BD481" s="185"/>
      <c r="BF481" s="156"/>
      <c r="BG481" s="159" t="s">
        <v>30</v>
      </c>
      <c r="BH481" s="156"/>
      <c r="BI481" s="159" t="s">
        <v>41</v>
      </c>
      <c r="BJ481" s="156">
        <v>2</v>
      </c>
      <c r="BK481" s="156"/>
      <c r="BL481" s="156"/>
    </row>
    <row r="482" spans="1:64">
      <c r="A482" s="184" t="str">
        <f t="shared" si="7"/>
        <v>20001478</v>
      </c>
      <c r="B482" s="164"/>
      <c r="C482" s="158" t="s">
        <v>3328</v>
      </c>
      <c r="D482" s="156" t="s">
        <v>2284</v>
      </c>
      <c r="E482" s="156"/>
      <c r="F482" s="164"/>
      <c r="G482" s="170"/>
      <c r="H482" s="170"/>
      <c r="I482" s="159" t="s">
        <v>2570</v>
      </c>
      <c r="J482" s="159" t="s">
        <v>2619</v>
      </c>
      <c r="K482" s="159"/>
      <c r="L482" s="159"/>
      <c r="M482" s="158"/>
      <c r="N482" s="158"/>
      <c r="O482" s="159"/>
      <c r="P482" s="159"/>
      <c r="Q482" s="159" t="s">
        <v>2840</v>
      </c>
      <c r="R482" s="159" t="s">
        <v>2863</v>
      </c>
      <c r="S482" s="159"/>
      <c r="T482" s="159"/>
      <c r="U482" s="158"/>
      <c r="V482" s="158"/>
      <c r="W482" s="159"/>
      <c r="X482" s="159"/>
      <c r="Y482" s="159"/>
      <c r="Z482" s="159"/>
      <c r="AA482" s="159"/>
      <c r="AB482" s="170"/>
      <c r="AC482" s="159" t="s">
        <v>45</v>
      </c>
      <c r="AD482" s="158"/>
      <c r="AE482" s="159"/>
      <c r="AF482" s="159"/>
      <c r="AG482" s="159"/>
      <c r="AH482" s="159"/>
      <c r="AI482" s="159"/>
      <c r="AJ482" s="159"/>
      <c r="AK482" s="159" t="s">
        <v>2600</v>
      </c>
      <c r="AL482" s="159"/>
      <c r="AM482" s="159"/>
      <c r="AN482" s="156" t="s">
        <v>543</v>
      </c>
      <c r="AO482" s="162" t="s">
        <v>54</v>
      </c>
      <c r="BD482" s="156" t="s">
        <v>2300</v>
      </c>
      <c r="BF482" s="156"/>
      <c r="BG482" s="159" t="s">
        <v>45</v>
      </c>
      <c r="BH482" s="156"/>
      <c r="BI482" s="159" t="s">
        <v>41</v>
      </c>
      <c r="BJ482" s="156">
        <v>2</v>
      </c>
      <c r="BK482" s="156"/>
      <c r="BL482" s="156"/>
    </row>
    <row r="483" spans="1:64">
      <c r="A483" s="184" t="str">
        <f t="shared" si="7"/>
        <v>20001479</v>
      </c>
      <c r="B483" s="164"/>
      <c r="C483" s="158" t="s">
        <v>3329</v>
      </c>
      <c r="D483" s="156" t="s">
        <v>2285</v>
      </c>
      <c r="E483" s="156"/>
      <c r="F483" s="164"/>
      <c r="G483" s="170"/>
      <c r="H483" s="170"/>
      <c r="I483" s="159" t="s">
        <v>2570</v>
      </c>
      <c r="J483" s="159" t="s">
        <v>2619</v>
      </c>
      <c r="K483" s="159"/>
      <c r="L483" s="159"/>
      <c r="M483" s="158"/>
      <c r="N483" s="158"/>
      <c r="O483" s="159"/>
      <c r="P483" s="159"/>
      <c r="Q483" s="159" t="s">
        <v>2840</v>
      </c>
      <c r="R483" s="159" t="s">
        <v>2863</v>
      </c>
      <c r="S483" s="159"/>
      <c r="T483" s="159"/>
      <c r="U483" s="158"/>
      <c r="V483" s="158"/>
      <c r="W483" s="159"/>
      <c r="X483" s="159"/>
      <c r="Y483" s="159"/>
      <c r="Z483" s="159"/>
      <c r="AA483" s="159"/>
      <c r="AB483" s="170"/>
      <c r="AC483" s="159" t="s">
        <v>45</v>
      </c>
      <c r="AD483" s="158"/>
      <c r="AE483" s="159"/>
      <c r="AF483" s="159"/>
      <c r="AG483" s="159"/>
      <c r="AH483" s="159"/>
      <c r="AI483" s="159"/>
      <c r="AJ483" s="159"/>
      <c r="AK483" s="159" t="s">
        <v>2600</v>
      </c>
      <c r="AL483" s="159"/>
      <c r="AM483" s="159"/>
      <c r="AN483" s="156" t="s">
        <v>543</v>
      </c>
      <c r="AO483" s="162" t="s">
        <v>54</v>
      </c>
      <c r="BD483" s="156" t="s">
        <v>2300</v>
      </c>
      <c r="BF483" s="156"/>
      <c r="BG483" s="159" t="s">
        <v>45</v>
      </c>
      <c r="BH483" s="156"/>
      <c r="BI483" s="159" t="s">
        <v>41</v>
      </c>
      <c r="BJ483" s="156">
        <v>2</v>
      </c>
      <c r="BK483" s="156"/>
      <c r="BL483" s="156"/>
    </row>
    <row r="484" spans="1:64">
      <c r="A484" s="184" t="str">
        <f t="shared" si="7"/>
        <v>20001480</v>
      </c>
      <c r="B484" s="164"/>
      <c r="C484" s="158" t="s">
        <v>3330</v>
      </c>
      <c r="D484" s="156" t="s">
        <v>2286</v>
      </c>
      <c r="E484" s="156"/>
      <c r="F484" s="164"/>
      <c r="G484" s="170"/>
      <c r="H484" s="170"/>
      <c r="I484" s="159" t="s">
        <v>2570</v>
      </c>
      <c r="J484" s="159" t="s">
        <v>2619</v>
      </c>
      <c r="K484" s="159"/>
      <c r="L484" s="159"/>
      <c r="M484" s="158"/>
      <c r="N484" s="158"/>
      <c r="O484" s="159"/>
      <c r="P484" s="159"/>
      <c r="Q484" s="159" t="s">
        <v>2840</v>
      </c>
      <c r="R484" s="159" t="s">
        <v>2863</v>
      </c>
      <c r="S484" s="159"/>
      <c r="T484" s="159"/>
      <c r="U484" s="158"/>
      <c r="V484" s="158"/>
      <c r="W484" s="159"/>
      <c r="X484" s="159"/>
      <c r="Y484" s="159"/>
      <c r="Z484" s="159"/>
      <c r="AA484" s="159"/>
      <c r="AB484" s="170"/>
      <c r="AC484" s="159" t="s">
        <v>45</v>
      </c>
      <c r="AD484" s="158"/>
      <c r="AE484" s="159"/>
      <c r="AF484" s="159"/>
      <c r="AG484" s="159"/>
      <c r="AH484" s="159"/>
      <c r="AI484" s="159"/>
      <c r="AJ484" s="159"/>
      <c r="AK484" s="159" t="s">
        <v>2600</v>
      </c>
      <c r="AL484" s="159"/>
      <c r="AM484" s="159"/>
      <c r="AN484" s="156" t="s">
        <v>543</v>
      </c>
      <c r="AO484" s="162" t="s">
        <v>54</v>
      </c>
      <c r="BD484" s="156" t="s">
        <v>2300</v>
      </c>
      <c r="BF484" s="156"/>
      <c r="BG484" s="159" t="s">
        <v>45</v>
      </c>
      <c r="BH484" s="156"/>
      <c r="BI484" s="159" t="s">
        <v>41</v>
      </c>
      <c r="BJ484" s="156">
        <v>2</v>
      </c>
      <c r="BK484" s="156"/>
      <c r="BL484" s="156"/>
    </row>
    <row r="485" spans="1:64">
      <c r="A485" s="184" t="str">
        <f t="shared" si="7"/>
        <v>20001481</v>
      </c>
      <c r="B485" s="164"/>
      <c r="C485" s="158" t="s">
        <v>3331</v>
      </c>
      <c r="D485" s="156" t="s">
        <v>2287</v>
      </c>
      <c r="E485" s="156"/>
      <c r="F485" s="164"/>
      <c r="G485" s="170"/>
      <c r="H485" s="170"/>
      <c r="I485" s="159" t="s">
        <v>2570</v>
      </c>
      <c r="J485" s="159" t="s">
        <v>2619</v>
      </c>
      <c r="K485" s="159"/>
      <c r="L485" s="159"/>
      <c r="M485" s="158"/>
      <c r="N485" s="158"/>
      <c r="O485" s="159"/>
      <c r="P485" s="159"/>
      <c r="Q485" s="159" t="s">
        <v>2840</v>
      </c>
      <c r="R485" s="159" t="s">
        <v>2863</v>
      </c>
      <c r="S485" s="159"/>
      <c r="T485" s="159"/>
      <c r="U485" s="158"/>
      <c r="V485" s="158"/>
      <c r="W485" s="159"/>
      <c r="X485" s="159"/>
      <c r="Y485" s="159"/>
      <c r="Z485" s="159"/>
      <c r="AA485" s="159"/>
      <c r="AB485" s="170"/>
      <c r="AC485" s="159" t="s">
        <v>45</v>
      </c>
      <c r="AD485" s="158"/>
      <c r="AE485" s="159"/>
      <c r="AF485" s="159"/>
      <c r="AG485" s="159"/>
      <c r="AH485" s="159"/>
      <c r="AI485" s="159"/>
      <c r="AJ485" s="159"/>
      <c r="AK485" s="159" t="s">
        <v>2600</v>
      </c>
      <c r="AL485" s="159"/>
      <c r="AM485" s="159"/>
      <c r="AN485" s="156" t="s">
        <v>543</v>
      </c>
      <c r="AO485" s="162" t="s">
        <v>54</v>
      </c>
      <c r="BD485" s="156" t="s">
        <v>2300</v>
      </c>
      <c r="BF485" s="156"/>
      <c r="BG485" s="159" t="s">
        <v>45</v>
      </c>
      <c r="BH485" s="156"/>
      <c r="BI485" s="159" t="s">
        <v>41</v>
      </c>
      <c r="BJ485" s="156">
        <v>2</v>
      </c>
      <c r="BK485" s="156"/>
      <c r="BL485" s="156"/>
    </row>
    <row r="486" spans="1:64">
      <c r="A486" s="184" t="str">
        <f t="shared" si="7"/>
        <v>20001482</v>
      </c>
      <c r="B486" s="164"/>
      <c r="C486" s="158" t="s">
        <v>3332</v>
      </c>
      <c r="D486" s="156" t="s">
        <v>2293</v>
      </c>
      <c r="E486" s="156"/>
      <c r="F486" s="164"/>
      <c r="G486" s="170"/>
      <c r="H486" s="170"/>
      <c r="I486" s="159" t="s">
        <v>2570</v>
      </c>
      <c r="J486" s="159" t="s">
        <v>2619</v>
      </c>
      <c r="K486" s="159"/>
      <c r="L486" s="159"/>
      <c r="M486" s="158"/>
      <c r="N486" s="158"/>
      <c r="O486" s="159"/>
      <c r="P486" s="159"/>
      <c r="Q486" s="159" t="s">
        <v>2840</v>
      </c>
      <c r="R486" s="159" t="s">
        <v>2863</v>
      </c>
      <c r="S486" s="159"/>
      <c r="T486" s="159"/>
      <c r="U486" s="158"/>
      <c r="V486" s="158"/>
      <c r="W486" s="159"/>
      <c r="X486" s="159"/>
      <c r="Y486" s="159"/>
      <c r="Z486" s="159"/>
      <c r="AA486" s="159"/>
      <c r="AB486" s="170"/>
      <c r="AC486" s="159" t="s">
        <v>45</v>
      </c>
      <c r="AD486" s="158"/>
      <c r="AE486" s="159"/>
      <c r="AF486" s="159"/>
      <c r="AG486" s="159"/>
      <c r="AH486" s="159"/>
      <c r="AI486" s="159"/>
      <c r="AJ486" s="159"/>
      <c r="AK486" s="159" t="s">
        <v>2600</v>
      </c>
      <c r="AL486" s="159"/>
      <c r="AM486" s="159"/>
      <c r="AN486" s="156" t="s">
        <v>543</v>
      </c>
      <c r="AO486" s="162" t="s">
        <v>54</v>
      </c>
      <c r="BD486" s="156" t="s">
        <v>2300</v>
      </c>
      <c r="BF486" s="156"/>
      <c r="BG486" s="159" t="s">
        <v>45</v>
      </c>
      <c r="BH486" s="156"/>
      <c r="BI486" s="159" t="s">
        <v>41</v>
      </c>
      <c r="BJ486" s="156">
        <v>2</v>
      </c>
      <c r="BK486" s="156"/>
      <c r="BL486" s="156"/>
    </row>
    <row r="487" spans="1:64">
      <c r="A487" s="184" t="str">
        <f t="shared" si="7"/>
        <v>10001483</v>
      </c>
      <c r="B487" s="164"/>
      <c r="C487" s="158" t="s">
        <v>3333</v>
      </c>
      <c r="D487" s="156" t="s">
        <v>2290</v>
      </c>
      <c r="E487" s="156"/>
      <c r="F487" s="164"/>
      <c r="G487" s="170"/>
      <c r="H487" s="170"/>
      <c r="I487" s="159" t="s">
        <v>2569</v>
      </c>
      <c r="J487" s="159" t="s">
        <v>2619</v>
      </c>
      <c r="K487" s="159"/>
      <c r="L487" s="159"/>
      <c r="M487" s="158"/>
      <c r="N487" s="158"/>
      <c r="O487" s="159"/>
      <c r="P487" s="159"/>
      <c r="Q487" s="159" t="s">
        <v>2840</v>
      </c>
      <c r="R487" s="159" t="s">
        <v>2863</v>
      </c>
      <c r="S487" s="159"/>
      <c r="T487" s="159"/>
      <c r="U487" s="158"/>
      <c r="V487" s="158"/>
      <c r="W487" s="159"/>
      <c r="X487" s="159"/>
      <c r="Y487" s="159"/>
      <c r="Z487" s="159"/>
      <c r="AA487" s="159"/>
      <c r="AB487" s="170"/>
      <c r="AC487" s="159" t="s">
        <v>30</v>
      </c>
      <c r="AD487" s="158"/>
      <c r="AE487" s="159"/>
      <c r="AF487" s="159"/>
      <c r="AG487" s="159"/>
      <c r="AH487" s="159"/>
      <c r="AI487" s="159"/>
      <c r="AJ487" s="159"/>
      <c r="AK487" s="159" t="s">
        <v>2600</v>
      </c>
      <c r="AL487" s="159"/>
      <c r="AM487" s="159"/>
      <c r="AN487" s="156" t="s">
        <v>543</v>
      </c>
      <c r="AO487" s="162" t="s">
        <v>54</v>
      </c>
      <c r="BD487" s="156" t="s">
        <v>530</v>
      </c>
      <c r="BF487" s="156"/>
      <c r="BG487" s="159" t="s">
        <v>30</v>
      </c>
      <c r="BH487" s="156"/>
      <c r="BI487" s="159" t="s">
        <v>41</v>
      </c>
      <c r="BJ487" s="156">
        <v>2</v>
      </c>
      <c r="BK487" s="156"/>
    </row>
    <row r="488" spans="1:64">
      <c r="A488" s="184" t="str">
        <f t="shared" si="7"/>
        <v>20001484</v>
      </c>
      <c r="B488" s="164"/>
      <c r="C488" s="158" t="s">
        <v>3334</v>
      </c>
      <c r="D488" s="156" t="s">
        <v>2291</v>
      </c>
      <c r="E488" s="156"/>
      <c r="F488" s="164"/>
      <c r="G488" s="170"/>
      <c r="H488" s="170"/>
      <c r="I488" s="159" t="s">
        <v>2569</v>
      </c>
      <c r="J488" s="159" t="s">
        <v>2619</v>
      </c>
      <c r="K488" s="159"/>
      <c r="L488" s="159"/>
      <c r="M488" s="158"/>
      <c r="N488" s="158"/>
      <c r="O488" s="159"/>
      <c r="P488" s="159"/>
      <c r="Q488" s="159" t="s">
        <v>2840</v>
      </c>
      <c r="R488" s="159" t="s">
        <v>2863</v>
      </c>
      <c r="S488" s="159"/>
      <c r="T488" s="159"/>
      <c r="U488" s="158"/>
      <c r="V488" s="158"/>
      <c r="W488" s="159"/>
      <c r="X488" s="159"/>
      <c r="Y488" s="159"/>
      <c r="Z488" s="159"/>
      <c r="AA488" s="159"/>
      <c r="AB488" s="170"/>
      <c r="AC488" s="159" t="s">
        <v>45</v>
      </c>
      <c r="AD488" s="158"/>
      <c r="AE488" s="159"/>
      <c r="AF488" s="159"/>
      <c r="AG488" s="159"/>
      <c r="AH488" s="159"/>
      <c r="AI488" s="159"/>
      <c r="AJ488" s="159"/>
      <c r="AK488" s="159" t="s">
        <v>2600</v>
      </c>
      <c r="AL488" s="159"/>
      <c r="AM488" s="159"/>
      <c r="AN488" s="156" t="s">
        <v>543</v>
      </c>
      <c r="AO488" s="162" t="s">
        <v>54</v>
      </c>
      <c r="BD488" s="156" t="s">
        <v>530</v>
      </c>
      <c r="BF488" s="156"/>
      <c r="BG488" s="159" t="s">
        <v>45</v>
      </c>
      <c r="BH488" s="156"/>
      <c r="BI488" s="159" t="s">
        <v>41</v>
      </c>
      <c r="BJ488" s="156">
        <v>2</v>
      </c>
      <c r="BK488" s="156"/>
    </row>
    <row r="489" spans="1:64">
      <c r="A489" s="184" t="str">
        <f t="shared" si="7"/>
        <v>20001485</v>
      </c>
      <c r="B489" s="164"/>
      <c r="C489" s="158" t="s">
        <v>3335</v>
      </c>
      <c r="D489" s="156" t="s">
        <v>2294</v>
      </c>
      <c r="E489" s="156"/>
      <c r="F489" s="164"/>
      <c r="G489" s="170"/>
      <c r="H489" s="170"/>
      <c r="I489" s="159" t="s">
        <v>2569</v>
      </c>
      <c r="J489" s="159" t="s">
        <v>2619</v>
      </c>
      <c r="K489" s="159"/>
      <c r="L489" s="159"/>
      <c r="M489" s="158"/>
      <c r="N489" s="158"/>
      <c r="O489" s="159"/>
      <c r="P489" s="159"/>
      <c r="Q489" s="159" t="s">
        <v>2840</v>
      </c>
      <c r="R489" s="159" t="s">
        <v>2863</v>
      </c>
      <c r="S489" s="159"/>
      <c r="T489" s="159"/>
      <c r="U489" s="158"/>
      <c r="V489" s="158"/>
      <c r="W489" s="159"/>
      <c r="X489" s="159"/>
      <c r="Y489" s="159"/>
      <c r="Z489" s="159"/>
      <c r="AA489" s="159"/>
      <c r="AB489" s="170"/>
      <c r="AC489" s="159" t="s">
        <v>45</v>
      </c>
      <c r="AD489" s="158"/>
      <c r="AE489" s="159"/>
      <c r="AF489" s="159"/>
      <c r="AG489" s="159"/>
      <c r="AH489" s="159"/>
      <c r="AI489" s="159"/>
      <c r="AJ489" s="159"/>
      <c r="AK489" s="159" t="s">
        <v>2600</v>
      </c>
      <c r="AL489" s="159"/>
      <c r="AM489" s="159"/>
      <c r="AN489" s="156" t="s">
        <v>543</v>
      </c>
      <c r="AO489" s="162" t="s">
        <v>54</v>
      </c>
      <c r="BD489" s="156" t="s">
        <v>530</v>
      </c>
      <c r="BF489" s="156"/>
      <c r="BG489" s="159" t="s">
        <v>45</v>
      </c>
      <c r="BH489" s="156"/>
      <c r="BI489" s="159" t="s">
        <v>41</v>
      </c>
      <c r="BJ489" s="156">
        <v>2</v>
      </c>
      <c r="BK489" s="156"/>
    </row>
    <row r="490" spans="1:64">
      <c r="A490" s="184" t="str">
        <f t="shared" si="7"/>
        <v>42606486</v>
      </c>
      <c r="B490" s="164" t="s">
        <v>2398</v>
      </c>
      <c r="C490" s="158" t="s">
        <v>3336</v>
      </c>
      <c r="D490" s="156" t="s">
        <v>2410</v>
      </c>
      <c r="E490" s="156"/>
      <c r="F490" s="164" t="s">
        <v>2399</v>
      </c>
      <c r="G490" s="170">
        <v>36496</v>
      </c>
      <c r="H490" s="170"/>
      <c r="I490" s="159" t="s">
        <v>2570</v>
      </c>
      <c r="J490" s="159" t="s">
        <v>2619</v>
      </c>
      <c r="K490" s="166" t="s">
        <v>302</v>
      </c>
      <c r="L490" s="159" t="s">
        <v>932</v>
      </c>
      <c r="M490" s="209" t="s">
        <v>2623</v>
      </c>
      <c r="N490" s="209" t="s">
        <v>2622</v>
      </c>
      <c r="O490" s="159" t="s">
        <v>2659</v>
      </c>
      <c r="P490" s="159" t="s">
        <v>2659</v>
      </c>
      <c r="Q490" s="159" t="s">
        <v>2840</v>
      </c>
      <c r="R490" s="159" t="s">
        <v>2863</v>
      </c>
      <c r="T490" s="159" t="s">
        <v>932</v>
      </c>
      <c r="U490" s="209" t="s">
        <v>2623</v>
      </c>
      <c r="V490" s="209" t="s">
        <v>2622</v>
      </c>
      <c r="W490" s="159" t="s">
        <v>2659</v>
      </c>
      <c r="X490" s="159" t="s">
        <v>2659</v>
      </c>
      <c r="Y490" s="159" t="s">
        <v>2840</v>
      </c>
      <c r="Z490" s="159" t="s">
        <v>2863</v>
      </c>
      <c r="AB490" s="170">
        <v>46181</v>
      </c>
      <c r="AC490" s="159" t="s">
        <v>129</v>
      </c>
      <c r="AD490" s="158"/>
      <c r="AE490" s="159"/>
      <c r="AF490" s="159"/>
      <c r="AG490" s="159"/>
      <c r="AH490" s="159"/>
      <c r="AI490" s="159"/>
      <c r="AJ490" s="159"/>
      <c r="AK490" s="159" t="s">
        <v>2600</v>
      </c>
      <c r="AL490" s="159"/>
      <c r="AM490" s="159"/>
      <c r="AN490" s="159" t="s">
        <v>786</v>
      </c>
      <c r="AO490" s="172" t="s">
        <v>115</v>
      </c>
      <c r="AP490" s="172"/>
      <c r="AQ490" s="172"/>
      <c r="BD490" s="185" t="s">
        <v>1442</v>
      </c>
      <c r="BE490" s="156" t="s">
        <v>2304</v>
      </c>
      <c r="BF490" s="156" t="s">
        <v>1539</v>
      </c>
      <c r="BG490" s="159" t="s">
        <v>129</v>
      </c>
      <c r="BH490" s="162" t="s">
        <v>46</v>
      </c>
      <c r="BI490" s="159" t="s">
        <v>41</v>
      </c>
      <c r="BJ490" s="156">
        <v>1</v>
      </c>
      <c r="BK490" s="156"/>
    </row>
    <row r="491" spans="1:64">
      <c r="A491" s="184" t="str">
        <f t="shared" si="7"/>
        <v>42606487</v>
      </c>
      <c r="B491" s="164" t="s">
        <v>2401</v>
      </c>
      <c r="C491" s="158" t="s">
        <v>3337</v>
      </c>
      <c r="D491" s="156" t="s">
        <v>2400</v>
      </c>
      <c r="E491" s="156"/>
      <c r="F491" s="164" t="s">
        <v>2403</v>
      </c>
      <c r="G491" s="170">
        <v>36878</v>
      </c>
      <c r="H491" s="170"/>
      <c r="I491" s="159" t="s">
        <v>2569</v>
      </c>
      <c r="J491" s="159" t="s">
        <v>2619</v>
      </c>
      <c r="K491" s="166" t="s">
        <v>302</v>
      </c>
      <c r="L491" s="159" t="s">
        <v>2402</v>
      </c>
      <c r="M491" s="209" t="s">
        <v>2625</v>
      </c>
      <c r="N491" s="209" t="s">
        <v>2621</v>
      </c>
      <c r="O491" s="166" t="s">
        <v>2658</v>
      </c>
      <c r="P491" s="166" t="s">
        <v>2799</v>
      </c>
      <c r="Q491" s="159" t="s">
        <v>2843</v>
      </c>
      <c r="R491" s="159" t="s">
        <v>2863</v>
      </c>
      <c r="T491" s="159" t="s">
        <v>2402</v>
      </c>
      <c r="U491" s="209" t="s">
        <v>2625</v>
      </c>
      <c r="V491" s="209" t="s">
        <v>2621</v>
      </c>
      <c r="W491" s="166" t="s">
        <v>2658</v>
      </c>
      <c r="X491" s="166" t="s">
        <v>2799</v>
      </c>
      <c r="Y491" s="159" t="s">
        <v>2843</v>
      </c>
      <c r="Z491" s="159" t="s">
        <v>2863</v>
      </c>
      <c r="AB491" s="170">
        <v>46181</v>
      </c>
      <c r="AC491" s="159" t="s">
        <v>129</v>
      </c>
      <c r="AD491" s="158"/>
      <c r="AE491" s="159"/>
      <c r="AF491" s="159"/>
      <c r="AG491" s="159"/>
      <c r="AH491" s="159"/>
      <c r="AI491" s="159"/>
      <c r="AJ491" s="159"/>
      <c r="AK491" s="159" t="s">
        <v>2600</v>
      </c>
      <c r="AL491" s="159"/>
      <c r="AM491" s="159"/>
      <c r="AN491" s="159" t="s">
        <v>29</v>
      </c>
      <c r="AO491" s="162" t="s">
        <v>115</v>
      </c>
      <c r="BE491" s="185" t="s">
        <v>128</v>
      </c>
      <c r="BF491" s="156"/>
      <c r="BG491" s="159" t="s">
        <v>129</v>
      </c>
      <c r="BH491" s="162" t="s">
        <v>46</v>
      </c>
      <c r="BI491" s="159" t="s">
        <v>41</v>
      </c>
      <c r="BJ491" s="156">
        <v>1</v>
      </c>
      <c r="BK491" s="156"/>
    </row>
    <row r="492" spans="1:64">
      <c r="A492" s="184" t="str">
        <f t="shared" si="7"/>
        <v>42606488</v>
      </c>
      <c r="B492" s="164" t="s">
        <v>2405</v>
      </c>
      <c r="C492" s="158" t="s">
        <v>3338</v>
      </c>
      <c r="D492" s="156" t="s">
        <v>2404</v>
      </c>
      <c r="E492" s="156"/>
      <c r="F492" s="164" t="s">
        <v>2406</v>
      </c>
      <c r="G492" s="170">
        <v>35934</v>
      </c>
      <c r="H492" s="170"/>
      <c r="I492" s="159" t="s">
        <v>2569</v>
      </c>
      <c r="J492" s="159" t="s">
        <v>2619</v>
      </c>
      <c r="K492" s="166" t="s">
        <v>81</v>
      </c>
      <c r="L492" s="159" t="s">
        <v>755</v>
      </c>
      <c r="M492" s="209" t="s">
        <v>2628</v>
      </c>
      <c r="N492" s="209" t="s">
        <v>2626</v>
      </c>
      <c r="O492" s="166" t="s">
        <v>2660</v>
      </c>
      <c r="P492" s="166" t="s">
        <v>2662</v>
      </c>
      <c r="Q492" s="159" t="s">
        <v>2840</v>
      </c>
      <c r="R492" s="159" t="s">
        <v>2863</v>
      </c>
      <c r="T492" s="159" t="s">
        <v>755</v>
      </c>
      <c r="U492" s="209" t="s">
        <v>2628</v>
      </c>
      <c r="V492" s="209" t="s">
        <v>2626</v>
      </c>
      <c r="W492" s="166" t="s">
        <v>2660</v>
      </c>
      <c r="X492" s="166" t="s">
        <v>2662</v>
      </c>
      <c r="Y492" s="159" t="s">
        <v>2840</v>
      </c>
      <c r="Z492" s="159" t="s">
        <v>2863</v>
      </c>
      <c r="AB492" s="170">
        <v>46181</v>
      </c>
      <c r="AC492" s="159" t="s">
        <v>129</v>
      </c>
      <c r="AD492" s="158"/>
      <c r="AE492" s="159"/>
      <c r="AF492" s="159"/>
      <c r="AG492" s="159"/>
      <c r="AH492" s="159"/>
      <c r="AI492" s="159"/>
      <c r="AJ492" s="159"/>
      <c r="AK492" s="159" t="s">
        <v>2600</v>
      </c>
      <c r="AL492" s="159"/>
      <c r="AM492" s="159"/>
      <c r="AN492" s="159" t="s">
        <v>786</v>
      </c>
      <c r="AO492" s="162" t="s">
        <v>115</v>
      </c>
      <c r="BD492" s="185" t="s">
        <v>1002</v>
      </c>
      <c r="BE492" s="156" t="s">
        <v>2457</v>
      </c>
      <c r="BF492" s="156" t="s">
        <v>1049</v>
      </c>
      <c r="BG492" s="159" t="s">
        <v>129</v>
      </c>
      <c r="BH492" s="162" t="s">
        <v>46</v>
      </c>
      <c r="BI492" s="159" t="s">
        <v>41</v>
      </c>
      <c r="BJ492" s="156">
        <v>1</v>
      </c>
      <c r="BK492" s="156"/>
    </row>
    <row r="493" spans="1:64">
      <c r="A493" s="184" t="str">
        <f t="shared" si="7"/>
        <v>42606489</v>
      </c>
      <c r="B493" s="176" t="s">
        <v>2393</v>
      </c>
      <c r="C493" s="158" t="s">
        <v>3339</v>
      </c>
      <c r="D493" s="162" t="s">
        <v>2392</v>
      </c>
      <c r="F493" s="176" t="s">
        <v>2394</v>
      </c>
      <c r="G493" s="171">
        <v>34079</v>
      </c>
      <c r="I493" s="159" t="s">
        <v>2570</v>
      </c>
      <c r="J493" s="159" t="s">
        <v>2619</v>
      </c>
      <c r="K493" s="166" t="s">
        <v>302</v>
      </c>
      <c r="L493" s="166" t="s">
        <v>74</v>
      </c>
      <c r="M493" s="209" t="s">
        <v>2647</v>
      </c>
      <c r="N493" s="209" t="s">
        <v>2625</v>
      </c>
      <c r="O493" s="159" t="s">
        <v>2659</v>
      </c>
      <c r="P493" s="159" t="s">
        <v>2659</v>
      </c>
      <c r="Q493" s="159" t="s">
        <v>2840</v>
      </c>
      <c r="R493" s="159" t="s">
        <v>2863</v>
      </c>
      <c r="T493" s="166" t="s">
        <v>74</v>
      </c>
      <c r="U493" s="209" t="s">
        <v>2647</v>
      </c>
      <c r="V493" s="209" t="s">
        <v>2625</v>
      </c>
      <c r="W493" s="159" t="s">
        <v>2659</v>
      </c>
      <c r="X493" s="159" t="s">
        <v>2659</v>
      </c>
      <c r="Y493" s="159" t="s">
        <v>2840</v>
      </c>
      <c r="Z493" s="159" t="s">
        <v>2863</v>
      </c>
      <c r="AB493" s="171">
        <v>46184</v>
      </c>
      <c r="AC493" s="159" t="s">
        <v>129</v>
      </c>
      <c r="AD493" s="158"/>
      <c r="AE493" s="159"/>
      <c r="AF493" s="159"/>
      <c r="AG493" s="159"/>
      <c r="AH493" s="159"/>
      <c r="AI493" s="159"/>
      <c r="AJ493" s="159"/>
      <c r="AK493" s="159" t="s">
        <v>2600</v>
      </c>
      <c r="AL493" s="159"/>
      <c r="AM493" s="159"/>
      <c r="AN493" s="159" t="s">
        <v>786</v>
      </c>
      <c r="AO493" s="172" t="s">
        <v>115</v>
      </c>
      <c r="AP493" s="172"/>
      <c r="AQ493" s="172"/>
      <c r="BD493" s="185" t="s">
        <v>1442</v>
      </c>
      <c r="BE493" s="156" t="s">
        <v>2304</v>
      </c>
      <c r="BF493" s="159" t="s">
        <v>1482</v>
      </c>
      <c r="BG493" s="159" t="s">
        <v>129</v>
      </c>
      <c r="BH493" s="162" t="s">
        <v>46</v>
      </c>
      <c r="BI493" s="159" t="s">
        <v>41</v>
      </c>
      <c r="BJ493" s="156">
        <v>1</v>
      </c>
    </row>
    <row r="494" spans="1:64">
      <c r="A494" s="184" t="str">
        <f t="shared" si="7"/>
        <v>42606490</v>
      </c>
      <c r="B494" s="176" t="s">
        <v>2396</v>
      </c>
      <c r="C494" s="158" t="s">
        <v>3340</v>
      </c>
      <c r="D494" s="162" t="s">
        <v>2395</v>
      </c>
      <c r="F494" s="176" t="s">
        <v>2397</v>
      </c>
      <c r="G494" s="171">
        <v>37455</v>
      </c>
      <c r="I494" s="159" t="s">
        <v>2569</v>
      </c>
      <c r="J494" s="159" t="s">
        <v>2619</v>
      </c>
      <c r="K494" s="166" t="s">
        <v>302</v>
      </c>
      <c r="L494" s="166" t="s">
        <v>2215</v>
      </c>
      <c r="M494" s="209" t="s">
        <v>2623</v>
      </c>
      <c r="N494" s="209" t="s">
        <v>2626</v>
      </c>
      <c r="O494" s="166" t="s">
        <v>2699</v>
      </c>
      <c r="P494" s="159" t="s">
        <v>2659</v>
      </c>
      <c r="Q494" s="159" t="s">
        <v>2840</v>
      </c>
      <c r="R494" s="159" t="s">
        <v>2863</v>
      </c>
      <c r="T494" s="166" t="s">
        <v>2215</v>
      </c>
      <c r="U494" s="209" t="s">
        <v>2623</v>
      </c>
      <c r="V494" s="209" t="s">
        <v>2626</v>
      </c>
      <c r="W494" s="166" t="s">
        <v>2699</v>
      </c>
      <c r="X494" s="159" t="s">
        <v>2659</v>
      </c>
      <c r="Y494" s="159" t="s">
        <v>2840</v>
      </c>
      <c r="Z494" s="159" t="s">
        <v>2863</v>
      </c>
      <c r="AB494" s="171">
        <v>46185</v>
      </c>
      <c r="AC494" s="159" t="s">
        <v>129</v>
      </c>
      <c r="AD494" s="158"/>
      <c r="AE494" s="159"/>
      <c r="AF494" s="159"/>
      <c r="AG494" s="159"/>
      <c r="AH494" s="159"/>
      <c r="AI494" s="159"/>
      <c r="AJ494" s="159"/>
      <c r="AK494" s="159" t="s">
        <v>2600</v>
      </c>
      <c r="AL494" s="159"/>
      <c r="AM494" s="159"/>
      <c r="AN494" s="159" t="s">
        <v>786</v>
      </c>
      <c r="AO494" s="162" t="s">
        <v>115</v>
      </c>
      <c r="BD494" s="185" t="s">
        <v>1442</v>
      </c>
      <c r="BE494" s="156" t="s">
        <v>1920</v>
      </c>
      <c r="BF494" s="162" t="s">
        <v>1539</v>
      </c>
      <c r="BG494" s="159" t="s">
        <v>129</v>
      </c>
      <c r="BH494" s="162" t="s">
        <v>46</v>
      </c>
      <c r="BI494" s="159" t="s">
        <v>41</v>
      </c>
      <c r="BJ494" s="156">
        <v>1</v>
      </c>
    </row>
    <row r="495" spans="1:64">
      <c r="A495" s="184" t="str">
        <f t="shared" si="7"/>
        <v>42606491</v>
      </c>
      <c r="B495" s="176" t="s">
        <v>2408</v>
      </c>
      <c r="C495" s="158" t="s">
        <v>3341</v>
      </c>
      <c r="D495" s="162" t="s">
        <v>2407</v>
      </c>
      <c r="F495" s="176" t="s">
        <v>2409</v>
      </c>
      <c r="G495" s="171">
        <v>39270</v>
      </c>
      <c r="I495" s="159" t="s">
        <v>2569</v>
      </c>
      <c r="J495" s="159" t="s">
        <v>2619</v>
      </c>
      <c r="K495" s="166" t="s">
        <v>81</v>
      </c>
      <c r="L495" s="166" t="s">
        <v>136</v>
      </c>
      <c r="M495" s="209" t="s">
        <v>2626</v>
      </c>
      <c r="N495" s="209" t="s">
        <v>2639</v>
      </c>
      <c r="O495" s="166" t="s">
        <v>2699</v>
      </c>
      <c r="P495" s="159" t="s">
        <v>2659</v>
      </c>
      <c r="Q495" s="159" t="s">
        <v>2840</v>
      </c>
      <c r="R495" s="159" t="s">
        <v>2863</v>
      </c>
      <c r="T495" s="166" t="s">
        <v>136</v>
      </c>
      <c r="U495" s="209" t="s">
        <v>2626</v>
      </c>
      <c r="V495" s="209" t="s">
        <v>2639</v>
      </c>
      <c r="W495" s="166" t="s">
        <v>2699</v>
      </c>
      <c r="X495" s="159" t="s">
        <v>2659</v>
      </c>
      <c r="Y495" s="159" t="s">
        <v>2840</v>
      </c>
      <c r="Z495" s="159" t="s">
        <v>2863</v>
      </c>
      <c r="AB495" s="171">
        <v>46188</v>
      </c>
      <c r="AC495" s="159" t="s">
        <v>129</v>
      </c>
      <c r="AD495" s="158"/>
      <c r="AE495" s="159"/>
      <c r="AF495" s="159"/>
      <c r="AG495" s="159"/>
      <c r="AH495" s="159"/>
      <c r="AI495" s="159"/>
      <c r="AJ495" s="159"/>
      <c r="AK495" s="159" t="s">
        <v>2600</v>
      </c>
      <c r="AL495" s="159"/>
      <c r="AM495" s="159"/>
      <c r="AN495" s="159" t="s">
        <v>786</v>
      </c>
      <c r="AO495" s="162" t="s">
        <v>115</v>
      </c>
      <c r="BD495" s="162" t="s">
        <v>787</v>
      </c>
      <c r="BE495" s="156" t="s">
        <v>2322</v>
      </c>
      <c r="BF495" s="162" t="s">
        <v>841</v>
      </c>
      <c r="BG495" s="159" t="s">
        <v>129</v>
      </c>
      <c r="BH495" s="162" t="s">
        <v>46</v>
      </c>
      <c r="BI495" s="159" t="s">
        <v>41</v>
      </c>
      <c r="BJ495" s="156">
        <v>1</v>
      </c>
    </row>
    <row r="496" spans="1:64">
      <c r="A496" s="184" t="str">
        <f t="shared" si="7"/>
        <v>42606492</v>
      </c>
      <c r="B496" s="176" t="s">
        <v>2412</v>
      </c>
      <c r="C496" s="158" t="s">
        <v>3342</v>
      </c>
      <c r="D496" s="162" t="s">
        <v>2411</v>
      </c>
      <c r="F496" s="176" t="s">
        <v>2413</v>
      </c>
      <c r="G496" s="171">
        <v>36987</v>
      </c>
      <c r="I496" s="159" t="s">
        <v>2569</v>
      </c>
      <c r="J496" s="159" t="s">
        <v>2619</v>
      </c>
      <c r="K496" s="166" t="s">
        <v>81</v>
      </c>
      <c r="L496" s="166" t="s">
        <v>932</v>
      </c>
      <c r="M496" s="209" t="s">
        <v>2623</v>
      </c>
      <c r="N496" s="209" t="s">
        <v>2622</v>
      </c>
      <c r="O496" s="166" t="s">
        <v>2659</v>
      </c>
      <c r="P496" s="159" t="s">
        <v>2659</v>
      </c>
      <c r="Q496" s="159" t="s">
        <v>2840</v>
      </c>
      <c r="R496" s="159" t="s">
        <v>2863</v>
      </c>
      <c r="T496" s="166" t="s">
        <v>932</v>
      </c>
      <c r="U496" s="209" t="s">
        <v>2623</v>
      </c>
      <c r="V496" s="209" t="s">
        <v>2622</v>
      </c>
      <c r="W496" s="166" t="s">
        <v>2659</v>
      </c>
      <c r="X496" s="159" t="s">
        <v>2659</v>
      </c>
      <c r="Y496" s="159" t="s">
        <v>2840</v>
      </c>
      <c r="Z496" s="159" t="s">
        <v>2863</v>
      </c>
      <c r="AB496" s="171">
        <v>46191</v>
      </c>
      <c r="AC496" s="159" t="s">
        <v>129</v>
      </c>
      <c r="AD496" s="158"/>
      <c r="AE496" s="159"/>
      <c r="AF496" s="159"/>
      <c r="AG496" s="159"/>
      <c r="AH496" s="159"/>
      <c r="AI496" s="159"/>
      <c r="AJ496" s="159"/>
      <c r="AK496" s="159" t="s">
        <v>2600</v>
      </c>
      <c r="AL496" s="159"/>
      <c r="AM496" s="159"/>
      <c r="AN496" s="159" t="s">
        <v>786</v>
      </c>
      <c r="AO496" s="162" t="s">
        <v>115</v>
      </c>
      <c r="BD496" s="162" t="s">
        <v>787</v>
      </c>
      <c r="BE496" s="156" t="s">
        <v>2322</v>
      </c>
      <c r="BF496" s="162" t="s">
        <v>833</v>
      </c>
      <c r="BG496" s="159" t="s">
        <v>129</v>
      </c>
      <c r="BH496" s="162" t="s">
        <v>46</v>
      </c>
      <c r="BI496" s="159" t="s">
        <v>41</v>
      </c>
      <c r="BJ496" s="156">
        <v>1</v>
      </c>
    </row>
    <row r="497" spans="1:62">
      <c r="A497" s="184" t="str">
        <f t="shared" si="7"/>
        <v>32606493</v>
      </c>
      <c r="B497" s="176" t="s">
        <v>2416</v>
      </c>
      <c r="C497" s="158" t="s">
        <v>3343</v>
      </c>
      <c r="D497" s="162" t="s">
        <v>2414</v>
      </c>
      <c r="F497" s="176" t="s">
        <v>2417</v>
      </c>
      <c r="G497" s="171">
        <v>37425</v>
      </c>
      <c r="I497" s="159" t="s">
        <v>2569</v>
      </c>
      <c r="J497" s="159" t="s">
        <v>2619</v>
      </c>
      <c r="K497" s="166" t="s">
        <v>81</v>
      </c>
      <c r="L497" s="166" t="s">
        <v>289</v>
      </c>
      <c r="M497" s="209" t="s">
        <v>2622</v>
      </c>
      <c r="N497" s="209" t="s">
        <v>2630</v>
      </c>
      <c r="O497" s="166" t="s">
        <v>2657</v>
      </c>
      <c r="P497" s="166" t="s">
        <v>2662</v>
      </c>
      <c r="Q497" s="159" t="s">
        <v>2840</v>
      </c>
      <c r="R497" s="159" t="s">
        <v>2863</v>
      </c>
      <c r="T497" s="166" t="s">
        <v>289</v>
      </c>
      <c r="U497" s="209" t="s">
        <v>2622</v>
      </c>
      <c r="V497" s="209" t="s">
        <v>2630</v>
      </c>
      <c r="W497" s="166" t="s">
        <v>2657</v>
      </c>
      <c r="X497" s="166" t="s">
        <v>2662</v>
      </c>
      <c r="Y497" s="159" t="s">
        <v>2840</v>
      </c>
      <c r="Z497" s="159" t="s">
        <v>2863</v>
      </c>
      <c r="AB497" s="171">
        <v>46195</v>
      </c>
      <c r="AC497" s="159" t="s">
        <v>71</v>
      </c>
      <c r="AD497" s="158"/>
      <c r="AE497" s="159"/>
      <c r="AF497" s="159"/>
      <c r="AG497" s="159"/>
      <c r="AH497" s="159"/>
      <c r="AI497" s="159"/>
      <c r="AJ497" s="159"/>
      <c r="AK497" s="159" t="s">
        <v>2600</v>
      </c>
      <c r="AL497" s="159"/>
      <c r="AM497" s="159"/>
      <c r="AN497" s="162" t="s">
        <v>216</v>
      </c>
      <c r="AO497" s="162" t="s">
        <v>2415</v>
      </c>
      <c r="BG497" s="159" t="s">
        <v>71</v>
      </c>
      <c r="BH497" s="162" t="s">
        <v>72</v>
      </c>
      <c r="BI497" s="159" t="s">
        <v>41</v>
      </c>
      <c r="BJ497" s="156">
        <v>3</v>
      </c>
    </row>
    <row r="498" spans="1:62">
      <c r="A498" s="184" t="str">
        <f t="shared" si="7"/>
        <v>32606494</v>
      </c>
      <c r="B498" s="176" t="s">
        <v>2420</v>
      </c>
      <c r="C498" s="158" t="s">
        <v>3344</v>
      </c>
      <c r="D498" s="162" t="s">
        <v>2419</v>
      </c>
      <c r="F498" s="176" t="s">
        <v>2422</v>
      </c>
      <c r="G498" s="171">
        <v>37505</v>
      </c>
      <c r="I498" s="159" t="s">
        <v>2569</v>
      </c>
      <c r="J498" s="159" t="s">
        <v>2619</v>
      </c>
      <c r="K498" s="166" t="s">
        <v>81</v>
      </c>
      <c r="L498" s="166" t="s">
        <v>2421</v>
      </c>
      <c r="M498" s="209" t="s">
        <v>2625</v>
      </c>
      <c r="N498" s="209" t="s">
        <v>2622</v>
      </c>
      <c r="O498" s="166" t="s">
        <v>2791</v>
      </c>
      <c r="P498" s="166" t="s">
        <v>2751</v>
      </c>
      <c r="Q498" s="159" t="s">
        <v>2840</v>
      </c>
      <c r="R498" s="159" t="s">
        <v>2863</v>
      </c>
      <c r="T498" s="166" t="s">
        <v>2421</v>
      </c>
      <c r="U498" s="209" t="s">
        <v>2625</v>
      </c>
      <c r="V498" s="209" t="s">
        <v>2622</v>
      </c>
      <c r="W498" s="166" t="s">
        <v>2791</v>
      </c>
      <c r="X498" s="166" t="s">
        <v>2751</v>
      </c>
      <c r="Y498" s="159" t="s">
        <v>2840</v>
      </c>
      <c r="Z498" s="159" t="s">
        <v>2863</v>
      </c>
      <c r="AB498" s="171">
        <v>46196</v>
      </c>
      <c r="AC498" s="159" t="s">
        <v>71</v>
      </c>
      <c r="AD498" s="158"/>
      <c r="AE498" s="159"/>
      <c r="AF498" s="159"/>
      <c r="AG498" s="159"/>
      <c r="AH498" s="159"/>
      <c r="AI498" s="159"/>
      <c r="AJ498" s="159"/>
      <c r="AK498" s="159" t="s">
        <v>2600</v>
      </c>
      <c r="AL498" s="159"/>
      <c r="AM498" s="159"/>
      <c r="AN498" s="185" t="s">
        <v>2065</v>
      </c>
      <c r="AO498" s="162" t="s">
        <v>2104</v>
      </c>
      <c r="BE498" s="156" t="s">
        <v>2468</v>
      </c>
      <c r="BG498" s="159" t="s">
        <v>71</v>
      </c>
      <c r="BH498" s="162" t="s">
        <v>72</v>
      </c>
      <c r="BI498" s="159" t="s">
        <v>41</v>
      </c>
      <c r="BJ498" s="162">
        <v>1</v>
      </c>
    </row>
    <row r="499" spans="1:62">
      <c r="A499" s="184" t="str">
        <f t="shared" si="7"/>
        <v>42606495</v>
      </c>
      <c r="B499" s="176" t="s">
        <v>2425</v>
      </c>
      <c r="C499" s="158" t="s">
        <v>3345</v>
      </c>
      <c r="D499" s="162" t="s">
        <v>2424</v>
      </c>
      <c r="F499" s="176" t="s">
        <v>2427</v>
      </c>
      <c r="G499" s="171">
        <v>39287</v>
      </c>
      <c r="I499" s="159" t="s">
        <v>2569</v>
      </c>
      <c r="J499" s="159" t="s">
        <v>2619</v>
      </c>
      <c r="K499" s="166" t="s">
        <v>81</v>
      </c>
      <c r="L499" s="166" t="s">
        <v>2426</v>
      </c>
      <c r="M499" s="209" t="s">
        <v>2626</v>
      </c>
      <c r="N499" s="209" t="s">
        <v>2628</v>
      </c>
      <c r="O499" s="166" t="s">
        <v>2661</v>
      </c>
      <c r="P499" s="166" t="s">
        <v>2662</v>
      </c>
      <c r="Q499" s="159" t="s">
        <v>2840</v>
      </c>
      <c r="R499" s="159" t="s">
        <v>2863</v>
      </c>
      <c r="T499" s="166" t="s">
        <v>2426</v>
      </c>
      <c r="U499" s="209" t="s">
        <v>2626</v>
      </c>
      <c r="V499" s="209" t="s">
        <v>2628</v>
      </c>
      <c r="W499" s="166" t="s">
        <v>2661</v>
      </c>
      <c r="X499" s="166" t="s">
        <v>2662</v>
      </c>
      <c r="Y499" s="159" t="s">
        <v>2840</v>
      </c>
      <c r="Z499" s="159" t="s">
        <v>2863</v>
      </c>
      <c r="AB499" s="171">
        <v>46198</v>
      </c>
      <c r="AC499" s="159" t="s">
        <v>129</v>
      </c>
      <c r="AD499" s="158"/>
      <c r="AE499" s="159"/>
      <c r="AF499" s="159"/>
      <c r="AG499" s="159"/>
      <c r="AH499" s="159"/>
      <c r="AI499" s="159"/>
      <c r="AJ499" s="159"/>
      <c r="AK499" s="159" t="s">
        <v>2600</v>
      </c>
      <c r="AL499" s="159"/>
      <c r="AM499" s="159"/>
      <c r="AN499" s="159" t="s">
        <v>786</v>
      </c>
      <c r="AO499" s="162" t="s">
        <v>115</v>
      </c>
      <c r="BD499" s="162" t="s">
        <v>787</v>
      </c>
      <c r="BE499" s="156" t="s">
        <v>2322</v>
      </c>
      <c r="BF499" s="162" t="s">
        <v>833</v>
      </c>
      <c r="BG499" s="159" t="s">
        <v>129</v>
      </c>
      <c r="BH499" s="162" t="s">
        <v>46</v>
      </c>
      <c r="BI499" s="159" t="s">
        <v>41</v>
      </c>
      <c r="BJ499" s="162">
        <v>1</v>
      </c>
    </row>
    <row r="500" spans="1:62">
      <c r="A500" s="184" t="str">
        <f t="shared" si="7"/>
        <v>42606496</v>
      </c>
      <c r="B500" s="176" t="s">
        <v>2430</v>
      </c>
      <c r="C500" s="158" t="s">
        <v>3346</v>
      </c>
      <c r="D500" s="162" t="s">
        <v>2428</v>
      </c>
      <c r="F500" s="176" t="s">
        <v>2432</v>
      </c>
      <c r="G500" s="171">
        <v>38229</v>
      </c>
      <c r="I500" s="159" t="s">
        <v>2569</v>
      </c>
      <c r="J500" s="159" t="s">
        <v>2619</v>
      </c>
      <c r="K500" s="166" t="s">
        <v>81</v>
      </c>
      <c r="L500" s="166" t="s">
        <v>2431</v>
      </c>
      <c r="M500" s="209" t="s">
        <v>2636</v>
      </c>
      <c r="N500" s="209" t="s">
        <v>2625</v>
      </c>
      <c r="O500" s="166" t="s">
        <v>2741</v>
      </c>
      <c r="P500" s="166" t="s">
        <v>2790</v>
      </c>
      <c r="Q500" s="159" t="s">
        <v>2844</v>
      </c>
      <c r="R500" s="159" t="s">
        <v>2863</v>
      </c>
      <c r="T500" s="166" t="s">
        <v>2431</v>
      </c>
      <c r="U500" s="209" t="s">
        <v>2636</v>
      </c>
      <c r="V500" s="209" t="s">
        <v>2625</v>
      </c>
      <c r="W500" s="166" t="s">
        <v>2741</v>
      </c>
      <c r="X500" s="166" t="s">
        <v>2790</v>
      </c>
      <c r="Y500" s="159" t="s">
        <v>2844</v>
      </c>
      <c r="Z500" s="159" t="s">
        <v>2863</v>
      </c>
      <c r="AB500" s="171">
        <v>46202</v>
      </c>
      <c r="AC500" s="159" t="s">
        <v>129</v>
      </c>
      <c r="AD500" s="158"/>
      <c r="AE500" s="159"/>
      <c r="AF500" s="159"/>
      <c r="AG500" s="159"/>
      <c r="AH500" s="159"/>
      <c r="AI500" s="159"/>
      <c r="AJ500" s="159"/>
      <c r="AK500" s="159" t="s">
        <v>2600</v>
      </c>
      <c r="AL500" s="159"/>
      <c r="AM500" s="159"/>
      <c r="AN500" s="159" t="s">
        <v>786</v>
      </c>
      <c r="AO500" s="162" t="s">
        <v>115</v>
      </c>
      <c r="BD500" s="162" t="s">
        <v>1002</v>
      </c>
      <c r="BE500" s="156" t="s">
        <v>2525</v>
      </c>
      <c r="BF500" s="162" t="s">
        <v>1049</v>
      </c>
      <c r="BG500" s="159" t="s">
        <v>129</v>
      </c>
      <c r="BH500" s="162" t="s">
        <v>46</v>
      </c>
      <c r="BI500" s="159" t="s">
        <v>41</v>
      </c>
      <c r="BJ500" s="162">
        <v>1</v>
      </c>
    </row>
    <row r="501" spans="1:62">
      <c r="A501" s="184" t="str">
        <f t="shared" si="7"/>
        <v>22607497</v>
      </c>
      <c r="B501" s="176" t="s">
        <v>2517</v>
      </c>
      <c r="C501" s="158" t="s">
        <v>3347</v>
      </c>
      <c r="D501" s="162" t="s">
        <v>2515</v>
      </c>
      <c r="E501" s="225" t="s">
        <v>3399</v>
      </c>
      <c r="F501" s="176" t="s">
        <v>2519</v>
      </c>
      <c r="G501" s="171">
        <v>34230</v>
      </c>
      <c r="H501" s="171" t="s">
        <v>528</v>
      </c>
      <c r="I501" s="159" t="s">
        <v>2569</v>
      </c>
      <c r="J501" s="159" t="s">
        <v>2620</v>
      </c>
      <c r="K501" s="166" t="s">
        <v>81</v>
      </c>
      <c r="L501" s="166" t="s">
        <v>2518</v>
      </c>
      <c r="M501" s="209" t="s">
        <v>2625</v>
      </c>
      <c r="N501" s="209" t="s">
        <v>2622</v>
      </c>
      <c r="O501" s="166" t="s">
        <v>2792</v>
      </c>
      <c r="P501" s="166" t="s">
        <v>2837</v>
      </c>
      <c r="Q501" s="159" t="s">
        <v>2840</v>
      </c>
      <c r="R501" s="159" t="s">
        <v>2863</v>
      </c>
      <c r="T501" s="166" t="s">
        <v>2518</v>
      </c>
      <c r="U501" s="209" t="s">
        <v>2625</v>
      </c>
      <c r="V501" s="209" t="s">
        <v>2622</v>
      </c>
      <c r="W501" s="166" t="s">
        <v>2792</v>
      </c>
      <c r="X501" s="166" t="s">
        <v>2837</v>
      </c>
      <c r="Y501" s="159" t="s">
        <v>2840</v>
      </c>
      <c r="Z501" s="159" t="s">
        <v>2863</v>
      </c>
      <c r="AB501" s="171">
        <v>46204</v>
      </c>
      <c r="AC501" s="159" t="s">
        <v>45</v>
      </c>
      <c r="AD501" s="158"/>
      <c r="AE501" s="159"/>
      <c r="AF501" s="159"/>
      <c r="AG501" s="159" t="s">
        <v>3489</v>
      </c>
      <c r="AH501" s="157">
        <v>46387</v>
      </c>
      <c r="AI501" s="159"/>
      <c r="AJ501" s="159"/>
      <c r="AK501" s="159" t="s">
        <v>2600</v>
      </c>
      <c r="AL501" s="159"/>
      <c r="AM501" s="159"/>
      <c r="AN501" s="159" t="s">
        <v>543</v>
      </c>
      <c r="AO501" s="162" t="s">
        <v>2516</v>
      </c>
      <c r="BG501" s="159" t="s">
        <v>45</v>
      </c>
      <c r="BH501" s="162" t="s">
        <v>46</v>
      </c>
      <c r="BI501" s="159" t="s">
        <v>41</v>
      </c>
      <c r="BJ501" s="162">
        <v>2</v>
      </c>
    </row>
    <row r="502" spans="1:62">
      <c r="A502" s="184" t="str">
        <f t="shared" si="7"/>
        <v>32607498</v>
      </c>
      <c r="B502" s="176" t="s">
        <v>2434</v>
      </c>
      <c r="C502" s="158" t="s">
        <v>3348</v>
      </c>
      <c r="D502" s="162" t="s">
        <v>2433</v>
      </c>
      <c r="F502" s="176" t="s">
        <v>2436</v>
      </c>
      <c r="G502" s="171">
        <v>37222</v>
      </c>
      <c r="H502" s="171" t="s">
        <v>693</v>
      </c>
      <c r="I502" s="159" t="s">
        <v>2569</v>
      </c>
      <c r="J502" s="159" t="s">
        <v>2619</v>
      </c>
      <c r="K502" s="166" t="s">
        <v>81</v>
      </c>
      <c r="L502" s="166" t="s">
        <v>2435</v>
      </c>
      <c r="M502" s="209" t="s">
        <v>2626</v>
      </c>
      <c r="N502" s="209" t="s">
        <v>2626</v>
      </c>
      <c r="O502" s="166" t="s">
        <v>2660</v>
      </c>
      <c r="P502" s="166" t="s">
        <v>2662</v>
      </c>
      <c r="Q502" s="159" t="s">
        <v>2840</v>
      </c>
      <c r="R502" s="159" t="s">
        <v>2863</v>
      </c>
      <c r="T502" s="166" t="s">
        <v>2435</v>
      </c>
      <c r="U502" s="209" t="s">
        <v>2626</v>
      </c>
      <c r="V502" s="209" t="s">
        <v>2626</v>
      </c>
      <c r="W502" s="166" t="s">
        <v>2660</v>
      </c>
      <c r="X502" s="166" t="s">
        <v>2662</v>
      </c>
      <c r="Y502" s="159" t="s">
        <v>2840</v>
      </c>
      <c r="Z502" s="159" t="s">
        <v>2863</v>
      </c>
      <c r="AB502" s="171">
        <v>46205</v>
      </c>
      <c r="AC502" s="159" t="s">
        <v>71</v>
      </c>
      <c r="AD502" s="158"/>
      <c r="AE502" s="159"/>
      <c r="AF502" s="159"/>
      <c r="AG502" s="159"/>
      <c r="AH502" s="159"/>
      <c r="AI502" s="159"/>
      <c r="AJ502" s="159"/>
      <c r="AK502" s="159" t="s">
        <v>2600</v>
      </c>
      <c r="AL502" s="159"/>
      <c r="AM502" s="159"/>
      <c r="AN502" s="159" t="s">
        <v>392</v>
      </c>
      <c r="AO502" s="172" t="s">
        <v>115</v>
      </c>
      <c r="AP502" s="172"/>
      <c r="AQ502" s="172"/>
      <c r="BD502" s="159" t="s">
        <v>401</v>
      </c>
      <c r="BE502" s="159" t="s">
        <v>335</v>
      </c>
      <c r="BG502" s="159" t="s">
        <v>71</v>
      </c>
      <c r="BH502" s="162" t="s">
        <v>46</v>
      </c>
      <c r="BI502" s="159" t="s">
        <v>41</v>
      </c>
      <c r="BJ502" s="162">
        <v>1</v>
      </c>
    </row>
    <row r="503" spans="1:62">
      <c r="A503" s="184" t="str">
        <f t="shared" si="7"/>
        <v>42607499</v>
      </c>
      <c r="B503" s="176" t="s">
        <v>2438</v>
      </c>
      <c r="C503" s="158" t="s">
        <v>3349</v>
      </c>
      <c r="D503" s="162" t="s">
        <v>2437</v>
      </c>
      <c r="F503" s="176" t="s">
        <v>2439</v>
      </c>
      <c r="G503" s="171">
        <v>39008</v>
      </c>
      <c r="I503" s="159" t="s">
        <v>2569</v>
      </c>
      <c r="J503" s="159" t="s">
        <v>2619</v>
      </c>
      <c r="K503" s="166" t="s">
        <v>81</v>
      </c>
      <c r="L503" s="166" t="s">
        <v>257</v>
      </c>
      <c r="M503" s="209" t="s">
        <v>2621</v>
      </c>
      <c r="N503" s="209" t="s">
        <v>2623</v>
      </c>
      <c r="O503" s="166" t="s">
        <v>2668</v>
      </c>
      <c r="P503" s="166" t="s">
        <v>2662</v>
      </c>
      <c r="Q503" s="159" t="s">
        <v>2840</v>
      </c>
      <c r="R503" s="159" t="s">
        <v>2863</v>
      </c>
      <c r="T503" s="166" t="s">
        <v>257</v>
      </c>
      <c r="U503" s="209" t="s">
        <v>2621</v>
      </c>
      <c r="V503" s="209" t="s">
        <v>2623</v>
      </c>
      <c r="W503" s="166" t="s">
        <v>2668</v>
      </c>
      <c r="X503" s="166" t="s">
        <v>2662</v>
      </c>
      <c r="Y503" s="159" t="s">
        <v>2840</v>
      </c>
      <c r="Z503" s="159" t="s">
        <v>2863</v>
      </c>
      <c r="AB503" s="171">
        <v>46206</v>
      </c>
      <c r="AC503" s="159" t="s">
        <v>129</v>
      </c>
      <c r="AD503" s="158"/>
      <c r="AE503" s="159"/>
      <c r="AF503" s="159"/>
      <c r="AG503" s="159"/>
      <c r="AH503" s="159"/>
      <c r="AI503" s="159"/>
      <c r="AJ503" s="159"/>
      <c r="AK503" s="159" t="s">
        <v>2600</v>
      </c>
      <c r="AL503" s="159"/>
      <c r="AM503" s="159"/>
      <c r="AN503" s="159" t="s">
        <v>786</v>
      </c>
      <c r="AO503" s="162" t="s">
        <v>115</v>
      </c>
      <c r="BD503" s="162" t="s">
        <v>1002</v>
      </c>
      <c r="BE503" s="156" t="s">
        <v>2429</v>
      </c>
      <c r="BF503" s="162" t="s">
        <v>1042</v>
      </c>
      <c r="BG503" s="159" t="s">
        <v>129</v>
      </c>
      <c r="BH503" s="162" t="s">
        <v>46</v>
      </c>
      <c r="BI503" s="159" t="s">
        <v>41</v>
      </c>
      <c r="BJ503" s="162">
        <v>1</v>
      </c>
    </row>
    <row r="504" spans="1:62">
      <c r="A504" s="184" t="str">
        <f t="shared" si="7"/>
        <v>42607500</v>
      </c>
      <c r="B504" s="176" t="s">
        <v>2441</v>
      </c>
      <c r="C504" s="158" t="s">
        <v>3350</v>
      </c>
      <c r="D504" s="162" t="s">
        <v>2440</v>
      </c>
      <c r="F504" s="176" t="s">
        <v>2442</v>
      </c>
      <c r="G504" s="171">
        <v>39473</v>
      </c>
      <c r="I504" s="159" t="s">
        <v>2569</v>
      </c>
      <c r="J504" s="159" t="s">
        <v>2619</v>
      </c>
      <c r="K504" s="166" t="s">
        <v>81</v>
      </c>
      <c r="L504" s="166" t="s">
        <v>974</v>
      </c>
      <c r="M504" s="209" t="s">
        <v>2626</v>
      </c>
      <c r="N504" s="209" t="s">
        <v>2626</v>
      </c>
      <c r="O504" s="166" t="s">
        <v>2659</v>
      </c>
      <c r="P504" s="166" t="s">
        <v>2659</v>
      </c>
      <c r="Q504" s="159" t="s">
        <v>2840</v>
      </c>
      <c r="R504" s="159" t="s">
        <v>2863</v>
      </c>
      <c r="T504" s="166" t="s">
        <v>974</v>
      </c>
      <c r="U504" s="209" t="s">
        <v>2626</v>
      </c>
      <c r="V504" s="209" t="s">
        <v>2626</v>
      </c>
      <c r="W504" s="166" t="s">
        <v>2659</v>
      </c>
      <c r="X504" s="166" t="s">
        <v>2659</v>
      </c>
      <c r="Y504" s="159" t="s">
        <v>2840</v>
      </c>
      <c r="Z504" s="159" t="s">
        <v>2863</v>
      </c>
      <c r="AB504" s="171">
        <v>46206</v>
      </c>
      <c r="AC504" s="159" t="s">
        <v>129</v>
      </c>
      <c r="AD504" s="158"/>
      <c r="AE504" s="159"/>
      <c r="AF504" s="159"/>
      <c r="AG504" s="159"/>
      <c r="AH504" s="159"/>
      <c r="AI504" s="159"/>
      <c r="AJ504" s="159"/>
      <c r="AK504" s="159" t="s">
        <v>2600</v>
      </c>
      <c r="AL504" s="159"/>
      <c r="AM504" s="159"/>
      <c r="AN504" s="159" t="s">
        <v>786</v>
      </c>
      <c r="AO504" s="162" t="s">
        <v>115</v>
      </c>
      <c r="BD504" s="162" t="s">
        <v>1002</v>
      </c>
      <c r="BE504" s="156" t="s">
        <v>2465</v>
      </c>
      <c r="BF504" s="162" t="s">
        <v>2333</v>
      </c>
      <c r="BG504" s="159" t="s">
        <v>129</v>
      </c>
      <c r="BH504" s="162" t="s">
        <v>46</v>
      </c>
      <c r="BI504" s="159" t="s">
        <v>41</v>
      </c>
      <c r="BJ504" s="162">
        <v>1</v>
      </c>
    </row>
    <row r="505" spans="1:62">
      <c r="A505" s="184" t="str">
        <f t="shared" si="7"/>
        <v>42607501</v>
      </c>
      <c r="B505" s="176" t="s">
        <v>2444</v>
      </c>
      <c r="C505" s="158" t="s">
        <v>3351</v>
      </c>
      <c r="D505" s="162" t="s">
        <v>2443</v>
      </c>
      <c r="F505" s="176" t="s">
        <v>2445</v>
      </c>
      <c r="G505" s="171">
        <v>39473</v>
      </c>
      <c r="I505" s="159" t="s">
        <v>2569</v>
      </c>
      <c r="J505" s="159" t="s">
        <v>2619</v>
      </c>
      <c r="K505" s="166" t="s">
        <v>81</v>
      </c>
      <c r="L505" s="166" t="s">
        <v>100</v>
      </c>
      <c r="M505" s="209" t="s">
        <v>2627</v>
      </c>
      <c r="N505" s="209" t="s">
        <v>2622</v>
      </c>
      <c r="O505" s="166" t="s">
        <v>2659</v>
      </c>
      <c r="P505" s="166" t="s">
        <v>2659</v>
      </c>
      <c r="Q505" s="159" t="s">
        <v>2840</v>
      </c>
      <c r="R505" s="159" t="s">
        <v>2863</v>
      </c>
      <c r="T505" s="166" t="s">
        <v>100</v>
      </c>
      <c r="U505" s="209" t="s">
        <v>2627</v>
      </c>
      <c r="V505" s="209" t="s">
        <v>2622</v>
      </c>
      <c r="W505" s="166" t="s">
        <v>2659</v>
      </c>
      <c r="X505" s="166" t="s">
        <v>2659</v>
      </c>
      <c r="Y505" s="159" t="s">
        <v>2840</v>
      </c>
      <c r="Z505" s="159" t="s">
        <v>2863</v>
      </c>
      <c r="AB505" s="171">
        <v>46207</v>
      </c>
      <c r="AC505" s="159" t="s">
        <v>129</v>
      </c>
      <c r="AD505" s="158"/>
      <c r="AE505" s="159"/>
      <c r="AF505" s="159"/>
      <c r="AG505" s="159"/>
      <c r="AH505" s="159"/>
      <c r="AI505" s="159"/>
      <c r="AJ505" s="159"/>
      <c r="AK505" s="159" t="s">
        <v>2600</v>
      </c>
      <c r="AL505" s="159"/>
      <c r="AM505" s="159"/>
      <c r="AN505" s="159" t="s">
        <v>786</v>
      </c>
      <c r="AO505" s="162" t="s">
        <v>115</v>
      </c>
      <c r="BD505" s="162" t="s">
        <v>1002</v>
      </c>
      <c r="BE505" s="156" t="s">
        <v>2466</v>
      </c>
      <c r="BF505" s="162" t="s">
        <v>1042</v>
      </c>
      <c r="BG505" s="159" t="s">
        <v>129</v>
      </c>
      <c r="BH505" s="162" t="s">
        <v>46</v>
      </c>
      <c r="BI505" s="159" t="s">
        <v>41</v>
      </c>
      <c r="BJ505" s="162">
        <v>1</v>
      </c>
    </row>
    <row r="506" spans="1:62">
      <c r="A506" s="184" t="str">
        <f t="shared" si="7"/>
        <v>42607502</v>
      </c>
      <c r="B506" s="176" t="s">
        <v>2447</v>
      </c>
      <c r="C506" s="158" t="s">
        <v>3352</v>
      </c>
      <c r="D506" s="162" t="s">
        <v>2446</v>
      </c>
      <c r="F506" s="176" t="s">
        <v>2448</v>
      </c>
      <c r="G506" s="171">
        <v>39204</v>
      </c>
      <c r="I506" s="159" t="s">
        <v>2569</v>
      </c>
      <c r="J506" s="159" t="s">
        <v>2619</v>
      </c>
      <c r="K506" s="166" t="s">
        <v>81</v>
      </c>
      <c r="L506" s="166" t="s">
        <v>1153</v>
      </c>
      <c r="M506" s="209" t="s">
        <v>2622</v>
      </c>
      <c r="N506" s="209" t="s">
        <v>2622</v>
      </c>
      <c r="O506" s="166" t="s">
        <v>2659</v>
      </c>
      <c r="P506" s="166" t="s">
        <v>2659</v>
      </c>
      <c r="Q506" s="159" t="s">
        <v>2840</v>
      </c>
      <c r="R506" s="159" t="s">
        <v>2863</v>
      </c>
      <c r="T506" s="166" t="s">
        <v>1153</v>
      </c>
      <c r="U506" s="209" t="s">
        <v>2622</v>
      </c>
      <c r="V506" s="209" t="s">
        <v>2622</v>
      </c>
      <c r="W506" s="166" t="s">
        <v>2659</v>
      </c>
      <c r="X506" s="166" t="s">
        <v>2659</v>
      </c>
      <c r="Y506" s="159" t="s">
        <v>2840</v>
      </c>
      <c r="Z506" s="159" t="s">
        <v>2863</v>
      </c>
      <c r="AB506" s="171">
        <v>46209</v>
      </c>
      <c r="AC506" s="159" t="s">
        <v>129</v>
      </c>
      <c r="AD506" s="158"/>
      <c r="AE506" s="159"/>
      <c r="AF506" s="159"/>
      <c r="AG506" s="159"/>
      <c r="AH506" s="159"/>
      <c r="AI506" s="159"/>
      <c r="AJ506" s="159"/>
      <c r="AK506" s="159" t="s">
        <v>2600</v>
      </c>
      <c r="AL506" s="159"/>
      <c r="AM506" s="159"/>
      <c r="AN506" s="159" t="s">
        <v>786</v>
      </c>
      <c r="AO506" s="162" t="s">
        <v>115</v>
      </c>
      <c r="BD506" s="162" t="s">
        <v>1442</v>
      </c>
      <c r="BE506" s="156" t="s">
        <v>2467</v>
      </c>
      <c r="BF506" s="162" t="s">
        <v>1482</v>
      </c>
      <c r="BG506" s="159" t="s">
        <v>129</v>
      </c>
      <c r="BH506" s="162" t="s">
        <v>46</v>
      </c>
      <c r="BI506" s="159" t="s">
        <v>41</v>
      </c>
      <c r="BJ506" s="162">
        <v>1</v>
      </c>
    </row>
    <row r="507" spans="1:62">
      <c r="A507" s="184" t="str">
        <f t="shared" si="7"/>
        <v>42607503</v>
      </c>
      <c r="B507" s="176" t="s">
        <v>2450</v>
      </c>
      <c r="C507" s="158" t="s">
        <v>3353</v>
      </c>
      <c r="D507" s="162" t="s">
        <v>2449</v>
      </c>
      <c r="F507" s="176" t="s">
        <v>2452</v>
      </c>
      <c r="G507" s="171">
        <v>39221</v>
      </c>
      <c r="I507" s="159" t="s">
        <v>2569</v>
      </c>
      <c r="J507" s="159" t="s">
        <v>2619</v>
      </c>
      <c r="K507" s="166" t="s">
        <v>81</v>
      </c>
      <c r="L507" s="166" t="s">
        <v>2451</v>
      </c>
      <c r="M507" s="209" t="s">
        <v>2621</v>
      </c>
      <c r="N507" s="209" t="s">
        <v>2621</v>
      </c>
      <c r="O507" s="166" t="s">
        <v>2659</v>
      </c>
      <c r="P507" s="166" t="s">
        <v>2659</v>
      </c>
      <c r="Q507" s="159" t="s">
        <v>2840</v>
      </c>
      <c r="R507" s="159" t="s">
        <v>2863</v>
      </c>
      <c r="T507" s="166" t="s">
        <v>2451</v>
      </c>
      <c r="U507" s="209" t="s">
        <v>2621</v>
      </c>
      <c r="V507" s="209" t="s">
        <v>2621</v>
      </c>
      <c r="W507" s="166" t="s">
        <v>2659</v>
      </c>
      <c r="X507" s="166" t="s">
        <v>2659</v>
      </c>
      <c r="Y507" s="159" t="s">
        <v>2840</v>
      </c>
      <c r="Z507" s="159" t="s">
        <v>2863</v>
      </c>
      <c r="AB507" s="171">
        <v>46209</v>
      </c>
      <c r="AC507" s="159" t="s">
        <v>129</v>
      </c>
      <c r="AD507" s="158"/>
      <c r="AE507" s="159"/>
      <c r="AF507" s="159"/>
      <c r="AG507" s="159"/>
      <c r="AH507" s="159"/>
      <c r="AI507" s="159"/>
      <c r="AJ507" s="159"/>
      <c r="AK507" s="159" t="s">
        <v>2600</v>
      </c>
      <c r="AL507" s="159"/>
      <c r="AM507" s="159"/>
      <c r="AN507" s="159" t="s">
        <v>786</v>
      </c>
      <c r="AO507" s="162" t="s">
        <v>115</v>
      </c>
      <c r="BD507" s="162" t="s">
        <v>1442</v>
      </c>
      <c r="BE507" s="156" t="s">
        <v>1920</v>
      </c>
      <c r="BF507" s="162" t="s">
        <v>1508</v>
      </c>
      <c r="BG507" s="159" t="s">
        <v>129</v>
      </c>
      <c r="BH507" s="162" t="s">
        <v>46</v>
      </c>
      <c r="BI507" s="159" t="s">
        <v>41</v>
      </c>
      <c r="BJ507" s="162">
        <v>1</v>
      </c>
    </row>
    <row r="508" spans="1:62">
      <c r="A508" s="184" t="str">
        <f t="shared" si="7"/>
        <v>32607504</v>
      </c>
      <c r="B508" s="176" t="s">
        <v>2454</v>
      </c>
      <c r="C508" s="158" t="s">
        <v>3354</v>
      </c>
      <c r="D508" s="162" t="s">
        <v>2453</v>
      </c>
      <c r="E508" s="225" t="s">
        <v>3400</v>
      </c>
      <c r="F508" s="176" t="s">
        <v>2456</v>
      </c>
      <c r="G508" s="171">
        <v>37513</v>
      </c>
      <c r="H508" s="171" t="s">
        <v>2838</v>
      </c>
      <c r="I508" s="159" t="s">
        <v>2569</v>
      </c>
      <c r="J508" s="159" t="s">
        <v>2619</v>
      </c>
      <c r="K508" s="166" t="s">
        <v>81</v>
      </c>
      <c r="L508" s="166" t="s">
        <v>2455</v>
      </c>
      <c r="M508" s="209" t="s">
        <v>2621</v>
      </c>
      <c r="N508" s="209" t="s">
        <v>2621</v>
      </c>
      <c r="O508" s="166" t="s">
        <v>2793</v>
      </c>
      <c r="P508" s="166" t="s">
        <v>2838</v>
      </c>
      <c r="Q508" s="159" t="s">
        <v>2861</v>
      </c>
      <c r="R508" s="159" t="s">
        <v>2863</v>
      </c>
      <c r="AB508" s="171">
        <v>46210</v>
      </c>
      <c r="AC508" s="159" t="s">
        <v>71</v>
      </c>
      <c r="AD508" s="158"/>
      <c r="AE508" s="159"/>
      <c r="AF508" s="159"/>
      <c r="AG508" s="159"/>
      <c r="AH508" s="159"/>
      <c r="AI508" s="159"/>
      <c r="AJ508" s="159"/>
      <c r="AK508" s="159" t="s">
        <v>2600</v>
      </c>
      <c r="AL508" s="159"/>
      <c r="AM508" s="159"/>
      <c r="AN508" s="159" t="s">
        <v>553</v>
      </c>
      <c r="AO508" s="172" t="s">
        <v>564</v>
      </c>
      <c r="AP508" s="172"/>
      <c r="AQ508" s="172"/>
      <c r="BD508" s="162" t="s">
        <v>557</v>
      </c>
      <c r="BE508" s="156" t="s">
        <v>557</v>
      </c>
      <c r="BG508" s="159" t="s">
        <v>71</v>
      </c>
      <c r="BH508" s="162" t="s">
        <v>46</v>
      </c>
      <c r="BI508" s="159" t="s">
        <v>41</v>
      </c>
      <c r="BJ508" s="162">
        <v>1</v>
      </c>
    </row>
    <row r="509" spans="1:62">
      <c r="A509" s="184" t="str">
        <f t="shared" si="7"/>
        <v>42607505</v>
      </c>
      <c r="B509" s="176" t="s">
        <v>2459</v>
      </c>
      <c r="C509" s="158" t="s">
        <v>3355</v>
      </c>
      <c r="D509" s="162" t="s">
        <v>2458</v>
      </c>
      <c r="F509" s="176" t="s">
        <v>2461</v>
      </c>
      <c r="G509" s="171">
        <v>36926</v>
      </c>
      <c r="I509" s="159" t="s">
        <v>2569</v>
      </c>
      <c r="J509" s="159" t="s">
        <v>2619</v>
      </c>
      <c r="K509" s="166" t="s">
        <v>81</v>
      </c>
      <c r="L509" s="166" t="s">
        <v>2460</v>
      </c>
      <c r="M509" s="209" t="s">
        <v>2629</v>
      </c>
      <c r="N509" s="209" t="s">
        <v>2623</v>
      </c>
      <c r="O509" s="166" t="s">
        <v>2660</v>
      </c>
      <c r="P509" s="166" t="s">
        <v>2662</v>
      </c>
      <c r="Q509" s="159" t="s">
        <v>2840</v>
      </c>
      <c r="R509" s="159" t="s">
        <v>2863</v>
      </c>
      <c r="AB509" s="171">
        <v>46211</v>
      </c>
      <c r="AC509" s="159" t="s">
        <v>129</v>
      </c>
      <c r="AD509" s="158"/>
      <c r="AE509" s="159"/>
      <c r="AF509" s="159"/>
      <c r="AG509" s="159"/>
      <c r="AH509" s="159"/>
      <c r="AI509" s="159"/>
      <c r="AJ509" s="159"/>
      <c r="AK509" s="159" t="s">
        <v>2600</v>
      </c>
      <c r="AL509" s="159"/>
      <c r="AM509" s="159"/>
      <c r="AN509" s="159" t="s">
        <v>786</v>
      </c>
      <c r="AO509" s="162" t="s">
        <v>115</v>
      </c>
      <c r="BD509" s="162" t="s">
        <v>1442</v>
      </c>
      <c r="BE509" s="156" t="s">
        <v>1920</v>
      </c>
      <c r="BF509" s="162" t="s">
        <v>1508</v>
      </c>
      <c r="BG509" s="159" t="s">
        <v>129</v>
      </c>
      <c r="BH509" s="162" t="s">
        <v>46</v>
      </c>
      <c r="BI509" s="159" t="s">
        <v>41</v>
      </c>
      <c r="BJ509" s="162">
        <v>1</v>
      </c>
    </row>
    <row r="510" spans="1:62">
      <c r="A510" s="184" t="str">
        <f t="shared" si="7"/>
        <v>42607506</v>
      </c>
      <c r="B510" s="176" t="s">
        <v>2463</v>
      </c>
      <c r="C510" s="158" t="s">
        <v>3356</v>
      </c>
      <c r="D510" s="162" t="s">
        <v>2462</v>
      </c>
      <c r="F510" s="176" t="s">
        <v>2464</v>
      </c>
      <c r="G510" s="171">
        <v>39378</v>
      </c>
      <c r="I510" s="159" t="s">
        <v>2569</v>
      </c>
      <c r="J510" s="159" t="s">
        <v>2619</v>
      </c>
      <c r="K510" s="166" t="s">
        <v>81</v>
      </c>
      <c r="L510" s="166" t="s">
        <v>263</v>
      </c>
      <c r="M510" s="209" t="s">
        <v>2621</v>
      </c>
      <c r="N510" s="209" t="s">
        <v>2626</v>
      </c>
      <c r="O510" s="166" t="s">
        <v>2659</v>
      </c>
      <c r="P510" s="166" t="s">
        <v>2659</v>
      </c>
      <c r="Q510" s="159" t="s">
        <v>2840</v>
      </c>
      <c r="R510" s="159" t="s">
        <v>2863</v>
      </c>
      <c r="T510" s="166" t="s">
        <v>263</v>
      </c>
      <c r="U510" s="209" t="s">
        <v>2621</v>
      </c>
      <c r="V510" s="209" t="s">
        <v>2626</v>
      </c>
      <c r="W510" s="166" t="s">
        <v>2659</v>
      </c>
      <c r="X510" s="166" t="s">
        <v>2659</v>
      </c>
      <c r="Y510" s="159" t="s">
        <v>2840</v>
      </c>
      <c r="Z510" s="159" t="s">
        <v>2863</v>
      </c>
      <c r="AB510" s="171">
        <v>46211</v>
      </c>
      <c r="AC510" s="159" t="s">
        <v>129</v>
      </c>
      <c r="AD510" s="158"/>
      <c r="AE510" s="159"/>
      <c r="AF510" s="159"/>
      <c r="AG510" s="159"/>
      <c r="AH510" s="159"/>
      <c r="AI510" s="159"/>
      <c r="AJ510" s="159"/>
      <c r="AK510" s="159" t="s">
        <v>2600</v>
      </c>
      <c r="AL510" s="159"/>
      <c r="AM510" s="159"/>
      <c r="AN510" s="159" t="s">
        <v>786</v>
      </c>
      <c r="AO510" s="162" t="s">
        <v>115</v>
      </c>
      <c r="BD510" s="162" t="s">
        <v>1442</v>
      </c>
      <c r="BE510" s="156" t="s">
        <v>1920</v>
      </c>
      <c r="BF510" s="162" t="s">
        <v>1508</v>
      </c>
      <c r="BG510" s="159" t="s">
        <v>129</v>
      </c>
      <c r="BH510" s="162" t="s">
        <v>46</v>
      </c>
      <c r="BI510" s="159" t="s">
        <v>41</v>
      </c>
      <c r="BJ510" s="162">
        <v>1</v>
      </c>
    </row>
    <row r="511" spans="1:62">
      <c r="A511" s="184" t="str">
        <f t="shared" si="7"/>
        <v>42607507</v>
      </c>
      <c r="B511" s="176" t="s">
        <v>2478</v>
      </c>
      <c r="C511" s="158" t="s">
        <v>3357</v>
      </c>
      <c r="D511" s="162" t="s">
        <v>2477</v>
      </c>
      <c r="F511" s="176" t="s">
        <v>2479</v>
      </c>
      <c r="G511" s="171">
        <v>39244</v>
      </c>
      <c r="I511" s="159" t="s">
        <v>2569</v>
      </c>
      <c r="J511" s="159" t="s">
        <v>2619</v>
      </c>
      <c r="K511" s="166" t="s">
        <v>81</v>
      </c>
      <c r="L511" s="166" t="s">
        <v>263</v>
      </c>
      <c r="M511" s="209" t="s">
        <v>2621</v>
      </c>
      <c r="N511" s="209" t="s">
        <v>2626</v>
      </c>
      <c r="O511" s="166" t="s">
        <v>2659</v>
      </c>
      <c r="P511" s="166" t="s">
        <v>2659</v>
      </c>
      <c r="Q511" s="159" t="s">
        <v>2840</v>
      </c>
      <c r="R511" s="159" t="s">
        <v>2863</v>
      </c>
      <c r="T511" s="166" t="s">
        <v>263</v>
      </c>
      <c r="U511" s="209" t="s">
        <v>2621</v>
      </c>
      <c r="V511" s="209" t="s">
        <v>2626</v>
      </c>
      <c r="W511" s="166" t="s">
        <v>2659</v>
      </c>
      <c r="X511" s="166" t="s">
        <v>2659</v>
      </c>
      <c r="Y511" s="159" t="s">
        <v>2840</v>
      </c>
      <c r="Z511" s="159" t="s">
        <v>2863</v>
      </c>
      <c r="AB511" s="171">
        <v>46213</v>
      </c>
      <c r="AC511" s="159" t="s">
        <v>129</v>
      </c>
      <c r="AD511" s="158"/>
      <c r="AE511" s="159"/>
      <c r="AF511" s="159"/>
      <c r="AG511" s="159"/>
      <c r="AH511" s="159"/>
      <c r="AI511" s="159"/>
      <c r="AJ511" s="159"/>
      <c r="AK511" s="159" t="s">
        <v>2600</v>
      </c>
      <c r="AL511" s="159"/>
      <c r="AM511" s="159"/>
      <c r="AN511" s="159" t="s">
        <v>786</v>
      </c>
      <c r="AO511" s="162" t="s">
        <v>115</v>
      </c>
      <c r="BD511" s="162" t="s">
        <v>1442</v>
      </c>
      <c r="BE511" s="156" t="s">
        <v>1920</v>
      </c>
      <c r="BF511" s="162" t="s">
        <v>1539</v>
      </c>
      <c r="BG511" s="159" t="s">
        <v>129</v>
      </c>
      <c r="BH511" s="162" t="s">
        <v>46</v>
      </c>
      <c r="BI511" s="159" t="s">
        <v>41</v>
      </c>
      <c r="BJ511" s="162">
        <v>1</v>
      </c>
    </row>
    <row r="512" spans="1:62">
      <c r="A512" s="184" t="str">
        <f t="shared" si="7"/>
        <v>42607508</v>
      </c>
      <c r="B512" s="176" t="s">
        <v>2481</v>
      </c>
      <c r="C512" s="158" t="s">
        <v>3358</v>
      </c>
      <c r="D512" s="162" t="s">
        <v>2480</v>
      </c>
      <c r="F512" s="176" t="s">
        <v>2483</v>
      </c>
      <c r="G512" s="171">
        <v>39346</v>
      </c>
      <c r="I512" s="159" t="s">
        <v>2569</v>
      </c>
      <c r="J512" s="159" t="s">
        <v>2619</v>
      </c>
      <c r="K512" s="166" t="s">
        <v>81</v>
      </c>
      <c r="L512" s="166" t="s">
        <v>2482</v>
      </c>
      <c r="M512" s="209" t="s">
        <v>2623</v>
      </c>
      <c r="N512" s="209" t="s">
        <v>2621</v>
      </c>
      <c r="O512" s="166" t="s">
        <v>2775</v>
      </c>
      <c r="P512" s="166" t="s">
        <v>2732</v>
      </c>
      <c r="Q512" s="159" t="s">
        <v>2840</v>
      </c>
      <c r="R512" s="159" t="s">
        <v>2863</v>
      </c>
      <c r="T512" s="166" t="s">
        <v>2482</v>
      </c>
      <c r="U512" s="209" t="s">
        <v>2623</v>
      </c>
      <c r="V512" s="209" t="s">
        <v>2621</v>
      </c>
      <c r="W512" s="166" t="s">
        <v>2775</v>
      </c>
      <c r="X512" s="166" t="s">
        <v>2732</v>
      </c>
      <c r="Y512" s="159" t="s">
        <v>2840</v>
      </c>
      <c r="Z512" s="159" t="s">
        <v>2863</v>
      </c>
      <c r="AB512" s="171">
        <v>46213</v>
      </c>
      <c r="AC512" s="159" t="s">
        <v>129</v>
      </c>
      <c r="AD512" s="158"/>
      <c r="AE512" s="159"/>
      <c r="AF512" s="159"/>
      <c r="AG512" s="159"/>
      <c r="AH512" s="159"/>
      <c r="AI512" s="159"/>
      <c r="AJ512" s="159"/>
      <c r="AK512" s="159" t="s">
        <v>2600</v>
      </c>
      <c r="AL512" s="159"/>
      <c r="AM512" s="159"/>
      <c r="AN512" s="159" t="s">
        <v>786</v>
      </c>
      <c r="AO512" s="162" t="s">
        <v>115</v>
      </c>
      <c r="BD512" s="162" t="s">
        <v>1442</v>
      </c>
      <c r="BE512" s="156" t="s">
        <v>2467</v>
      </c>
      <c r="BF512" s="162" t="s">
        <v>1482</v>
      </c>
      <c r="BG512" s="159" t="s">
        <v>129</v>
      </c>
      <c r="BH512" s="162" t="s">
        <v>46</v>
      </c>
      <c r="BI512" s="159" t="s">
        <v>41</v>
      </c>
      <c r="BJ512" s="162">
        <v>1</v>
      </c>
    </row>
    <row r="513" spans="1:62">
      <c r="A513" s="184" t="str">
        <f t="shared" si="7"/>
        <v>42607509</v>
      </c>
      <c r="B513" s="176" t="s">
        <v>2486</v>
      </c>
      <c r="C513" s="158" t="s">
        <v>3359</v>
      </c>
      <c r="D513" s="162" t="s">
        <v>2485</v>
      </c>
      <c r="F513" s="176" t="s">
        <v>2488</v>
      </c>
      <c r="G513" s="171">
        <v>35521</v>
      </c>
      <c r="I513" s="159" t="s">
        <v>2569</v>
      </c>
      <c r="J513" s="159" t="s">
        <v>2619</v>
      </c>
      <c r="K513" s="166" t="s">
        <v>81</v>
      </c>
      <c r="L513" s="166" t="s">
        <v>2487</v>
      </c>
      <c r="M513" s="209" t="s">
        <v>2623</v>
      </c>
      <c r="N513" s="209" t="s">
        <v>2621</v>
      </c>
      <c r="O513" s="166" t="s">
        <v>2661</v>
      </c>
      <c r="P513" s="166" t="s">
        <v>2662</v>
      </c>
      <c r="Q513" s="159" t="s">
        <v>2840</v>
      </c>
      <c r="R513" s="159" t="s">
        <v>2863</v>
      </c>
      <c r="T513" s="166" t="s">
        <v>2487</v>
      </c>
      <c r="U513" s="209" t="s">
        <v>2623</v>
      </c>
      <c r="V513" s="209" t="s">
        <v>2621</v>
      </c>
      <c r="W513" s="166" t="s">
        <v>2661</v>
      </c>
      <c r="X513" s="166" t="s">
        <v>2662</v>
      </c>
      <c r="Y513" s="159" t="s">
        <v>2840</v>
      </c>
      <c r="Z513" s="159" t="s">
        <v>2863</v>
      </c>
      <c r="AB513" s="171">
        <v>46216</v>
      </c>
      <c r="AC513" s="159" t="s">
        <v>129</v>
      </c>
      <c r="AD513" s="158"/>
      <c r="AE513" s="159"/>
      <c r="AF513" s="159"/>
      <c r="AG513" s="159"/>
      <c r="AH513" s="159"/>
      <c r="AI513" s="159"/>
      <c r="AJ513" s="159"/>
      <c r="AK513" s="159" t="s">
        <v>2600</v>
      </c>
      <c r="AL513" s="159"/>
      <c r="AM513" s="159"/>
      <c r="AN513" s="159" t="s">
        <v>786</v>
      </c>
      <c r="AO513" s="162" t="s">
        <v>115</v>
      </c>
      <c r="BD513" s="162" t="s">
        <v>1002</v>
      </c>
      <c r="BE513" s="156" t="s">
        <v>2484</v>
      </c>
      <c r="BF513" s="162" t="s">
        <v>1042</v>
      </c>
      <c r="BG513" s="159" t="s">
        <v>129</v>
      </c>
      <c r="BH513" s="162" t="s">
        <v>46</v>
      </c>
      <c r="BI513" s="159" t="s">
        <v>41</v>
      </c>
      <c r="BJ513" s="162">
        <v>1</v>
      </c>
    </row>
    <row r="514" spans="1:62">
      <c r="A514" s="184" t="str">
        <f t="shared" si="7"/>
        <v>22607510</v>
      </c>
      <c r="B514" s="176" t="s">
        <v>2490</v>
      </c>
      <c r="C514" s="158" t="s">
        <v>3360</v>
      </c>
      <c r="D514" s="162" t="s">
        <v>2489</v>
      </c>
      <c r="E514" s="225" t="s">
        <v>3395</v>
      </c>
      <c r="F514" s="176" t="s">
        <v>2492</v>
      </c>
      <c r="G514" s="171">
        <v>35809</v>
      </c>
      <c r="H514" s="171" t="s">
        <v>3396</v>
      </c>
      <c r="I514" s="159" t="s">
        <v>2569</v>
      </c>
      <c r="J514" s="159" t="s">
        <v>2619</v>
      </c>
      <c r="K514" s="166" t="s">
        <v>81</v>
      </c>
      <c r="L514" s="166" t="s">
        <v>2491</v>
      </c>
      <c r="M514" s="209" t="s">
        <v>2648</v>
      </c>
      <c r="N514" s="209" t="s">
        <v>2642</v>
      </c>
      <c r="O514" s="166" t="s">
        <v>2794</v>
      </c>
      <c r="P514" s="166" t="s">
        <v>2794</v>
      </c>
      <c r="Q514" s="159" t="s">
        <v>2842</v>
      </c>
      <c r="R514" s="159" t="s">
        <v>2863</v>
      </c>
      <c r="T514" s="166" t="s">
        <v>2491</v>
      </c>
      <c r="U514" s="209" t="s">
        <v>2648</v>
      </c>
      <c r="V514" s="209" t="s">
        <v>2642</v>
      </c>
      <c r="W514" s="166" t="s">
        <v>2794</v>
      </c>
      <c r="X514" s="166" t="s">
        <v>2794</v>
      </c>
      <c r="Y514" s="159" t="s">
        <v>2842</v>
      </c>
      <c r="Z514" s="159" t="s">
        <v>2863</v>
      </c>
      <c r="AB514" s="171">
        <v>46217</v>
      </c>
      <c r="AC514" s="162" t="s">
        <v>45</v>
      </c>
      <c r="AG514" s="162" t="s">
        <v>3489</v>
      </c>
      <c r="AH514" s="229">
        <v>46387</v>
      </c>
      <c r="AK514" s="159" t="s">
        <v>2600</v>
      </c>
      <c r="AN514" s="162" t="s">
        <v>684</v>
      </c>
      <c r="AO514" s="162" t="s">
        <v>683</v>
      </c>
      <c r="BD514" s="162" t="s">
        <v>2501</v>
      </c>
      <c r="BG514" s="162" t="s">
        <v>45</v>
      </c>
      <c r="BH514" s="159" t="s">
        <v>72</v>
      </c>
      <c r="BI514" s="159" t="s">
        <v>41</v>
      </c>
      <c r="BJ514" s="162">
        <v>1</v>
      </c>
    </row>
    <row r="515" spans="1:62">
      <c r="A515" s="184" t="str">
        <f t="shared" si="7"/>
        <v>22607511</v>
      </c>
      <c r="B515" s="176" t="s">
        <v>2494</v>
      </c>
      <c r="C515" s="158" t="s">
        <v>3361</v>
      </c>
      <c r="D515" s="162" t="s">
        <v>2493</v>
      </c>
      <c r="E515" s="226" t="s">
        <v>3394</v>
      </c>
      <c r="F515" s="176" t="s">
        <v>2496</v>
      </c>
      <c r="G515" s="171">
        <v>38077</v>
      </c>
      <c r="H515" s="171" t="s">
        <v>693</v>
      </c>
      <c r="I515" s="159" t="s">
        <v>2569</v>
      </c>
      <c r="J515" s="159" t="s">
        <v>2620</v>
      </c>
      <c r="K515" s="166" t="s">
        <v>81</v>
      </c>
      <c r="L515" s="166" t="s">
        <v>2495</v>
      </c>
      <c r="M515" s="209" t="s">
        <v>2629</v>
      </c>
      <c r="N515" s="209" t="s">
        <v>2623</v>
      </c>
      <c r="O515" s="166" t="s">
        <v>2779</v>
      </c>
      <c r="P515" s="166" t="s">
        <v>2779</v>
      </c>
      <c r="Q515" s="159" t="s">
        <v>2840</v>
      </c>
      <c r="R515" s="159" t="s">
        <v>2863</v>
      </c>
      <c r="AB515" s="171">
        <v>46218</v>
      </c>
      <c r="AC515" s="162" t="s">
        <v>45</v>
      </c>
      <c r="AG515" s="162" t="s">
        <v>3489</v>
      </c>
      <c r="AH515" s="229">
        <v>46388</v>
      </c>
      <c r="AK515" s="159" t="s">
        <v>2600</v>
      </c>
      <c r="AN515" s="162" t="s">
        <v>527</v>
      </c>
      <c r="AO515" s="162" t="s">
        <v>54</v>
      </c>
      <c r="BG515" s="162" t="s">
        <v>45</v>
      </c>
      <c r="BH515" s="159" t="s">
        <v>72</v>
      </c>
      <c r="BI515" s="159" t="s">
        <v>41</v>
      </c>
      <c r="BJ515" s="162">
        <v>2</v>
      </c>
    </row>
    <row r="516" spans="1:62">
      <c r="A516" s="184" t="str">
        <f t="shared" si="7"/>
        <v>22607512</v>
      </c>
      <c r="B516" s="176" t="s">
        <v>2498</v>
      </c>
      <c r="C516" s="158" t="s">
        <v>3362</v>
      </c>
      <c r="D516" s="162" t="s">
        <v>2497</v>
      </c>
      <c r="E516" s="225" t="s">
        <v>3397</v>
      </c>
      <c r="F516" s="176" t="s">
        <v>2500</v>
      </c>
      <c r="G516" s="171">
        <v>36107</v>
      </c>
      <c r="H516" s="171" t="s">
        <v>3398</v>
      </c>
      <c r="I516" s="159" t="s">
        <v>2569</v>
      </c>
      <c r="J516" s="159" t="s">
        <v>2619</v>
      </c>
      <c r="K516" s="166" t="s">
        <v>81</v>
      </c>
      <c r="L516" s="166" t="s">
        <v>2499</v>
      </c>
      <c r="M516" s="209" t="s">
        <v>2621</v>
      </c>
      <c r="N516" s="209" t="s">
        <v>2623</v>
      </c>
      <c r="O516" s="166" t="s">
        <v>2795</v>
      </c>
      <c r="P516" s="166" t="s">
        <v>2839</v>
      </c>
      <c r="Q516" s="159" t="s">
        <v>2862</v>
      </c>
      <c r="R516" s="159" t="s">
        <v>2863</v>
      </c>
      <c r="AB516" s="171">
        <v>46219</v>
      </c>
      <c r="AC516" s="162" t="s">
        <v>45</v>
      </c>
      <c r="AG516" s="162" t="s">
        <v>3489</v>
      </c>
      <c r="AH516" s="229">
        <v>46405</v>
      </c>
      <c r="AK516" s="159" t="s">
        <v>2600</v>
      </c>
      <c r="AN516" s="162" t="s">
        <v>392</v>
      </c>
      <c r="AO516" s="162" t="s">
        <v>683</v>
      </c>
      <c r="BG516" s="162" t="s">
        <v>45</v>
      </c>
      <c r="BH516" s="159" t="s">
        <v>72</v>
      </c>
      <c r="BI516" s="159" t="s">
        <v>41</v>
      </c>
      <c r="BJ516" s="162">
        <v>2</v>
      </c>
    </row>
    <row r="517" spans="1:62">
      <c r="A517" s="184" t="str">
        <f t="shared" si="7"/>
        <v>42607513</v>
      </c>
      <c r="B517" s="176" t="s">
        <v>2503</v>
      </c>
      <c r="C517" s="158" t="s">
        <v>3363</v>
      </c>
      <c r="D517" s="162" t="s">
        <v>2502</v>
      </c>
      <c r="F517" s="176" t="s">
        <v>2505</v>
      </c>
      <c r="G517" s="171">
        <v>31864</v>
      </c>
      <c r="I517" s="159" t="s">
        <v>2569</v>
      </c>
      <c r="J517" s="159" t="s">
        <v>2619</v>
      </c>
      <c r="K517" s="166" t="s">
        <v>81</v>
      </c>
      <c r="L517" s="166" t="s">
        <v>2504</v>
      </c>
      <c r="M517" s="209" t="s">
        <v>2621</v>
      </c>
      <c r="N517" s="209" t="s">
        <v>2621</v>
      </c>
      <c r="O517" s="166" t="s">
        <v>2714</v>
      </c>
      <c r="P517" s="166" t="s">
        <v>2659</v>
      </c>
      <c r="Q517" s="159" t="s">
        <v>2840</v>
      </c>
      <c r="R517" s="159" t="s">
        <v>2863</v>
      </c>
      <c r="T517" s="166" t="s">
        <v>2504</v>
      </c>
      <c r="U517" s="209" t="s">
        <v>2621</v>
      </c>
      <c r="V517" s="209" t="s">
        <v>2621</v>
      </c>
      <c r="W517" s="166" t="s">
        <v>2714</v>
      </c>
      <c r="X517" s="166" t="s">
        <v>2659</v>
      </c>
      <c r="Y517" s="159" t="s">
        <v>2840</v>
      </c>
      <c r="Z517" s="159" t="s">
        <v>2863</v>
      </c>
      <c r="AB517" s="171">
        <v>46219</v>
      </c>
      <c r="AC517" s="159" t="s">
        <v>129</v>
      </c>
      <c r="AD517" s="158"/>
      <c r="AE517" s="159"/>
      <c r="AF517" s="159"/>
      <c r="AG517" s="159"/>
      <c r="AH517" s="159"/>
      <c r="AI517" s="159"/>
      <c r="AJ517" s="159"/>
      <c r="AK517" s="159" t="s">
        <v>2600</v>
      </c>
      <c r="AL517" s="159"/>
      <c r="AM517" s="159"/>
      <c r="AN517" s="159" t="s">
        <v>786</v>
      </c>
      <c r="AO517" s="162" t="s">
        <v>115</v>
      </c>
      <c r="BD517" s="162" t="s">
        <v>1442</v>
      </c>
      <c r="BE517" s="156" t="s">
        <v>1920</v>
      </c>
      <c r="BF517" s="162" t="s">
        <v>1482</v>
      </c>
      <c r="BG517" s="159" t="s">
        <v>129</v>
      </c>
      <c r="BH517" s="159" t="s">
        <v>46</v>
      </c>
      <c r="BI517" s="159" t="s">
        <v>41</v>
      </c>
      <c r="BJ517" s="162">
        <v>1</v>
      </c>
    </row>
    <row r="518" spans="1:62">
      <c r="A518" s="184" t="str">
        <f t="shared" ref="A518:A537" si="8">IF(AC518="Tetap","1",IF(AC518="Kontrak","2",IF(AC518="Harian Lepas","3",IF(AC518="Borongan","4"))))&amp;TEXT(AB518,"YY")&amp;TEXT(AB518,"MM")&amp;TEXT(C518,"00")</f>
        <v>42607514</v>
      </c>
      <c r="B518" s="176" t="s">
        <v>2507</v>
      </c>
      <c r="C518" s="158" t="s">
        <v>3364</v>
      </c>
      <c r="D518" s="162" t="s">
        <v>2506</v>
      </c>
      <c r="F518" s="176" t="s">
        <v>2509</v>
      </c>
      <c r="G518" s="171">
        <v>32555</v>
      </c>
      <c r="I518" s="159" t="s">
        <v>2569</v>
      </c>
      <c r="J518" s="159" t="s">
        <v>2619</v>
      </c>
      <c r="K518" s="166" t="s">
        <v>81</v>
      </c>
      <c r="L518" s="166" t="s">
        <v>2508</v>
      </c>
      <c r="M518" s="209" t="s">
        <v>2625</v>
      </c>
      <c r="N518" s="209" t="s">
        <v>2623</v>
      </c>
      <c r="O518" s="166" t="s">
        <v>2659</v>
      </c>
      <c r="P518" s="166" t="s">
        <v>2659</v>
      </c>
      <c r="Q518" s="159" t="s">
        <v>2840</v>
      </c>
      <c r="R518" s="159" t="s">
        <v>2863</v>
      </c>
      <c r="T518" s="166" t="s">
        <v>2508</v>
      </c>
      <c r="U518" s="209" t="s">
        <v>2625</v>
      </c>
      <c r="V518" s="209" t="s">
        <v>2623</v>
      </c>
      <c r="W518" s="166" t="s">
        <v>2659</v>
      </c>
      <c r="X518" s="166" t="s">
        <v>2659</v>
      </c>
      <c r="Y518" s="159" t="s">
        <v>2840</v>
      </c>
      <c r="Z518" s="159" t="s">
        <v>2863</v>
      </c>
      <c r="AB518" s="171">
        <v>46219</v>
      </c>
      <c r="AC518" s="159" t="s">
        <v>129</v>
      </c>
      <c r="AD518" s="158"/>
      <c r="AE518" s="159"/>
      <c r="AF518" s="159"/>
      <c r="AG518" s="159"/>
      <c r="AH518" s="159"/>
      <c r="AI518" s="159"/>
      <c r="AJ518" s="159"/>
      <c r="AK518" s="159" t="s">
        <v>2600</v>
      </c>
      <c r="AL518" s="159"/>
      <c r="AM518" s="159"/>
      <c r="AN518" s="159" t="s">
        <v>786</v>
      </c>
      <c r="AO518" s="162" t="s">
        <v>115</v>
      </c>
      <c r="BD518" s="162" t="s">
        <v>1442</v>
      </c>
      <c r="BE518" s="156" t="s">
        <v>1920</v>
      </c>
      <c r="BF518" s="162" t="s">
        <v>1482</v>
      </c>
      <c r="BG518" s="159" t="s">
        <v>129</v>
      </c>
      <c r="BH518" s="159" t="s">
        <v>46</v>
      </c>
      <c r="BI518" s="159" t="s">
        <v>41</v>
      </c>
      <c r="BJ518" s="162">
        <v>1</v>
      </c>
    </row>
    <row r="519" spans="1:62">
      <c r="A519" s="184" t="str">
        <f t="shared" si="8"/>
        <v>42607515</v>
      </c>
      <c r="B519" s="176" t="s">
        <v>2512</v>
      </c>
      <c r="C519" s="158" t="s">
        <v>3365</v>
      </c>
      <c r="D519" s="162" t="s">
        <v>2511</v>
      </c>
      <c r="F519" s="176" t="s">
        <v>2513</v>
      </c>
      <c r="G519" s="171">
        <v>36887</v>
      </c>
      <c r="I519" s="159" t="s">
        <v>2570</v>
      </c>
      <c r="J519" s="159" t="s">
        <v>2619</v>
      </c>
      <c r="K519" s="166" t="s">
        <v>81</v>
      </c>
      <c r="L519" s="166" t="s">
        <v>164</v>
      </c>
      <c r="M519" s="209" t="s">
        <v>2629</v>
      </c>
      <c r="N519" s="209" t="s">
        <v>2622</v>
      </c>
      <c r="O519" s="166" t="s">
        <v>2659</v>
      </c>
      <c r="P519" s="166" t="s">
        <v>2659</v>
      </c>
      <c r="Q519" s="159" t="s">
        <v>2840</v>
      </c>
      <c r="R519" s="159" t="s">
        <v>2863</v>
      </c>
      <c r="T519" s="166" t="s">
        <v>164</v>
      </c>
      <c r="U519" s="209" t="s">
        <v>2629</v>
      </c>
      <c r="V519" s="209" t="s">
        <v>2622</v>
      </c>
      <c r="W519" s="166" t="s">
        <v>2659</v>
      </c>
      <c r="X519" s="166" t="s">
        <v>2659</v>
      </c>
      <c r="Y519" s="159" t="s">
        <v>2840</v>
      </c>
      <c r="Z519" s="159" t="s">
        <v>2863</v>
      </c>
      <c r="AB519" s="171">
        <v>46223</v>
      </c>
      <c r="AC519" s="159" t="s">
        <v>129</v>
      </c>
      <c r="AD519" s="158"/>
      <c r="AE519" s="159"/>
      <c r="AF519" s="159"/>
      <c r="AG519" s="159"/>
      <c r="AH519" s="159"/>
      <c r="AI519" s="159"/>
      <c r="AJ519" s="159"/>
      <c r="AK519" s="159" t="s">
        <v>2600</v>
      </c>
      <c r="AL519" s="159"/>
      <c r="AM519" s="159"/>
      <c r="AN519" s="159" t="s">
        <v>786</v>
      </c>
      <c r="AO519" s="162" t="s">
        <v>115</v>
      </c>
      <c r="BD519" s="162" t="s">
        <v>1442</v>
      </c>
      <c r="BE519" s="156" t="s">
        <v>2017</v>
      </c>
      <c r="BF519" s="162" t="s">
        <v>1539</v>
      </c>
      <c r="BG519" s="159" t="s">
        <v>129</v>
      </c>
      <c r="BH519" s="159" t="s">
        <v>46</v>
      </c>
      <c r="BI519" s="159" t="s">
        <v>41</v>
      </c>
      <c r="BJ519" s="162">
        <v>1</v>
      </c>
    </row>
    <row r="520" spans="1:62">
      <c r="A520" s="184" t="str">
        <f t="shared" si="8"/>
        <v>42607516</v>
      </c>
      <c r="B520" s="176" t="s">
        <v>2503</v>
      </c>
      <c r="C520" s="158" t="s">
        <v>3366</v>
      </c>
      <c r="D520" s="162" t="s">
        <v>2502</v>
      </c>
      <c r="F520" s="176" t="s">
        <v>2505</v>
      </c>
      <c r="G520" s="171">
        <v>31864</v>
      </c>
      <c r="I520" s="159" t="s">
        <v>2569</v>
      </c>
      <c r="J520" s="159" t="s">
        <v>2619</v>
      </c>
      <c r="K520" s="166" t="s">
        <v>81</v>
      </c>
      <c r="L520" s="166" t="s">
        <v>2554</v>
      </c>
      <c r="M520" s="209" t="s">
        <v>2623</v>
      </c>
      <c r="N520" s="209" t="s">
        <v>2621</v>
      </c>
      <c r="O520" s="166" t="s">
        <v>2698</v>
      </c>
      <c r="P520" s="166" t="s">
        <v>2659</v>
      </c>
      <c r="Q520" s="159" t="s">
        <v>2840</v>
      </c>
      <c r="R520" s="159" t="s">
        <v>2863</v>
      </c>
      <c r="T520" s="166" t="s">
        <v>2554</v>
      </c>
      <c r="U520" s="209" t="s">
        <v>2623</v>
      </c>
      <c r="V520" s="209" t="s">
        <v>2621</v>
      </c>
      <c r="W520" s="166" t="s">
        <v>2698</v>
      </c>
      <c r="X520" s="166" t="s">
        <v>2659</v>
      </c>
      <c r="Y520" s="159" t="s">
        <v>2840</v>
      </c>
      <c r="Z520" s="159" t="s">
        <v>2863</v>
      </c>
      <c r="AB520" s="171">
        <v>46219</v>
      </c>
      <c r="AC520" s="159" t="s">
        <v>129</v>
      </c>
      <c r="AD520" s="158"/>
      <c r="AE520" s="159"/>
      <c r="AF520" s="159"/>
      <c r="AG520" s="159"/>
      <c r="AH520" s="159"/>
      <c r="AI520" s="159"/>
      <c r="AJ520" s="159"/>
      <c r="AK520" s="159" t="s">
        <v>2600</v>
      </c>
      <c r="AL520" s="159"/>
      <c r="AM520" s="159"/>
      <c r="AN520" s="162" t="s">
        <v>786</v>
      </c>
      <c r="AO520" s="162" t="s">
        <v>115</v>
      </c>
      <c r="BD520" s="162" t="s">
        <v>1442</v>
      </c>
      <c r="BE520" s="156" t="s">
        <v>1920</v>
      </c>
      <c r="BF520" s="162" t="s">
        <v>1482</v>
      </c>
      <c r="BG520" s="159" t="s">
        <v>129</v>
      </c>
      <c r="BH520" s="159" t="s">
        <v>46</v>
      </c>
      <c r="BI520" s="159" t="s">
        <v>41</v>
      </c>
      <c r="BJ520" s="162">
        <v>1</v>
      </c>
    </row>
    <row r="521" spans="1:62">
      <c r="A521" s="184" t="str">
        <f t="shared" si="8"/>
        <v>42607517</v>
      </c>
      <c r="B521" s="176" t="s">
        <v>2507</v>
      </c>
      <c r="C521" s="158" t="s">
        <v>3367</v>
      </c>
      <c r="D521" s="162" t="s">
        <v>2555</v>
      </c>
      <c r="F521" s="176" t="s">
        <v>2509</v>
      </c>
      <c r="G521" s="171">
        <v>32555</v>
      </c>
      <c r="I521" s="159" t="s">
        <v>2569</v>
      </c>
      <c r="J521" s="159" t="s">
        <v>2619</v>
      </c>
      <c r="K521" s="166" t="s">
        <v>2372</v>
      </c>
      <c r="L521" s="166" t="s">
        <v>2038</v>
      </c>
      <c r="M521" s="209" t="s">
        <v>2629</v>
      </c>
      <c r="N521" s="209" t="s">
        <v>2623</v>
      </c>
      <c r="O521" s="166" t="s">
        <v>2659</v>
      </c>
      <c r="P521" s="166" t="s">
        <v>2659</v>
      </c>
      <c r="Q521" s="159" t="s">
        <v>2840</v>
      </c>
      <c r="R521" s="159" t="s">
        <v>2863</v>
      </c>
      <c r="T521" s="166" t="s">
        <v>2038</v>
      </c>
      <c r="U521" s="209" t="s">
        <v>2629</v>
      </c>
      <c r="V521" s="209" t="s">
        <v>2623</v>
      </c>
      <c r="W521" s="166" t="s">
        <v>2659</v>
      </c>
      <c r="X521" s="166" t="s">
        <v>2659</v>
      </c>
      <c r="Y521" s="159" t="s">
        <v>2840</v>
      </c>
      <c r="Z521" s="159" t="s">
        <v>2863</v>
      </c>
      <c r="AB521" s="171">
        <v>46219</v>
      </c>
      <c r="AC521" s="159" t="s">
        <v>129</v>
      </c>
      <c r="AD521" s="158"/>
      <c r="AE521" s="159"/>
      <c r="AF521" s="159"/>
      <c r="AG521" s="159"/>
      <c r="AH521" s="159"/>
      <c r="AI521" s="159"/>
      <c r="AJ521" s="159"/>
      <c r="AK521" s="159" t="s">
        <v>2600</v>
      </c>
      <c r="AL521" s="159"/>
      <c r="AM521" s="159"/>
      <c r="AN521" s="162" t="s">
        <v>786</v>
      </c>
      <c r="AO521" s="162" t="s">
        <v>115</v>
      </c>
      <c r="BD521" s="162" t="s">
        <v>1442</v>
      </c>
      <c r="BE521" s="156" t="s">
        <v>1920</v>
      </c>
      <c r="BF521" s="162" t="s">
        <v>1482</v>
      </c>
      <c r="BG521" s="159" t="s">
        <v>129</v>
      </c>
      <c r="BH521" s="159" t="s">
        <v>46</v>
      </c>
      <c r="BI521" s="159" t="s">
        <v>41</v>
      </c>
      <c r="BJ521" s="162">
        <v>1</v>
      </c>
    </row>
    <row r="522" spans="1:62">
      <c r="A522" s="184" t="str">
        <f t="shared" si="8"/>
        <v>32607518</v>
      </c>
      <c r="B522" s="176" t="s">
        <v>2522</v>
      </c>
      <c r="C522" s="158" t="s">
        <v>3368</v>
      </c>
      <c r="D522" s="162" t="s">
        <v>2521</v>
      </c>
      <c r="F522" s="176" t="s">
        <v>2524</v>
      </c>
      <c r="G522" s="171">
        <v>36714</v>
      </c>
      <c r="I522" s="159" t="s">
        <v>2569</v>
      </c>
      <c r="J522" s="159" t="s">
        <v>2619</v>
      </c>
      <c r="K522" s="166" t="s">
        <v>302</v>
      </c>
      <c r="L522" s="166" t="s">
        <v>2523</v>
      </c>
      <c r="M522" s="209" t="s">
        <v>2625</v>
      </c>
      <c r="N522" s="209" t="s">
        <v>2623</v>
      </c>
      <c r="O522" s="166" t="s">
        <v>2657</v>
      </c>
      <c r="P522" s="166" t="s">
        <v>2662</v>
      </c>
      <c r="Q522" s="159" t="s">
        <v>2840</v>
      </c>
      <c r="R522" s="159" t="s">
        <v>2863</v>
      </c>
      <c r="T522" s="166" t="s">
        <v>2523</v>
      </c>
      <c r="U522" s="209" t="s">
        <v>2625</v>
      </c>
      <c r="V522" s="209" t="s">
        <v>2623</v>
      </c>
      <c r="W522" s="166" t="s">
        <v>2657</v>
      </c>
      <c r="X522" s="166" t="s">
        <v>2662</v>
      </c>
      <c r="Y522" s="159" t="s">
        <v>2840</v>
      </c>
      <c r="Z522" s="159" t="s">
        <v>2863</v>
      </c>
      <c r="AB522" s="171">
        <v>46227</v>
      </c>
      <c r="AC522" s="159" t="s">
        <v>71</v>
      </c>
      <c r="AD522" s="158"/>
      <c r="AE522" s="159"/>
      <c r="AF522" s="159"/>
      <c r="AG522" s="159"/>
      <c r="AH522" s="159"/>
      <c r="AI522" s="159"/>
      <c r="AJ522" s="159"/>
      <c r="AK522" s="159" t="s">
        <v>2600</v>
      </c>
      <c r="AL522" s="159"/>
      <c r="AM522" s="159"/>
      <c r="AN522" s="162" t="s">
        <v>392</v>
      </c>
      <c r="AO522" s="162" t="s">
        <v>115</v>
      </c>
      <c r="BD522" s="162" t="s">
        <v>401</v>
      </c>
      <c r="BG522" s="159" t="s">
        <v>71</v>
      </c>
      <c r="BH522" s="162" t="s">
        <v>121</v>
      </c>
      <c r="BI522" s="159" t="s">
        <v>41</v>
      </c>
      <c r="BJ522" s="162">
        <v>3</v>
      </c>
    </row>
    <row r="523" spans="1:62">
      <c r="A523" s="184" t="str">
        <f t="shared" si="8"/>
        <v>42607519</v>
      </c>
      <c r="B523" s="176" t="s">
        <v>2527</v>
      </c>
      <c r="C523" s="158" t="s">
        <v>3369</v>
      </c>
      <c r="D523" s="162" t="s">
        <v>2526</v>
      </c>
      <c r="F523" s="176" t="s">
        <v>2529</v>
      </c>
      <c r="G523" s="171">
        <v>33915</v>
      </c>
      <c r="I523" s="159" t="s">
        <v>2569</v>
      </c>
      <c r="J523" s="159" t="s">
        <v>2619</v>
      </c>
      <c r="K523" s="166" t="s">
        <v>81</v>
      </c>
      <c r="L523" s="166" t="s">
        <v>2528</v>
      </c>
      <c r="M523" s="209" t="s">
        <v>2623</v>
      </c>
      <c r="N523" s="209" t="s">
        <v>2630</v>
      </c>
      <c r="O523" s="166" t="s">
        <v>2657</v>
      </c>
      <c r="P523" s="166" t="s">
        <v>2662</v>
      </c>
      <c r="Q523" s="159" t="s">
        <v>2840</v>
      </c>
      <c r="R523" s="159" t="s">
        <v>2863</v>
      </c>
      <c r="T523" s="166" t="s">
        <v>2528</v>
      </c>
      <c r="U523" s="209" t="s">
        <v>2623</v>
      </c>
      <c r="V523" s="209" t="s">
        <v>2630</v>
      </c>
      <c r="W523" s="166" t="s">
        <v>2657</v>
      </c>
      <c r="X523" s="166" t="s">
        <v>2662</v>
      </c>
      <c r="Y523" s="159" t="s">
        <v>2840</v>
      </c>
      <c r="Z523" s="159" t="s">
        <v>2863</v>
      </c>
      <c r="AB523" s="171">
        <v>46230</v>
      </c>
      <c r="AC523" s="159" t="s">
        <v>129</v>
      </c>
      <c r="AD523" s="158"/>
      <c r="AE523" s="159"/>
      <c r="AF523" s="159"/>
      <c r="AG523" s="159"/>
      <c r="AH523" s="159"/>
      <c r="AI523" s="159"/>
      <c r="AJ523" s="159"/>
      <c r="AK523" s="159" t="s">
        <v>2600</v>
      </c>
      <c r="AL523" s="159"/>
      <c r="AM523" s="159"/>
      <c r="AN523" s="162" t="s">
        <v>786</v>
      </c>
      <c r="AO523" s="162" t="s">
        <v>115</v>
      </c>
      <c r="BD523" s="162" t="s">
        <v>1442</v>
      </c>
      <c r="BE523" s="156" t="s">
        <v>1493</v>
      </c>
      <c r="BF523" s="162" t="s">
        <v>1539</v>
      </c>
      <c r="BG523" s="159" t="s">
        <v>129</v>
      </c>
      <c r="BH523" s="162" t="s">
        <v>46</v>
      </c>
      <c r="BI523" s="159" t="s">
        <v>41</v>
      </c>
      <c r="BJ523" s="162">
        <v>1</v>
      </c>
    </row>
    <row r="524" spans="1:62">
      <c r="A524" s="184" t="str">
        <f t="shared" si="8"/>
        <v>42607520</v>
      </c>
      <c r="B524" s="176" t="s">
        <v>2531</v>
      </c>
      <c r="C524" s="158" t="s">
        <v>3370</v>
      </c>
      <c r="D524" s="162" t="s">
        <v>2530</v>
      </c>
      <c r="F524" s="176" t="s">
        <v>2533</v>
      </c>
      <c r="G524" s="171">
        <v>33915</v>
      </c>
      <c r="I524" s="159" t="s">
        <v>2569</v>
      </c>
      <c r="J524" s="159" t="s">
        <v>2619</v>
      </c>
      <c r="K524" s="166" t="s">
        <v>81</v>
      </c>
      <c r="L524" s="166" t="s">
        <v>2532</v>
      </c>
      <c r="M524" s="209" t="s">
        <v>2625</v>
      </c>
      <c r="N524" s="209" t="s">
        <v>2626</v>
      </c>
      <c r="O524" s="166" t="s">
        <v>2659</v>
      </c>
      <c r="P524" s="166" t="s">
        <v>2659</v>
      </c>
      <c r="Q524" s="159" t="s">
        <v>2840</v>
      </c>
      <c r="R524" s="159" t="s">
        <v>2863</v>
      </c>
      <c r="T524" s="166" t="s">
        <v>2532</v>
      </c>
      <c r="U524" s="209" t="s">
        <v>2625</v>
      </c>
      <c r="V524" s="209" t="s">
        <v>2626</v>
      </c>
      <c r="W524" s="166" t="s">
        <v>2659</v>
      </c>
      <c r="X524" s="166" t="s">
        <v>2659</v>
      </c>
      <c r="Y524" s="159" t="s">
        <v>2840</v>
      </c>
      <c r="Z524" s="159" t="s">
        <v>2863</v>
      </c>
      <c r="AB524" s="171">
        <v>46230</v>
      </c>
      <c r="AC524" s="159" t="s">
        <v>129</v>
      </c>
      <c r="AD524" s="158"/>
      <c r="AE524" s="159"/>
      <c r="AF524" s="159"/>
      <c r="AG524" s="159"/>
      <c r="AH524" s="159"/>
      <c r="AI524" s="159"/>
      <c r="AJ524" s="159"/>
      <c r="AK524" s="159" t="s">
        <v>2600</v>
      </c>
      <c r="AL524" s="159"/>
      <c r="AM524" s="159"/>
      <c r="AN524" s="162" t="s">
        <v>786</v>
      </c>
      <c r="AO524" s="162" t="s">
        <v>115</v>
      </c>
      <c r="BD524" s="162" t="s">
        <v>1442</v>
      </c>
      <c r="BE524" s="156" t="s">
        <v>1493</v>
      </c>
      <c r="BF524" s="162" t="s">
        <v>1539</v>
      </c>
      <c r="BG524" s="159" t="s">
        <v>129</v>
      </c>
      <c r="BH524" s="162" t="s">
        <v>46</v>
      </c>
      <c r="BI524" s="159" t="s">
        <v>41</v>
      </c>
      <c r="BJ524" s="162">
        <v>1</v>
      </c>
    </row>
    <row r="525" spans="1:62">
      <c r="A525" s="184" t="str">
        <f t="shared" si="8"/>
        <v>42607521</v>
      </c>
      <c r="B525" s="176" t="s">
        <v>2535</v>
      </c>
      <c r="C525" s="158" t="s">
        <v>3371</v>
      </c>
      <c r="D525" s="162" t="s">
        <v>2534</v>
      </c>
      <c r="F525" s="176" t="s">
        <v>2537</v>
      </c>
      <c r="G525" s="171">
        <v>39577</v>
      </c>
      <c r="I525" s="159" t="s">
        <v>2569</v>
      </c>
      <c r="J525" s="159" t="s">
        <v>2619</v>
      </c>
      <c r="K525" s="166" t="s">
        <v>81</v>
      </c>
      <c r="L525" s="166" t="s">
        <v>2536</v>
      </c>
      <c r="M525" s="209" t="s">
        <v>2626</v>
      </c>
      <c r="N525" s="209" t="s">
        <v>2625</v>
      </c>
      <c r="O525" s="166" t="s">
        <v>2796</v>
      </c>
      <c r="P525" s="166" t="s">
        <v>2659</v>
      </c>
      <c r="Q525" s="159" t="s">
        <v>2840</v>
      </c>
      <c r="R525" s="159" t="s">
        <v>2863</v>
      </c>
      <c r="T525" s="166" t="s">
        <v>2536</v>
      </c>
      <c r="U525" s="209" t="s">
        <v>2626</v>
      </c>
      <c r="V525" s="209" t="s">
        <v>2625</v>
      </c>
      <c r="W525" s="166" t="s">
        <v>2796</v>
      </c>
      <c r="X525" s="166" t="s">
        <v>2659</v>
      </c>
      <c r="Y525" s="159" t="s">
        <v>2840</v>
      </c>
      <c r="Z525" s="159" t="s">
        <v>2863</v>
      </c>
      <c r="AB525" s="171">
        <v>46232</v>
      </c>
      <c r="AC525" s="159" t="s">
        <v>129</v>
      </c>
      <c r="AD525" s="158"/>
      <c r="AE525" s="159"/>
      <c r="AF525" s="159"/>
      <c r="AG525" s="159"/>
      <c r="AH525" s="159"/>
      <c r="AI525" s="159"/>
      <c r="AJ525" s="159"/>
      <c r="AK525" s="159" t="s">
        <v>2600</v>
      </c>
      <c r="AL525" s="159"/>
      <c r="AM525" s="159"/>
      <c r="AN525" s="162" t="s">
        <v>786</v>
      </c>
      <c r="AO525" s="162" t="s">
        <v>115</v>
      </c>
      <c r="BD525" s="162" t="s">
        <v>1442</v>
      </c>
      <c r="BE525" s="156" t="s">
        <v>1920</v>
      </c>
      <c r="BF525" s="162" t="s">
        <v>1508</v>
      </c>
      <c r="BG525" s="159" t="s">
        <v>129</v>
      </c>
      <c r="BH525" s="162" t="s">
        <v>46</v>
      </c>
      <c r="BI525" s="159" t="s">
        <v>41</v>
      </c>
      <c r="BJ525" s="162">
        <v>1</v>
      </c>
    </row>
    <row r="526" spans="1:62">
      <c r="A526" s="184" t="str">
        <f t="shared" si="8"/>
        <v>42607522</v>
      </c>
      <c r="B526" s="176" t="s">
        <v>2539</v>
      </c>
      <c r="C526" s="158" t="s">
        <v>3372</v>
      </c>
      <c r="D526" s="162" t="s">
        <v>2538</v>
      </c>
      <c r="F526" s="176" t="s">
        <v>2541</v>
      </c>
      <c r="G526" s="171">
        <v>36666</v>
      </c>
      <c r="I526" s="159" t="s">
        <v>2569</v>
      </c>
      <c r="J526" s="159" t="s">
        <v>2619</v>
      </c>
      <c r="K526" s="166" t="s">
        <v>81</v>
      </c>
      <c r="L526" s="166" t="s">
        <v>2540</v>
      </c>
      <c r="M526" s="209" t="s">
        <v>2623</v>
      </c>
      <c r="N526" s="209" t="s">
        <v>2623</v>
      </c>
      <c r="O526" s="166" t="s">
        <v>2797</v>
      </c>
      <c r="P526" s="166" t="s">
        <v>2835</v>
      </c>
      <c r="Q526" s="159" t="s">
        <v>2842</v>
      </c>
      <c r="R526" s="159" t="s">
        <v>2863</v>
      </c>
      <c r="T526" s="166" t="s">
        <v>2540</v>
      </c>
      <c r="U526" s="209" t="s">
        <v>2623</v>
      </c>
      <c r="V526" s="209" t="s">
        <v>2623</v>
      </c>
      <c r="W526" s="166" t="s">
        <v>2797</v>
      </c>
      <c r="X526" s="166" t="s">
        <v>2835</v>
      </c>
      <c r="Y526" s="159" t="s">
        <v>2842</v>
      </c>
      <c r="Z526" s="159" t="s">
        <v>2863</v>
      </c>
      <c r="AB526" s="171">
        <v>46232</v>
      </c>
      <c r="AC526" s="159" t="s">
        <v>129</v>
      </c>
      <c r="AD526" s="158"/>
      <c r="AE526" s="159"/>
      <c r="AF526" s="159"/>
      <c r="AG526" s="159"/>
      <c r="AH526" s="159"/>
      <c r="AI526" s="159"/>
      <c r="AJ526" s="159"/>
      <c r="AK526" s="159" t="s">
        <v>2600</v>
      </c>
      <c r="AL526" s="159"/>
      <c r="AM526" s="159"/>
      <c r="AN526" s="162" t="s">
        <v>786</v>
      </c>
      <c r="AO526" s="162" t="s">
        <v>115</v>
      </c>
      <c r="BD526" s="162" t="s">
        <v>1442</v>
      </c>
      <c r="BE526" s="156" t="s">
        <v>1920</v>
      </c>
      <c r="BF526" s="162" t="s">
        <v>1508</v>
      </c>
      <c r="BG526" s="159" t="s">
        <v>129</v>
      </c>
      <c r="BH526" s="162" t="s">
        <v>46</v>
      </c>
      <c r="BI526" s="159" t="s">
        <v>41</v>
      </c>
      <c r="BJ526" s="162">
        <v>1</v>
      </c>
    </row>
    <row r="527" spans="1:62">
      <c r="A527" s="184" t="str">
        <f t="shared" si="8"/>
        <v>42607523</v>
      </c>
      <c r="B527" s="176" t="s">
        <v>2557</v>
      </c>
      <c r="C527" s="158" t="s">
        <v>3373</v>
      </c>
      <c r="D527" s="162" t="s">
        <v>2556</v>
      </c>
      <c r="F527" s="176" t="s">
        <v>2558</v>
      </c>
      <c r="G527" s="171">
        <v>39221</v>
      </c>
      <c r="I527" s="159" t="s">
        <v>2569</v>
      </c>
      <c r="J527" s="159" t="s">
        <v>2619</v>
      </c>
      <c r="K527" s="166" t="s">
        <v>81</v>
      </c>
      <c r="L527" s="166" t="s">
        <v>808</v>
      </c>
      <c r="M527" s="209" t="s">
        <v>2637</v>
      </c>
      <c r="N527" s="209" t="s">
        <v>2623</v>
      </c>
      <c r="O527" s="166" t="s">
        <v>2657</v>
      </c>
      <c r="P527" s="166" t="s">
        <v>2662</v>
      </c>
      <c r="Q527" s="159" t="s">
        <v>2840</v>
      </c>
      <c r="R527" s="159" t="s">
        <v>2863</v>
      </c>
      <c r="T527" s="166" t="s">
        <v>808</v>
      </c>
      <c r="U527" s="209" t="s">
        <v>2637</v>
      </c>
      <c r="V527" s="209" t="s">
        <v>2623</v>
      </c>
      <c r="W527" s="166" t="s">
        <v>2657</v>
      </c>
      <c r="X527" s="166" t="s">
        <v>2662</v>
      </c>
      <c r="Y527" s="159" t="s">
        <v>2840</v>
      </c>
      <c r="Z527" s="159" t="s">
        <v>2863</v>
      </c>
      <c r="AB527" s="171">
        <v>46231</v>
      </c>
      <c r="AC527" s="159" t="s">
        <v>129</v>
      </c>
      <c r="AD527" s="158"/>
      <c r="AE527" s="159"/>
      <c r="AF527" s="159"/>
      <c r="AG527" s="159"/>
      <c r="AH527" s="159"/>
      <c r="AI527" s="159"/>
      <c r="AJ527" s="159"/>
      <c r="AK527" s="159" t="s">
        <v>2600</v>
      </c>
      <c r="AL527" s="159"/>
      <c r="AM527" s="159"/>
      <c r="AN527" s="162" t="s">
        <v>786</v>
      </c>
      <c r="AO527" s="162" t="s">
        <v>115</v>
      </c>
      <c r="BD527" s="162" t="s">
        <v>1442</v>
      </c>
      <c r="BE527" s="156" t="s">
        <v>1920</v>
      </c>
      <c r="BF527" s="162" t="s">
        <v>1539</v>
      </c>
      <c r="BG527" s="159" t="s">
        <v>129</v>
      </c>
      <c r="BH527" s="162" t="s">
        <v>46</v>
      </c>
      <c r="BI527" s="159" t="s">
        <v>41</v>
      </c>
      <c r="BJ527" s="162">
        <v>1</v>
      </c>
    </row>
    <row r="528" spans="1:62">
      <c r="A528" s="184" t="str">
        <f t="shared" si="8"/>
        <v>42607524</v>
      </c>
      <c r="B528" s="176" t="s">
        <v>2543</v>
      </c>
      <c r="C528" s="158" t="s">
        <v>3374</v>
      </c>
      <c r="D528" s="162" t="s">
        <v>2542</v>
      </c>
      <c r="F528" s="176" t="s">
        <v>2545</v>
      </c>
      <c r="G528" s="171">
        <v>39475</v>
      </c>
      <c r="I528" s="159" t="s">
        <v>2569</v>
      </c>
      <c r="J528" s="159" t="s">
        <v>2619</v>
      </c>
      <c r="K528" s="166" t="s">
        <v>81</v>
      </c>
      <c r="L528" s="166" t="s">
        <v>2544</v>
      </c>
      <c r="M528" s="209" t="s">
        <v>2622</v>
      </c>
      <c r="N528" s="209" t="s">
        <v>2623</v>
      </c>
      <c r="O528" s="166" t="s">
        <v>2706</v>
      </c>
      <c r="P528" s="166" t="s">
        <v>2711</v>
      </c>
      <c r="Q528" s="159" t="s">
        <v>2840</v>
      </c>
      <c r="R528" s="159" t="s">
        <v>2863</v>
      </c>
      <c r="T528" s="166" t="s">
        <v>2544</v>
      </c>
      <c r="U528" s="209" t="s">
        <v>2622</v>
      </c>
      <c r="V528" s="209" t="s">
        <v>2623</v>
      </c>
      <c r="W528" s="166" t="s">
        <v>2706</v>
      </c>
      <c r="X528" s="166" t="s">
        <v>2711</v>
      </c>
      <c r="Y528" s="159" t="s">
        <v>2840</v>
      </c>
      <c r="Z528" s="159" t="s">
        <v>2863</v>
      </c>
      <c r="AB528" s="171">
        <v>46233</v>
      </c>
      <c r="AC528" s="159" t="s">
        <v>129</v>
      </c>
      <c r="AD528" s="158"/>
      <c r="AE528" s="159"/>
      <c r="AF528" s="159"/>
      <c r="AG528" s="159"/>
      <c r="AH528" s="159"/>
      <c r="AI528" s="159"/>
      <c r="AJ528" s="159"/>
      <c r="AK528" s="159" t="s">
        <v>2600</v>
      </c>
      <c r="AL528" s="159"/>
      <c r="AM528" s="159"/>
      <c r="AN528" s="162" t="s">
        <v>786</v>
      </c>
      <c r="AO528" s="162" t="s">
        <v>115</v>
      </c>
      <c r="BD528" s="162" t="s">
        <v>1442</v>
      </c>
      <c r="BE528" s="156" t="s">
        <v>1920</v>
      </c>
      <c r="BF528" s="162" t="s">
        <v>1508</v>
      </c>
      <c r="BG528" s="159" t="s">
        <v>129</v>
      </c>
      <c r="BH528" s="162" t="s">
        <v>46</v>
      </c>
      <c r="BI528" s="159" t="s">
        <v>41</v>
      </c>
      <c r="BJ528" s="162">
        <v>1</v>
      </c>
    </row>
    <row r="529" spans="1:62">
      <c r="A529" s="184" t="str">
        <f t="shared" si="8"/>
        <v>42607525</v>
      </c>
      <c r="B529" s="176" t="s">
        <v>2547</v>
      </c>
      <c r="C529" s="158" t="s">
        <v>3375</v>
      </c>
      <c r="D529" s="162" t="s">
        <v>2546</v>
      </c>
      <c r="F529" s="176" t="s">
        <v>2549</v>
      </c>
      <c r="G529" s="171">
        <v>39016</v>
      </c>
      <c r="I529" s="159" t="s">
        <v>2569</v>
      </c>
      <c r="J529" s="159" t="s">
        <v>2619</v>
      </c>
      <c r="K529" s="166" t="s">
        <v>81</v>
      </c>
      <c r="L529" s="166" t="s">
        <v>2548</v>
      </c>
      <c r="M529" s="209" t="s">
        <v>2626</v>
      </c>
      <c r="N529" s="209" t="s">
        <v>2622</v>
      </c>
      <c r="O529" s="166" t="s">
        <v>2662</v>
      </c>
      <c r="P529" s="166" t="s">
        <v>2662</v>
      </c>
      <c r="Q529" s="159" t="s">
        <v>2840</v>
      </c>
      <c r="R529" s="159" t="s">
        <v>2863</v>
      </c>
      <c r="T529" s="166" t="s">
        <v>2548</v>
      </c>
      <c r="U529" s="209" t="s">
        <v>2626</v>
      </c>
      <c r="V529" s="209" t="s">
        <v>2622</v>
      </c>
      <c r="W529" s="166" t="s">
        <v>2662</v>
      </c>
      <c r="X529" s="166" t="s">
        <v>2662</v>
      </c>
      <c r="Y529" s="159" t="s">
        <v>2840</v>
      </c>
      <c r="Z529" s="159" t="s">
        <v>2863</v>
      </c>
      <c r="AB529" s="171">
        <v>46233</v>
      </c>
      <c r="AC529" s="159" t="s">
        <v>129</v>
      </c>
      <c r="AD529" s="158"/>
      <c r="AE529" s="159"/>
      <c r="AF529" s="159"/>
      <c r="AG529" s="159"/>
      <c r="AH529" s="159"/>
      <c r="AI529" s="159"/>
      <c r="AJ529" s="159"/>
      <c r="AK529" s="159" t="s">
        <v>2600</v>
      </c>
      <c r="AL529" s="159"/>
      <c r="AM529" s="159"/>
      <c r="AN529" s="162" t="s">
        <v>786</v>
      </c>
      <c r="AO529" s="162" t="s">
        <v>115</v>
      </c>
      <c r="BD529" s="162" t="s">
        <v>1442</v>
      </c>
      <c r="BE529" s="156" t="s">
        <v>1920</v>
      </c>
      <c r="BF529" s="162" t="s">
        <v>1508</v>
      </c>
      <c r="BG529" s="159" t="s">
        <v>129</v>
      </c>
      <c r="BH529" s="162" t="s">
        <v>46</v>
      </c>
      <c r="BI529" s="159" t="s">
        <v>41</v>
      </c>
      <c r="BJ529" s="162">
        <v>1</v>
      </c>
    </row>
    <row r="530" spans="1:62">
      <c r="A530" s="184" t="str">
        <f t="shared" si="8"/>
        <v>42607526</v>
      </c>
      <c r="B530" s="176" t="s">
        <v>2551</v>
      </c>
      <c r="C530" s="158" t="s">
        <v>3376</v>
      </c>
      <c r="D530" s="162" t="s">
        <v>2550</v>
      </c>
      <c r="F530" s="176" t="s">
        <v>2553</v>
      </c>
      <c r="G530" s="171">
        <v>37529</v>
      </c>
      <c r="I530" s="159" t="s">
        <v>2569</v>
      </c>
      <c r="J530" s="159" t="s">
        <v>2619</v>
      </c>
      <c r="K530" s="166" t="s">
        <v>81</v>
      </c>
      <c r="L530" s="166" t="s">
        <v>2552</v>
      </c>
      <c r="M530" s="209" t="s">
        <v>2632</v>
      </c>
      <c r="N530" s="209" t="s">
        <v>2623</v>
      </c>
      <c r="O530" s="166" t="s">
        <v>2680</v>
      </c>
      <c r="P530" s="166" t="s">
        <v>2662</v>
      </c>
      <c r="Q530" s="159" t="s">
        <v>2840</v>
      </c>
      <c r="R530" s="159" t="s">
        <v>2863</v>
      </c>
      <c r="T530" s="166" t="s">
        <v>2552</v>
      </c>
      <c r="U530" s="209" t="s">
        <v>2632</v>
      </c>
      <c r="V530" s="209" t="s">
        <v>2623</v>
      </c>
      <c r="W530" s="166" t="s">
        <v>2680</v>
      </c>
      <c r="X530" s="166" t="s">
        <v>2662</v>
      </c>
      <c r="Y530" s="159" t="s">
        <v>2840</v>
      </c>
      <c r="Z530" s="159" t="s">
        <v>2863</v>
      </c>
      <c r="AB530" s="171">
        <v>46233</v>
      </c>
      <c r="AC530" s="159" t="s">
        <v>129</v>
      </c>
      <c r="AD530" s="158"/>
      <c r="AE530" s="159"/>
      <c r="AF530" s="159"/>
      <c r="AG530" s="159"/>
      <c r="AH530" s="159"/>
      <c r="AI530" s="159"/>
      <c r="AJ530" s="159"/>
      <c r="AK530" s="159" t="s">
        <v>2600</v>
      </c>
      <c r="AL530" s="159"/>
      <c r="AM530" s="159"/>
      <c r="AN530" s="162" t="s">
        <v>786</v>
      </c>
      <c r="AO530" s="162" t="s">
        <v>115</v>
      </c>
      <c r="BD530" s="162" t="s">
        <v>1442</v>
      </c>
      <c r="BE530" s="156" t="s">
        <v>1920</v>
      </c>
      <c r="BF530" s="162" t="s">
        <v>1482</v>
      </c>
      <c r="BG530" s="159" t="s">
        <v>129</v>
      </c>
      <c r="BH530" s="162" t="s">
        <v>46</v>
      </c>
      <c r="BI530" s="159" t="s">
        <v>41</v>
      </c>
      <c r="BJ530" s="162">
        <v>1</v>
      </c>
    </row>
    <row r="531" spans="1:62">
      <c r="A531" s="184" t="str">
        <f>IF(AC531="Tetap","1",IF(AC531="Kontrak","2",IF(AC531="Harian Lepas","3",IF(AC531="Borongan","4"))))&amp;TEXT(AB531,"YY")&amp;TEXT(AB531,"MM")&amp;TEXT(C531,"00")</f>
        <v>42608527</v>
      </c>
      <c r="B531" s="176" t="s">
        <v>2547</v>
      </c>
      <c r="C531" s="158" t="s">
        <v>3377</v>
      </c>
      <c r="D531" s="162" t="s">
        <v>3456</v>
      </c>
      <c r="F531" s="176" t="s">
        <v>3466</v>
      </c>
      <c r="G531" s="228">
        <v>38666</v>
      </c>
      <c r="I531" s="159" t="s">
        <v>2569</v>
      </c>
      <c r="J531" s="159" t="s">
        <v>2619</v>
      </c>
      <c r="K531" s="166" t="s">
        <v>81</v>
      </c>
      <c r="L531" s="166" t="s">
        <v>3473</v>
      </c>
      <c r="M531" s="209" t="s">
        <v>2629</v>
      </c>
      <c r="N531" s="209" t="s">
        <v>2639</v>
      </c>
      <c r="O531" s="166" t="s">
        <v>3476</v>
      </c>
      <c r="P531" s="166" t="s">
        <v>2807</v>
      </c>
      <c r="Q531" s="159" t="s">
        <v>2846</v>
      </c>
      <c r="R531" s="159" t="s">
        <v>2863</v>
      </c>
      <c r="AB531" s="228">
        <v>46237</v>
      </c>
      <c r="AC531" s="159" t="s">
        <v>129</v>
      </c>
      <c r="AK531" s="159" t="s">
        <v>2600</v>
      </c>
      <c r="AN531" s="162" t="s">
        <v>786</v>
      </c>
      <c r="AO531" s="162" t="s">
        <v>115</v>
      </c>
      <c r="BD531" s="162" t="s">
        <v>1442</v>
      </c>
      <c r="BE531" s="162" t="s">
        <v>1920</v>
      </c>
      <c r="BF531" s="162" t="s">
        <v>1539</v>
      </c>
      <c r="BG531" s="166" t="s">
        <v>129</v>
      </c>
      <c r="BH531" s="162" t="s">
        <v>46</v>
      </c>
    </row>
    <row r="532" spans="1:62">
      <c r="A532" s="184" t="str">
        <f t="shared" si="8"/>
        <v>42608528</v>
      </c>
      <c r="B532" s="176" t="s">
        <v>2551</v>
      </c>
      <c r="C532" s="158" t="s">
        <v>3378</v>
      </c>
      <c r="D532" s="162" t="s">
        <v>3457</v>
      </c>
      <c r="F532" s="176" t="s">
        <v>3467</v>
      </c>
      <c r="G532" s="228">
        <v>37935</v>
      </c>
      <c r="I532" s="159" t="s">
        <v>2569</v>
      </c>
      <c r="J532" s="159" t="s">
        <v>2619</v>
      </c>
      <c r="K532" s="166" t="s">
        <v>81</v>
      </c>
      <c r="L532" s="166" t="s">
        <v>263</v>
      </c>
      <c r="M532" s="209" t="s">
        <v>2621</v>
      </c>
      <c r="N532" s="209" t="s">
        <v>2626</v>
      </c>
      <c r="O532" s="166" t="s">
        <v>2659</v>
      </c>
      <c r="P532" s="166" t="s">
        <v>2659</v>
      </c>
      <c r="Q532" s="159" t="s">
        <v>2840</v>
      </c>
      <c r="R532" s="159" t="s">
        <v>2863</v>
      </c>
      <c r="AB532" s="228">
        <v>46237</v>
      </c>
      <c r="AC532" s="159" t="s">
        <v>129</v>
      </c>
      <c r="AK532" s="159" t="s">
        <v>2600</v>
      </c>
      <c r="AN532" s="162" t="s">
        <v>786</v>
      </c>
      <c r="AO532" s="162" t="s">
        <v>115</v>
      </c>
      <c r="BD532" s="162" t="s">
        <v>1442</v>
      </c>
      <c r="BE532" s="162" t="s">
        <v>1920</v>
      </c>
      <c r="BF532" s="162" t="s">
        <v>1539</v>
      </c>
      <c r="BG532" s="166" t="s">
        <v>129</v>
      </c>
      <c r="BH532" s="162" t="s">
        <v>46</v>
      </c>
    </row>
    <row r="533" spans="1:62">
      <c r="A533" s="184" t="str">
        <f t="shared" si="8"/>
        <v>42608529</v>
      </c>
      <c r="B533" s="176" t="s">
        <v>2547</v>
      </c>
      <c r="C533" s="158" t="s">
        <v>3379</v>
      </c>
      <c r="D533" s="162" t="s">
        <v>3458</v>
      </c>
      <c r="F533" s="176" t="s">
        <v>3468</v>
      </c>
      <c r="G533" s="228">
        <v>38705</v>
      </c>
      <c r="I533" s="159" t="s">
        <v>2569</v>
      </c>
      <c r="J533" s="159" t="s">
        <v>2619</v>
      </c>
      <c r="K533" s="166" t="s">
        <v>81</v>
      </c>
      <c r="L533" s="166" t="s">
        <v>3475</v>
      </c>
      <c r="M533" s="209" t="s">
        <v>2621</v>
      </c>
      <c r="N533" s="209" t="s">
        <v>2621</v>
      </c>
      <c r="O533" s="166" t="s">
        <v>2772</v>
      </c>
      <c r="P533" s="166" t="s">
        <v>2711</v>
      </c>
      <c r="Q533" s="159" t="s">
        <v>2840</v>
      </c>
      <c r="R533" s="159" t="s">
        <v>2863</v>
      </c>
      <c r="AB533" s="228">
        <v>46237</v>
      </c>
      <c r="AC533" s="159" t="s">
        <v>129</v>
      </c>
      <c r="AK533" s="159" t="s">
        <v>2600</v>
      </c>
      <c r="AN533" s="162" t="s">
        <v>786</v>
      </c>
      <c r="AO533" s="162" t="s">
        <v>115</v>
      </c>
      <c r="BD533" s="162" t="s">
        <v>1442</v>
      </c>
      <c r="BE533" s="162" t="s">
        <v>1920</v>
      </c>
      <c r="BF533" s="162" t="s">
        <v>1482</v>
      </c>
      <c r="BG533" s="166" t="s">
        <v>129</v>
      </c>
      <c r="BH533" s="162" t="s">
        <v>46</v>
      </c>
    </row>
    <row r="534" spans="1:62">
      <c r="A534" s="184" t="str">
        <f t="shared" si="8"/>
        <v>22608530</v>
      </c>
      <c r="B534" s="176" t="s">
        <v>2551</v>
      </c>
      <c r="C534" s="158" t="s">
        <v>3380</v>
      </c>
      <c r="D534" s="162" t="s">
        <v>3459</v>
      </c>
      <c r="E534" s="220" t="s">
        <v>3481</v>
      </c>
      <c r="F534" s="176" t="s">
        <v>3469</v>
      </c>
      <c r="G534" s="228">
        <v>34855</v>
      </c>
      <c r="H534" s="171" t="s">
        <v>3480</v>
      </c>
      <c r="I534" s="159" t="s">
        <v>2569</v>
      </c>
      <c r="J534" s="159" t="s">
        <v>2619</v>
      </c>
      <c r="K534" s="166" t="s">
        <v>81</v>
      </c>
      <c r="L534" s="166" t="s">
        <v>3474</v>
      </c>
      <c r="M534" s="209" t="s">
        <v>2642</v>
      </c>
      <c r="N534" s="209" t="s">
        <v>2622</v>
      </c>
      <c r="O534" s="166" t="s">
        <v>3477</v>
      </c>
      <c r="P534" s="166" t="s">
        <v>3478</v>
      </c>
      <c r="Q534" s="159" t="s">
        <v>3479</v>
      </c>
      <c r="R534" s="159" t="s">
        <v>2863</v>
      </c>
      <c r="T534" s="166" t="s">
        <v>3482</v>
      </c>
      <c r="W534" s="166" t="s">
        <v>3483</v>
      </c>
      <c r="X534" s="166" t="s">
        <v>2807</v>
      </c>
      <c r="Y534" s="166" t="s">
        <v>2846</v>
      </c>
      <c r="Z534" s="159" t="s">
        <v>2863</v>
      </c>
      <c r="AB534" s="228">
        <v>46238</v>
      </c>
      <c r="AC534" s="159" t="s">
        <v>45</v>
      </c>
      <c r="AK534" s="159" t="s">
        <v>2600</v>
      </c>
      <c r="AN534" s="162" t="s">
        <v>543</v>
      </c>
      <c r="AO534" s="162" t="s">
        <v>54</v>
      </c>
      <c r="BE534" s="162"/>
      <c r="BF534" s="166"/>
      <c r="BG534" s="166" t="s">
        <v>45</v>
      </c>
      <c r="BH534" s="162" t="s">
        <v>72</v>
      </c>
    </row>
    <row r="535" spans="1:62">
      <c r="A535" s="184" t="str">
        <f t="shared" si="8"/>
        <v>42608531</v>
      </c>
      <c r="B535" s="176" t="s">
        <v>2547</v>
      </c>
      <c r="C535" s="158" t="s">
        <v>3463</v>
      </c>
      <c r="D535" s="162" t="s">
        <v>3460</v>
      </c>
      <c r="F535" s="176" t="s">
        <v>3470</v>
      </c>
      <c r="G535" s="228">
        <v>45775</v>
      </c>
      <c r="I535" s="159" t="s">
        <v>2570</v>
      </c>
      <c r="J535" s="159" t="s">
        <v>2619</v>
      </c>
      <c r="K535" s="166" t="s">
        <v>81</v>
      </c>
      <c r="L535" s="166" t="s">
        <v>343</v>
      </c>
      <c r="M535" s="209" t="s">
        <v>2627</v>
      </c>
      <c r="N535" s="209" t="s">
        <v>2625</v>
      </c>
      <c r="O535" s="166" t="s">
        <v>2659</v>
      </c>
      <c r="P535" s="166" t="s">
        <v>2659</v>
      </c>
      <c r="Q535" s="159" t="s">
        <v>2840</v>
      </c>
      <c r="R535" s="159" t="s">
        <v>2863</v>
      </c>
      <c r="AB535" s="228">
        <v>46239</v>
      </c>
      <c r="AC535" s="159" t="s">
        <v>129</v>
      </c>
      <c r="AK535" s="159" t="s">
        <v>2600</v>
      </c>
      <c r="AN535" s="162" t="s">
        <v>786</v>
      </c>
      <c r="AO535" s="162" t="s">
        <v>115</v>
      </c>
      <c r="BD535" s="162" t="s">
        <v>1442</v>
      </c>
      <c r="BE535" s="162" t="s">
        <v>2304</v>
      </c>
      <c r="BF535" s="162" t="s">
        <v>1539</v>
      </c>
      <c r="BG535" s="166" t="s">
        <v>129</v>
      </c>
      <c r="BH535" s="162" t="s">
        <v>46</v>
      </c>
    </row>
    <row r="536" spans="1:62">
      <c r="A536" s="184" t="str">
        <f t="shared" si="8"/>
        <v>42608532</v>
      </c>
      <c r="B536" s="176" t="s">
        <v>2551</v>
      </c>
      <c r="C536" s="158" t="s">
        <v>3464</v>
      </c>
      <c r="D536" s="162" t="s">
        <v>3461</v>
      </c>
      <c r="F536" s="176" t="s">
        <v>3471</v>
      </c>
      <c r="G536" s="228">
        <v>39383</v>
      </c>
      <c r="I536" s="159" t="s">
        <v>2569</v>
      </c>
      <c r="J536" s="159" t="s">
        <v>2619</v>
      </c>
      <c r="K536" s="166" t="s">
        <v>81</v>
      </c>
      <c r="L536" s="166" t="s">
        <v>100</v>
      </c>
      <c r="M536" s="209" t="s">
        <v>2627</v>
      </c>
      <c r="N536" s="209" t="s">
        <v>2622</v>
      </c>
      <c r="O536" s="166" t="s">
        <v>2659</v>
      </c>
      <c r="P536" s="166" t="s">
        <v>2659</v>
      </c>
      <c r="Q536" s="159" t="s">
        <v>2840</v>
      </c>
      <c r="R536" s="159" t="s">
        <v>2863</v>
      </c>
      <c r="AB536" s="228">
        <v>46241</v>
      </c>
      <c r="AC536" s="159" t="s">
        <v>129</v>
      </c>
      <c r="AK536" s="159" t="s">
        <v>2600</v>
      </c>
      <c r="AN536" s="162" t="s">
        <v>786</v>
      </c>
      <c r="AO536" s="162" t="s">
        <v>115</v>
      </c>
      <c r="BD536" s="162" t="s">
        <v>1442</v>
      </c>
      <c r="BE536" s="162" t="s">
        <v>1920</v>
      </c>
      <c r="BF536" s="162" t="s">
        <v>1482</v>
      </c>
      <c r="BG536" s="166" t="s">
        <v>129</v>
      </c>
      <c r="BH536" s="162" t="s">
        <v>46</v>
      </c>
    </row>
    <row r="537" spans="1:62">
      <c r="A537" s="184" t="str">
        <f t="shared" si="8"/>
        <v>42608533</v>
      </c>
      <c r="B537" s="176" t="s">
        <v>2547</v>
      </c>
      <c r="C537" s="158" t="s">
        <v>3465</v>
      </c>
      <c r="D537" s="162" t="s">
        <v>3462</v>
      </c>
      <c r="F537" s="176" t="s">
        <v>3472</v>
      </c>
      <c r="G537" s="228">
        <v>39310</v>
      </c>
      <c r="I537" s="159" t="s">
        <v>2569</v>
      </c>
      <c r="J537" s="159" t="s">
        <v>2619</v>
      </c>
      <c r="K537" s="166" t="s">
        <v>81</v>
      </c>
      <c r="L537" s="166" t="s">
        <v>257</v>
      </c>
      <c r="M537" s="209" t="s">
        <v>2621</v>
      </c>
      <c r="N537" s="209" t="s">
        <v>2623</v>
      </c>
      <c r="O537" s="166" t="s">
        <v>2668</v>
      </c>
      <c r="P537" s="166" t="s">
        <v>2662</v>
      </c>
      <c r="Q537" s="159" t="s">
        <v>2840</v>
      </c>
      <c r="R537" s="159" t="s">
        <v>2863</v>
      </c>
      <c r="AB537" s="228">
        <v>46241</v>
      </c>
      <c r="AC537" s="159" t="s">
        <v>129</v>
      </c>
      <c r="AK537" s="159" t="s">
        <v>2600</v>
      </c>
      <c r="AN537" s="162" t="s">
        <v>786</v>
      </c>
      <c r="AO537" s="162" t="s">
        <v>115</v>
      </c>
      <c r="BD537" s="162" t="s">
        <v>1442</v>
      </c>
      <c r="BE537" s="162" t="s">
        <v>1920</v>
      </c>
      <c r="BF537" s="162" t="s">
        <v>1482</v>
      </c>
      <c r="BG537" s="166" t="s">
        <v>129</v>
      </c>
      <c r="BH537" s="162" t="s">
        <v>46</v>
      </c>
    </row>
  </sheetData>
  <phoneticPr fontId="22" type="noConversion"/>
  <conditionalFormatting sqref="D299:E299">
    <cfRule type="duplicateValues" dxfId="18" priority="20"/>
  </conditionalFormatting>
  <conditionalFormatting sqref="D352:E352">
    <cfRule type="duplicateValues" dxfId="17" priority="17"/>
  </conditionalFormatting>
  <conditionalFormatting sqref="D436:E436">
    <cfRule type="duplicateValues" dxfId="16" priority="15"/>
  </conditionalFormatting>
  <conditionalFormatting sqref="D119:E120">
    <cfRule type="duplicateValues" dxfId="15" priority="14"/>
  </conditionalFormatting>
  <conditionalFormatting sqref="D240:E240">
    <cfRule type="duplicateValues" dxfId="14" priority="13"/>
  </conditionalFormatting>
  <conditionalFormatting sqref="AO447:AT448">
    <cfRule type="duplicateValues" dxfId="13" priority="10"/>
  </conditionalFormatting>
  <conditionalFormatting sqref="AO491:AT491">
    <cfRule type="duplicateValues" dxfId="12" priority="7"/>
  </conditionalFormatting>
  <conditionalFormatting sqref="AO487:AT487">
    <cfRule type="duplicateValues" dxfId="11" priority="6"/>
  </conditionalFormatting>
  <conditionalFormatting sqref="AO450:AT451">
    <cfRule type="duplicateValues" dxfId="10" priority="5"/>
  </conditionalFormatting>
  <conditionalFormatting sqref="AO493:AT493">
    <cfRule type="duplicateValues" dxfId="9" priority="3"/>
  </conditionalFormatting>
  <conditionalFormatting sqref="AO490:AT490">
    <cfRule type="duplicateValues" dxfId="8" priority="2"/>
  </conditionalFormatting>
  <conditionalFormatting sqref="AU1:BC3 AU5:BC1048576">
    <cfRule type="duplicateValues" dxfId="7" priority="1"/>
  </conditionalFormatting>
  <conditionalFormatting sqref="D300:E302">
    <cfRule type="duplicateValues" dxfId="6" priority="173"/>
  </conditionalFormatting>
  <conditionalFormatting sqref="D323:E326">
    <cfRule type="duplicateValues" dxfId="5" priority="199"/>
  </conditionalFormatting>
  <conditionalFormatting sqref="D430:E435 D346:E346 D6:E79 D81:E89 D91:E103 D107:E118 D121:E239 D241:E273 D275:E298 D303:E322 D327:E342 D348:E351 D353:E359 D361:E427 D437:E452">
    <cfRule type="duplicateValues" dxfId="4" priority="200"/>
  </conditionalFormatting>
  <conditionalFormatting sqref="AO449:AT450 AO452:AT452">
    <cfRule type="duplicateValues" dxfId="3" priority="215"/>
  </conditionalFormatting>
  <dataValidations count="10">
    <dataValidation type="list" allowBlank="1" showErrorMessage="1" sqref="BF165:BF166 BG193 BG164:BG167 BG353:BG356 BG347:BG351 BG304:BG310 BG115:BG119 BG240 BG80:BG81 BG458:BG459 BG461:BG479 BG481:BG489 AM164:AM167 AM353:AM356 AM347:AM351 AM304:AM310 AM115:AM119 AM240 AM80:AM81 AM458:AM459 AM461:AM479 AM481:AM489 AM97:AM101 AI80:AJ81 AI240:AJ240 AI115:AJ119 AI304:AJ310 AI347:AJ351 AI353:AJ356 AI164:AJ167 AI193:AJ193 AI97:AJ101 AI121:AJ127 AI253:AJ293 AI332:AJ339 AM121:AM127 BG97:BG101 AM253:AM293 AI312:AJ316 BG121:BG127 BG253:BG293 AM332:AM339 AI341:AJ342 AI364:AJ427 AM312:AM316 BG332:BG339 BG312:BG316 AM341:AM342 AI429:AJ451 BG341:BG342 AM364:AM427 AI453:AJ453 AI481:AJ489 AM429:AM451 BG364:BG427 AI461:AJ479 AM453 BG429:BG451 BG453 AM193 AC453 AC429:AC451 AC364:AC427 AC341:AC342 AC312:AC316 AC332:AC339 AC253:AC293 AC121:AC127 AC97:AC101 AC193 AC164:AC167 AC353:AC356 AC347:AC351 AC304:AC310 AC115:AC119 AC240 AC80:AC81 AC458:AC459 AC461:AC479 AC481:AC489 BG534 AF461:AF479 AF481:AF489 AF453 AF429:AF451 AF364:AF427 AF341:AF342 AF312:AF316 AF332:AF339 AF253:AF293 AF121:AF127 AF97:AF101 AF193 AF164:AF167 AF353:AF356 AF347:AF351 AF304:AF310 AF115:AF119 AF240 AF80:AF81 AF458:AF459 AI458:AJ459" xr:uid="{6559D926-66F2-40AB-A308-D1E8151CE1EF}">
      <formula1>"Kontrak,HL,Borongan"</formula1>
    </dataValidation>
    <dataValidation type="list" allowBlank="1" showErrorMessage="1" sqref="BI6:BI45 BI47:BI359 BI361:BI459 BI461:BI530" xr:uid="{D409D0E5-BFA6-4275-B5AF-6CCD107BE026}">
      <formula1>"Aktif,Tidak Aktif"</formula1>
    </dataValidation>
    <dataValidation type="list" allowBlank="1" showErrorMessage="1" sqref="F185 F115 K293:K314 K318:K327 K18:K45 K111:K114 K361:K367 K346:K358 L197 L222 L167 K116:K184 K369:K409 K342 K198:K200 K205:K206 K208:K221 K291 K186:K196 K412:K427 K202:K203 K47:K89 K6:K16 K316 K94:K109 K329:K340 K223:K260 K262:K289" xr:uid="{0274AB2A-838A-48F7-9180-D5EED871A874}">
      <formula1>"Kawin,Belum Kawin"</formula1>
    </dataValidation>
    <dataValidation type="list" allowBlank="1" showErrorMessage="1" sqref="G185:H185 I488 I461:I482 I6:I89 I91:I184 I186:I196 I198:I221 I223:I342 I346:I359 I361:I427 I429:I459" xr:uid="{AF6158FD-0852-40C0-A66D-7344D8F0124D}">
      <formula1>"Laki-laki,Perempuan"</formula1>
    </dataValidation>
    <dataValidation type="list" allowBlank="1" showErrorMessage="1" sqref="BF110 BF205 BF100:BF101 BF167 BG452:BG459 BG361:BG362 BG517:BG537 AM361:AM362 AM452:AM459 AI6:AJ203 AI205:AJ342 AI346:AJ359 AM6:AM203 BG6:BG203 AM205:AM342 AI364:AJ427 AI429:AJ445 AM346:AM359 BG205:BG342 BG346:BG359 AM364:AM427 AI461:AJ513 AI361:AJ362 AM429:AM445 BG364:BG427 BG429:BG445 AM461:AM513 AI517:AJ530 BG461:BG513 AM517:AM530 AC461:AC513 AC429:AC445 AC364:AC427 AC346:AC359 AC205:AC342 AC6:AC203 AC452:AC459 AC517:AC537 AC361:AC362 AF517:AF530 AF361:AF362 AF461:AF513 AF429:AF445 AF364:AF427 AF346:AF359 AF205:AF342 AF6:AF203 AF452:AF459 AI452:AJ459" xr:uid="{D2825BE0-2B46-460B-83AD-5B20019F180A}">
      <formula1>"Tetap,Kontrak,Harian Lepas,Borongan"</formula1>
    </dataValidation>
    <dataValidation type="list" allowBlank="1" showErrorMessage="1" sqref="BD456:BD457 BD461:BD462 BD451 BD433:BD436 BD438:BD445" xr:uid="{DC887465-9433-4E8A-A174-157902CCADC2}">
      <formula1>"Corr,Printing,Non Print,Meknanik,QC,Ekspedisi,Umum,PPIC,Gudang Bahan Baku,Gudang Barang Jadi,Gudang Sparepart,PPIC Non Staff,Listrik,Mekanik"</formula1>
    </dataValidation>
    <dataValidation showErrorMessage="1" sqref="BD110 BE6 BE10:BE22 BD8 BD502 BD51 BD42:BD43 BD54:BD56 BD5:BD6 BD68:BD75 BD77:BD107 BD135:BD153" xr:uid="{CD22B96F-E0C2-4B79-A8E6-16046D544EBA}"/>
    <dataValidation type="list" allowBlank="1" showErrorMessage="1" sqref="BD463:BD467 BD453 BD433:BD445" xr:uid="{FCB2AE05-34E8-4E84-A852-F1EB07594E9B}">
      <formula1>"Corr,Printing,Non Print,Meknanik,QC,Ekspedisi,Umum,PPIC,Gudang Bahan Baku,Gudang Barang Jadi,Gudang Sparepart,PPIC Non Staff,Listrik,Mekanik,Internal"</formula1>
    </dataValidation>
    <dataValidation allowBlank="1" showInputMessage="1" showErrorMessage="1" sqref="K356 K353 K359 K81" xr:uid="{3387AF27-26CE-437E-AC38-5F651FCCEB95}"/>
    <dataValidation allowBlank="1" showErrorMessage="1" sqref="AO2:BC3 AO508:BC508 AO498:BC498 AO502:BC502 AO5:BC193 AO198:BC359 AO361:BC449" xr:uid="{9A76E726-6185-47BB-BAAE-C03F0BFA1491}"/>
  </dataValidations>
  <hyperlinks>
    <hyperlink ref="E304" r:id="rId1" xr:uid="{1447E917-A148-4BB4-98FF-5C368441B97B}"/>
    <hyperlink ref="E336" r:id="rId2" xr:uid="{7D130D66-8042-4CC0-AF78-282208849DE1}"/>
    <hyperlink ref="E318" r:id="rId3" xr:uid="{3B598AAC-A31B-4959-8719-C5C1B9E568B2}"/>
    <hyperlink ref="E319" r:id="rId4" xr:uid="{C41287B6-37A2-4ED6-8598-F71A29B33D25}"/>
    <hyperlink ref="E309" r:id="rId5" xr:uid="{3935ECD8-679C-411A-BA3F-077503566480}"/>
    <hyperlink ref="E317" r:id="rId6" xr:uid="{3EEA7640-E1AB-4541-8A0C-E052CFB9647A}"/>
    <hyperlink ref="E324" r:id="rId7" xr:uid="{A3064A9C-0E4B-4BC0-8A60-9AD324365EB6}"/>
    <hyperlink ref="E344" r:id="rId8" xr:uid="{798800AD-0E6A-4CD9-B631-0B8C8722FBBD}"/>
    <hyperlink ref="E327" r:id="rId9" xr:uid="{8E627B17-A1EA-4569-9057-FF871543B8E1}"/>
    <hyperlink ref="E270" r:id="rId10" xr:uid="{6317DB0C-DFDA-4D89-96A6-5F2DCBFF6CCF}"/>
    <hyperlink ref="E335" r:id="rId11" xr:uid="{131E678D-5D40-42B2-9206-C45875B45746}"/>
    <hyperlink ref="E334" r:id="rId12" xr:uid="{44755EC7-7179-4E86-94EE-0EC4A254CA51}"/>
    <hyperlink ref="E515" r:id="rId13" xr:uid="{202739E6-4E14-468E-8C0A-5D0D2BFB4E2E}"/>
    <hyperlink ref="E514" r:id="rId14" xr:uid="{167CFAA0-096F-4862-8823-D0C06BD215FF}"/>
    <hyperlink ref="E516" r:id="rId15" xr:uid="{F1BFBFCD-E5F0-4A70-99CB-3D83B388DF30}"/>
    <hyperlink ref="E501" r:id="rId16" xr:uid="{313F1F66-844C-47C7-8F13-237F705ACDFA}"/>
    <hyperlink ref="E508" r:id="rId17" xr:uid="{7B1CC5E2-92A3-4F81-AA56-CC5E8C734721}"/>
    <hyperlink ref="E295" r:id="rId18" xr:uid="{38CEA425-3DFA-40FC-AB16-75D059E81918}"/>
    <hyperlink ref="E284" r:id="rId19" xr:uid="{9764C75B-202D-459B-81DA-D37C0800DC9A}"/>
    <hyperlink ref="E264" r:id="rId20" xr:uid="{9C9D1BBD-DCB2-435C-AD0A-FCA8ABC9DD14}"/>
    <hyperlink ref="E271" r:id="rId21" xr:uid="{0E1DF79A-77C6-49B0-9039-05B4CBB012B4}"/>
    <hyperlink ref="E328" r:id="rId22" xr:uid="{43118560-CBF7-49B6-A3D8-3FE3FE7F0CEA}"/>
    <hyperlink ref="E292" r:id="rId23" xr:uid="{ABA45A04-48E4-4FEC-8171-BBF1066BA0A1}"/>
    <hyperlink ref="E296" r:id="rId24" xr:uid="{803EC3A0-39EC-4176-AAE7-760EE88CD331}"/>
    <hyperlink ref="E298" r:id="rId25" xr:uid="{C60C1215-C078-4D0C-BA9D-27E4277FF702}"/>
    <hyperlink ref="E313" r:id="rId26" xr:uid="{C79FB8C7-4E27-4A46-858D-FA9ED13BBBA6}"/>
    <hyperlink ref="E315" r:id="rId27" xr:uid="{FBF5A125-852F-467E-972D-37D0FD7303F8}"/>
    <hyperlink ref="E316" r:id="rId28" xr:uid="{15EA17A2-3990-4960-B28D-F15033D2923E}"/>
    <hyperlink ref="E320" r:id="rId29" xr:uid="{A86C6375-73AB-4FB5-BAD8-CB114AE60D76}"/>
    <hyperlink ref="E321" r:id="rId30" xr:uid="{4C4E76D8-021A-42A2-A393-3A9A19FBE0B0}"/>
    <hyperlink ref="E534" r:id="rId31" xr:uid="{56F579C3-7935-4D4B-8B7A-B2B808686F73}"/>
  </hyperlinks>
  <pageMargins left="0.7" right="0.7" top="0.75" bottom="0.75" header="0.3" footer="0.3"/>
  <pageSetup fitToHeight="0" orientation="portrait" r:id="rId32"/>
  <rowBreaks count="1" manualBreakCount="1">
    <brk id="251" min="1" max="9" man="1"/>
  </rowBreaks>
  <colBreaks count="1" manualBreakCount="1">
    <brk id="3" min="4" max="517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38EA4-0D1A-4CD0-8B82-716527F6C829}">
  <sheetPr filterMode="1"/>
  <dimension ref="A1:AI510"/>
  <sheetViews>
    <sheetView zoomScale="98" zoomScaleNormal="85" workbookViewId="0">
      <pane xSplit="5" ySplit="1" topLeftCell="G468" activePane="bottomRight" state="frozen"/>
      <selection pane="topRight" activeCell="F1" sqref="F1"/>
      <selection pane="bottomLeft" activeCell="A2" sqref="A2"/>
      <selection pane="bottomRight" activeCell="D469" sqref="D469"/>
    </sheetView>
  </sheetViews>
  <sheetFormatPr defaultColWidth="9.125" defaultRowHeight="15"/>
  <cols>
    <col min="1" max="1" width="5.75" style="8" bestFit="1" customWidth="1"/>
    <col min="2" max="2" width="7.25" style="8" hidden="1" customWidth="1"/>
    <col min="3" max="3" width="28.875" style="8" customWidth="1"/>
    <col min="4" max="4" width="20.875" style="140" bestFit="1" customWidth="1"/>
    <col min="5" max="5" width="30.625" style="8" bestFit="1" customWidth="1"/>
    <col min="6" max="6" width="22.375" style="8" hidden="1" customWidth="1"/>
    <col min="7" max="7" width="13.375" style="8" bestFit="1" customWidth="1"/>
    <col min="8" max="8" width="12.875" style="60" customWidth="1"/>
    <col min="9" max="9" width="9" style="8" customWidth="1"/>
    <col min="10" max="10" width="16.375" style="8" bestFit="1" customWidth="1"/>
    <col min="11" max="11" width="16.375" style="8" customWidth="1"/>
    <col min="12" max="12" width="11.625" style="8" bestFit="1" customWidth="1"/>
    <col min="13" max="13" width="13.875" style="8" customWidth="1"/>
    <col min="14" max="14" width="14" style="8" bestFit="1" customWidth="1"/>
    <col min="15" max="15" width="15.125" style="8" bestFit="1" customWidth="1"/>
    <col min="16" max="16" width="9.125" style="8"/>
    <col min="17" max="17" width="12.875" style="8" customWidth="1"/>
    <col min="18" max="18" width="12.75" style="8" customWidth="1"/>
    <col min="19" max="19" width="22.375" style="8" customWidth="1"/>
    <col min="20" max="20" width="37.625" style="5" customWidth="1"/>
    <col min="21" max="21" width="16" style="5" customWidth="1"/>
    <col min="22" max="23" width="22.625" style="8" customWidth="1"/>
    <col min="24" max="24" width="17.25" style="8" customWidth="1"/>
    <col min="25" max="25" width="15.875" style="8" customWidth="1"/>
    <col min="26" max="26" width="25.75" style="8" customWidth="1"/>
    <col min="27" max="27" width="15.375" style="8" bestFit="1" customWidth="1"/>
    <col min="28" max="28" width="11.25" style="8" bestFit="1" customWidth="1"/>
    <col min="29" max="16384" width="9.125" style="8"/>
  </cols>
  <sheetData>
    <row r="1" spans="1:28" s="24" customFormat="1" ht="30" customHeight="1">
      <c r="A1" s="24" t="s">
        <v>0</v>
      </c>
      <c r="B1" s="24" t="s">
        <v>1</v>
      </c>
      <c r="C1" s="112" t="s">
        <v>2</v>
      </c>
      <c r="D1" s="138" t="s">
        <v>3</v>
      </c>
      <c r="E1" s="115" t="s">
        <v>4</v>
      </c>
      <c r="F1" s="24" t="s">
        <v>5</v>
      </c>
      <c r="G1" s="24" t="s">
        <v>5</v>
      </c>
      <c r="H1" s="109" t="s">
        <v>6</v>
      </c>
      <c r="I1" s="115" t="s">
        <v>7</v>
      </c>
      <c r="J1" s="24" t="s">
        <v>8</v>
      </c>
      <c r="L1" s="24" t="s">
        <v>9</v>
      </c>
      <c r="M1" s="24" t="s">
        <v>10</v>
      </c>
      <c r="N1" s="24" t="s">
        <v>11</v>
      </c>
      <c r="O1" s="24" t="s">
        <v>12</v>
      </c>
      <c r="P1" s="24" t="s">
        <v>13</v>
      </c>
      <c r="Q1" s="24" t="s">
        <v>14</v>
      </c>
      <c r="R1" s="24" t="s">
        <v>15</v>
      </c>
      <c r="S1" s="24" t="s">
        <v>16</v>
      </c>
      <c r="T1" s="24" t="s">
        <v>17</v>
      </c>
      <c r="U1" s="24" t="s">
        <v>18</v>
      </c>
      <c r="V1" s="24" t="s">
        <v>19</v>
      </c>
      <c r="W1" s="24" t="s">
        <v>20</v>
      </c>
      <c r="X1" s="24" t="s">
        <v>21</v>
      </c>
      <c r="Y1" s="24" t="s">
        <v>22</v>
      </c>
      <c r="Z1" s="24" t="s">
        <v>23</v>
      </c>
      <c r="AA1" s="24" t="s">
        <v>24</v>
      </c>
      <c r="AB1" s="24" t="s">
        <v>25</v>
      </c>
    </row>
    <row r="2" spans="1:28">
      <c r="A2" s="5">
        <f>IF(AA2="aktif",MAX($A$1:A1)+1,"")</f>
        <v>1</v>
      </c>
      <c r="B2" s="25"/>
      <c r="C2" s="15" t="s">
        <v>692</v>
      </c>
      <c r="D2" s="139" t="s">
        <v>54</v>
      </c>
      <c r="E2" s="18" t="s">
        <v>689</v>
      </c>
      <c r="F2" s="5"/>
      <c r="G2" s="5"/>
      <c r="H2" s="16"/>
      <c r="I2" s="18"/>
      <c r="J2" s="5" t="s">
        <v>45</v>
      </c>
      <c r="K2" s="5"/>
      <c r="L2" s="26">
        <v>44643</v>
      </c>
      <c r="M2" s="26" t="str">
        <f t="shared" ref="M2:M65" ca="1" si="0">IF(L2="","",DATEDIF(L2,TODAY(),"Y") &amp;" tahun " &amp; DATEDIF(L2,TODAY(),"YM")&amp;" bulan")</f>
        <v>4 tahun 4 bulan</v>
      </c>
      <c r="N2" s="5" t="s">
        <v>31</v>
      </c>
      <c r="O2" s="26">
        <v>34923</v>
      </c>
      <c r="P2" s="26" t="str">
        <f t="shared" ref="P2:P68" ca="1" si="1">IF(O2="","",DATEDIF(O2,TODAY(),"Y")&amp;" tahun")</f>
        <v>30 tahun</v>
      </c>
      <c r="Q2" s="5" t="s">
        <v>72</v>
      </c>
      <c r="R2" s="5"/>
      <c r="S2" s="25"/>
      <c r="T2" s="5" t="s">
        <v>693</v>
      </c>
      <c r="V2" s="25"/>
      <c r="W2" s="25"/>
      <c r="X2" s="5"/>
      <c r="Y2" s="25"/>
      <c r="Z2" s="5"/>
      <c r="AA2" s="9" t="s">
        <v>41</v>
      </c>
      <c r="AB2" s="6"/>
    </row>
    <row r="3" spans="1:28">
      <c r="A3" s="5">
        <f>IF(AA3="aktif",MAX($A$1:A2)+1,"")</f>
        <v>2</v>
      </c>
      <c r="B3" s="25"/>
      <c r="C3" s="15" t="s">
        <v>694</v>
      </c>
      <c r="D3" s="139" t="s">
        <v>54</v>
      </c>
      <c r="E3" s="18" t="s">
        <v>689</v>
      </c>
      <c r="F3" s="5"/>
      <c r="G3" s="5"/>
      <c r="H3" s="16"/>
      <c r="I3" s="18"/>
      <c r="J3" s="5" t="s">
        <v>45</v>
      </c>
      <c r="K3" s="5"/>
      <c r="L3" s="26">
        <v>42409</v>
      </c>
      <c r="M3" s="26" t="str">
        <f t="shared" ca="1" si="0"/>
        <v>10 tahun 6 bulan</v>
      </c>
      <c r="N3" s="5" t="s">
        <v>55</v>
      </c>
      <c r="O3" s="26">
        <v>32698</v>
      </c>
      <c r="P3" s="26" t="str">
        <f t="shared" ca="1" si="1"/>
        <v>37 tahun</v>
      </c>
      <c r="Q3" s="5" t="s">
        <v>695</v>
      </c>
      <c r="R3" s="5"/>
      <c r="S3" s="25"/>
      <c r="T3" s="5" t="s">
        <v>696</v>
      </c>
      <c r="V3" s="25"/>
      <c r="W3" s="25"/>
      <c r="X3" s="5"/>
      <c r="Y3" s="25"/>
      <c r="Z3" s="5"/>
      <c r="AA3" s="9" t="s">
        <v>41</v>
      </c>
      <c r="AB3" s="6"/>
    </row>
    <row r="4" spans="1:28">
      <c r="A4" s="5">
        <f>IF(AA4="aktif",MAX($A$1:A3)+1,"")</f>
        <v>3</v>
      </c>
      <c r="B4" s="25"/>
      <c r="C4" s="15" t="s">
        <v>697</v>
      </c>
      <c r="D4" s="139" t="s">
        <v>54</v>
      </c>
      <c r="E4" s="18" t="s">
        <v>689</v>
      </c>
      <c r="F4" s="5"/>
      <c r="G4" s="5"/>
      <c r="H4" s="16"/>
      <c r="I4" s="18"/>
      <c r="J4" s="5" t="s">
        <v>45</v>
      </c>
      <c r="K4" s="5"/>
      <c r="L4" s="26">
        <v>45554</v>
      </c>
      <c r="M4" s="26" t="str">
        <f t="shared" ca="1" si="0"/>
        <v>1 tahun 10 bulan</v>
      </c>
      <c r="N4" s="5" t="s">
        <v>31</v>
      </c>
      <c r="O4" s="26">
        <v>34226</v>
      </c>
      <c r="P4" s="26" t="str">
        <f t="shared" ca="1" si="1"/>
        <v>32 tahun</v>
      </c>
      <c r="Q4" s="5" t="s">
        <v>46</v>
      </c>
      <c r="R4" s="5"/>
      <c r="S4" s="25"/>
      <c r="T4" s="5" t="s">
        <v>698</v>
      </c>
      <c r="V4" s="25"/>
      <c r="W4" s="25"/>
      <c r="X4" s="5"/>
      <c r="Y4" s="25"/>
      <c r="Z4" s="5"/>
      <c r="AA4" s="9" t="s">
        <v>41</v>
      </c>
      <c r="AB4" s="6"/>
    </row>
    <row r="5" spans="1:28">
      <c r="A5" s="5">
        <f>IF(AA5="aktif",MAX($A$1:A4)+1,"")</f>
        <v>4</v>
      </c>
      <c r="B5" s="25"/>
      <c r="C5" s="15" t="s">
        <v>699</v>
      </c>
      <c r="D5" s="139" t="s">
        <v>54</v>
      </c>
      <c r="E5" s="18" t="s">
        <v>689</v>
      </c>
      <c r="F5" s="5"/>
      <c r="G5" s="5"/>
      <c r="H5" s="16"/>
      <c r="I5" s="18"/>
      <c r="J5" s="5" t="s">
        <v>45</v>
      </c>
      <c r="K5" s="5"/>
      <c r="L5" s="26">
        <v>45957</v>
      </c>
      <c r="M5" s="26" t="str">
        <f t="shared" ca="1" si="0"/>
        <v>0 tahun 9 bulan</v>
      </c>
      <c r="N5" s="5" t="s">
        <v>31</v>
      </c>
      <c r="O5" s="26">
        <v>34914</v>
      </c>
      <c r="P5" s="26" t="str">
        <f t="shared" ca="1" si="1"/>
        <v>31 tahun</v>
      </c>
      <c r="Q5" s="5" t="s">
        <v>46</v>
      </c>
      <c r="R5" s="5"/>
      <c r="S5" s="27" t="s">
        <v>700</v>
      </c>
      <c r="T5" s="5" t="s">
        <v>701</v>
      </c>
      <c r="V5" s="27" t="s">
        <v>702</v>
      </c>
      <c r="W5" s="27" t="s">
        <v>703</v>
      </c>
      <c r="X5" s="5"/>
      <c r="Y5" s="25"/>
      <c r="Z5" s="5"/>
      <c r="AA5" s="9" t="s">
        <v>41</v>
      </c>
      <c r="AB5" s="6"/>
    </row>
    <row r="6" spans="1:28">
      <c r="A6" s="5">
        <f>IF(AA6="aktif",MAX($A$1:A5)+1,"")</f>
        <v>5</v>
      </c>
      <c r="B6" s="25"/>
      <c r="C6" s="15" t="s">
        <v>688</v>
      </c>
      <c r="D6" s="139" t="s">
        <v>54</v>
      </c>
      <c r="E6" s="18" t="s">
        <v>689</v>
      </c>
      <c r="F6" s="5"/>
      <c r="G6" s="5"/>
      <c r="H6" s="16"/>
      <c r="I6" s="18"/>
      <c r="J6" s="5" t="s">
        <v>45</v>
      </c>
      <c r="K6" s="5"/>
      <c r="L6" s="26">
        <v>45782</v>
      </c>
      <c r="M6" s="26" t="str">
        <f t="shared" ca="1" si="0"/>
        <v>1 tahun 3 bulan</v>
      </c>
      <c r="N6" s="5" t="s">
        <v>31</v>
      </c>
      <c r="O6" s="26">
        <v>36952</v>
      </c>
      <c r="P6" s="26" t="str">
        <f t="shared" ca="1" si="1"/>
        <v>25 tahun</v>
      </c>
      <c r="Q6" s="5" t="s">
        <v>72</v>
      </c>
      <c r="R6" s="5"/>
      <c r="S6" s="25"/>
      <c r="T6" s="5" t="s">
        <v>690</v>
      </c>
      <c r="U6" s="5" t="s">
        <v>81</v>
      </c>
      <c r="V6" s="25"/>
      <c r="W6" s="25"/>
      <c r="X6" s="5"/>
      <c r="Y6" s="25"/>
      <c r="Z6" s="5"/>
      <c r="AA6" s="9" t="s">
        <v>41</v>
      </c>
      <c r="AB6" s="6" t="s">
        <v>691</v>
      </c>
    </row>
    <row r="7" spans="1:28">
      <c r="A7" s="5">
        <f>IF(AA7="aktif",MAX($A$1:A6)+1,"")</f>
        <v>6</v>
      </c>
      <c r="B7" s="25" t="s">
        <v>26</v>
      </c>
      <c r="C7" s="15" t="s">
        <v>27</v>
      </c>
      <c r="D7" s="139" t="s">
        <v>391</v>
      </c>
      <c r="E7" s="18" t="s">
        <v>29</v>
      </c>
      <c r="F7" s="5"/>
      <c r="G7" s="5"/>
      <c r="H7" s="16"/>
      <c r="I7" s="18"/>
      <c r="J7" s="5" t="s">
        <v>30</v>
      </c>
      <c r="K7" s="5"/>
      <c r="L7" s="26"/>
      <c r="M7" s="26" t="str">
        <f t="shared" ca="1" si="0"/>
        <v/>
      </c>
      <c r="N7" s="5" t="s">
        <v>31</v>
      </c>
      <c r="O7" s="26">
        <v>29404</v>
      </c>
      <c r="P7" s="26" t="str">
        <f t="shared" ca="1" si="1"/>
        <v>46 tahun</v>
      </c>
      <c r="Q7" s="5" t="s">
        <v>32</v>
      </c>
      <c r="R7" s="5"/>
      <c r="S7" s="25" t="s">
        <v>33</v>
      </c>
      <c r="T7" s="5" t="s">
        <v>34</v>
      </c>
      <c r="U7" s="5" t="s">
        <v>35</v>
      </c>
      <c r="V7" s="25" t="s">
        <v>36</v>
      </c>
      <c r="W7" s="25" t="s">
        <v>37</v>
      </c>
      <c r="X7" s="5" t="s">
        <v>38</v>
      </c>
      <c r="Y7" s="25" t="s">
        <v>39</v>
      </c>
      <c r="Z7" s="5" t="s">
        <v>40</v>
      </c>
      <c r="AA7" s="9" t="s">
        <v>41</v>
      </c>
      <c r="AB7" s="6"/>
    </row>
    <row r="8" spans="1:28">
      <c r="A8" s="5">
        <f>IF(AA8="aktif",MAX($A$1:A7)+1,"")</f>
        <v>7</v>
      </c>
      <c r="B8" s="25" t="s">
        <v>61</v>
      </c>
      <c r="C8" s="15" t="s">
        <v>62</v>
      </c>
      <c r="D8" s="139" t="s">
        <v>63</v>
      </c>
      <c r="E8" s="18" t="s">
        <v>29</v>
      </c>
      <c r="F8" s="5" t="s">
        <v>2222</v>
      </c>
      <c r="G8" s="5" t="s">
        <v>2222</v>
      </c>
      <c r="H8" s="16"/>
      <c r="I8" s="18"/>
      <c r="J8" s="5" t="s">
        <v>45</v>
      </c>
      <c r="K8" s="5"/>
      <c r="L8" s="26">
        <v>39600</v>
      </c>
      <c r="M8" s="26" t="str">
        <f t="shared" ca="1" si="0"/>
        <v>18 tahun 2 bulan</v>
      </c>
      <c r="N8" s="5" t="s">
        <v>55</v>
      </c>
      <c r="O8" s="26">
        <v>31563</v>
      </c>
      <c r="P8" s="26" t="str">
        <f t="shared" ca="1" si="1"/>
        <v>40 tahun</v>
      </c>
      <c r="Q8" s="5" t="s">
        <v>32</v>
      </c>
      <c r="R8" s="28">
        <v>4856026</v>
      </c>
      <c r="S8" s="25" t="s">
        <v>64</v>
      </c>
      <c r="T8" s="5" t="s">
        <v>65</v>
      </c>
      <c r="U8" s="5" t="s">
        <v>35</v>
      </c>
      <c r="V8" s="25" t="s">
        <v>66</v>
      </c>
      <c r="W8" s="25"/>
      <c r="X8" s="5"/>
      <c r="Y8" s="29" t="s">
        <v>67</v>
      </c>
      <c r="Z8" s="25" t="s">
        <v>68</v>
      </c>
      <c r="AA8" s="9" t="s">
        <v>41</v>
      </c>
      <c r="AB8" s="6"/>
    </row>
    <row r="9" spans="1:28">
      <c r="A9" s="5">
        <f>IF(AA9="aktif",MAX($A$1:A8)+1,"")</f>
        <v>8</v>
      </c>
      <c r="B9" s="25" t="s">
        <v>52</v>
      </c>
      <c r="C9" s="15" t="s">
        <v>53</v>
      </c>
      <c r="D9" s="139" t="s">
        <v>63</v>
      </c>
      <c r="E9" s="18" t="s">
        <v>29</v>
      </c>
      <c r="F9" s="5" t="s">
        <v>2222</v>
      </c>
      <c r="G9" s="5" t="s">
        <v>2222</v>
      </c>
      <c r="H9" s="16"/>
      <c r="I9" s="18"/>
      <c r="J9" s="5" t="s">
        <v>45</v>
      </c>
      <c r="K9" s="5"/>
      <c r="L9" s="26"/>
      <c r="M9" s="26" t="str">
        <f t="shared" ca="1" si="0"/>
        <v/>
      </c>
      <c r="N9" s="5" t="s">
        <v>55</v>
      </c>
      <c r="O9" s="26">
        <v>31610</v>
      </c>
      <c r="P9" s="26" t="str">
        <f t="shared" ca="1" si="1"/>
        <v>40 tahun</v>
      </c>
      <c r="Q9" s="5" t="s">
        <v>32</v>
      </c>
      <c r="R9" s="28">
        <v>4856026</v>
      </c>
      <c r="S9" s="25" t="s">
        <v>56</v>
      </c>
      <c r="T9" s="5" t="s">
        <v>57</v>
      </c>
      <c r="U9" s="5" t="s">
        <v>35</v>
      </c>
      <c r="V9" s="25" t="s">
        <v>58</v>
      </c>
      <c r="W9" s="25" t="s">
        <v>59</v>
      </c>
      <c r="X9" s="5"/>
      <c r="Y9" s="25" t="s">
        <v>60</v>
      </c>
      <c r="Z9" s="5">
        <v>15047449606</v>
      </c>
      <c r="AA9" s="9" t="s">
        <v>41</v>
      </c>
      <c r="AB9" s="6"/>
    </row>
    <row r="10" spans="1:28">
      <c r="A10" s="5">
        <f>IF(AA10="aktif",MAX($A$1:A9)+1,"")</f>
        <v>9</v>
      </c>
      <c r="B10" s="25" t="s">
        <v>69</v>
      </c>
      <c r="C10" s="15" t="s">
        <v>70</v>
      </c>
      <c r="D10" s="139" t="s">
        <v>63</v>
      </c>
      <c r="E10" s="18" t="s">
        <v>29</v>
      </c>
      <c r="F10" s="5" t="s">
        <v>2222</v>
      </c>
      <c r="G10" s="5" t="s">
        <v>2222</v>
      </c>
      <c r="H10" s="16"/>
      <c r="I10" s="18"/>
      <c r="J10" s="5" t="s">
        <v>71</v>
      </c>
      <c r="K10" s="5"/>
      <c r="L10" s="26">
        <v>45499</v>
      </c>
      <c r="M10" s="26" t="str">
        <f t="shared" ca="1" si="0"/>
        <v>2 tahun 0 bulan</v>
      </c>
      <c r="N10" s="5" t="s">
        <v>55</v>
      </c>
      <c r="O10" s="26">
        <v>33337</v>
      </c>
      <c r="P10" s="26" t="str">
        <f t="shared" ca="1" si="1"/>
        <v>35 tahun</v>
      </c>
      <c r="Q10" s="5" t="s">
        <v>72</v>
      </c>
      <c r="R10" s="5"/>
      <c r="S10" s="25" t="s">
        <v>73</v>
      </c>
      <c r="T10" s="5" t="s">
        <v>74</v>
      </c>
      <c r="U10" s="5" t="s">
        <v>35</v>
      </c>
      <c r="V10" s="25" t="s">
        <v>75</v>
      </c>
      <c r="W10" s="25" t="s">
        <v>76</v>
      </c>
      <c r="X10" s="5"/>
      <c r="Y10" s="25"/>
      <c r="Z10" s="5"/>
      <c r="AA10" s="9" t="s">
        <v>41</v>
      </c>
      <c r="AB10" s="6"/>
    </row>
    <row r="11" spans="1:28">
      <c r="A11" s="5">
        <f>IF(AA11="aktif",MAX($A$1:A10)+1,"")</f>
        <v>10</v>
      </c>
      <c r="B11" s="25"/>
      <c r="C11" s="15" t="s">
        <v>77</v>
      </c>
      <c r="D11" s="139" t="s">
        <v>63</v>
      </c>
      <c r="E11" s="18" t="s">
        <v>29</v>
      </c>
      <c r="F11" s="5" t="s">
        <v>2222</v>
      </c>
      <c r="G11" s="5" t="s">
        <v>2222</v>
      </c>
      <c r="I11" s="116"/>
      <c r="J11" s="5" t="s">
        <v>71</v>
      </c>
      <c r="K11" s="5"/>
      <c r="L11" s="26">
        <v>45866</v>
      </c>
      <c r="M11" s="26" t="str">
        <f t="shared" ca="1" si="0"/>
        <v>1 tahun 0 bulan</v>
      </c>
      <c r="N11" s="5" t="s">
        <v>55</v>
      </c>
      <c r="O11" s="26">
        <v>34587</v>
      </c>
      <c r="P11" s="26" t="str">
        <f t="shared" ca="1" si="1"/>
        <v>31 tahun</v>
      </c>
      <c r="Q11" s="5" t="s">
        <v>72</v>
      </c>
      <c r="R11" s="3"/>
      <c r="S11" s="3" t="s">
        <v>79</v>
      </c>
      <c r="T11" s="5" t="s">
        <v>80</v>
      </c>
      <c r="U11" s="5" t="s">
        <v>81</v>
      </c>
      <c r="V11" s="30"/>
      <c r="W11" s="30"/>
      <c r="X11" s="3"/>
      <c r="Y11" s="3"/>
      <c r="Z11" s="3"/>
      <c r="AA11" s="9" t="s">
        <v>41</v>
      </c>
      <c r="AB11" s="30" t="s">
        <v>82</v>
      </c>
    </row>
    <row r="12" spans="1:28">
      <c r="A12" s="5">
        <f>IF(AA12="aktif",MAX($A$1:A11)+1,"")</f>
        <v>11</v>
      </c>
      <c r="B12" s="25" t="s">
        <v>103</v>
      </c>
      <c r="C12" s="15" t="s">
        <v>104</v>
      </c>
      <c r="D12" s="139" t="s">
        <v>78</v>
      </c>
      <c r="E12" s="18" t="s">
        <v>29</v>
      </c>
      <c r="F12" s="5" t="s">
        <v>282</v>
      </c>
      <c r="G12" s="5" t="s">
        <v>282</v>
      </c>
      <c r="H12" s="16"/>
      <c r="I12" s="18"/>
      <c r="J12" s="5" t="s">
        <v>45</v>
      </c>
      <c r="K12" s="5"/>
      <c r="L12" s="26">
        <v>38371</v>
      </c>
      <c r="M12" s="26" t="str">
        <f t="shared" ca="1" si="0"/>
        <v>21 tahun 6 bulan</v>
      </c>
      <c r="N12" s="5" t="s">
        <v>31</v>
      </c>
      <c r="O12" s="26">
        <v>30268</v>
      </c>
      <c r="P12" s="26" t="str">
        <f t="shared" ca="1" si="1"/>
        <v>43 tahun</v>
      </c>
      <c r="Q12" s="5" t="s">
        <v>46</v>
      </c>
      <c r="R12" s="28">
        <v>4856026</v>
      </c>
      <c r="S12" s="25" t="s">
        <v>105</v>
      </c>
      <c r="T12" s="5" t="s">
        <v>106</v>
      </c>
      <c r="U12" s="5" t="s">
        <v>35</v>
      </c>
      <c r="V12" s="25" t="s">
        <v>107</v>
      </c>
      <c r="W12" s="25"/>
      <c r="X12" s="5"/>
      <c r="Y12" s="25"/>
      <c r="Z12" s="5"/>
      <c r="AA12" s="9" t="s">
        <v>41</v>
      </c>
      <c r="AB12" s="6"/>
    </row>
    <row r="13" spans="1:28">
      <c r="A13" s="5">
        <f>IF(AA13="aktif",MAX($A$1:A12)+1,"")</f>
        <v>12</v>
      </c>
      <c r="B13" s="25"/>
      <c r="C13" s="15" t="s">
        <v>83</v>
      </c>
      <c r="D13" s="139" t="s">
        <v>78</v>
      </c>
      <c r="E13" s="18" t="s">
        <v>29</v>
      </c>
      <c r="F13" s="5" t="s">
        <v>282</v>
      </c>
      <c r="G13" s="5" t="s">
        <v>282</v>
      </c>
      <c r="H13" s="16"/>
      <c r="I13" s="18"/>
      <c r="J13" s="5" t="s">
        <v>45</v>
      </c>
      <c r="K13" s="5"/>
      <c r="L13" s="26">
        <v>38504</v>
      </c>
      <c r="M13" s="26" t="str">
        <f t="shared" ca="1" si="0"/>
        <v>21 tahun 2 bulan</v>
      </c>
      <c r="N13" s="5" t="s">
        <v>31</v>
      </c>
      <c r="O13" s="26">
        <v>31219</v>
      </c>
      <c r="P13" s="26" t="str">
        <f t="shared" ca="1" si="1"/>
        <v>41 tahun</v>
      </c>
      <c r="Q13" s="5" t="s">
        <v>46</v>
      </c>
      <c r="R13" s="28">
        <v>4856026</v>
      </c>
      <c r="S13" s="25" t="s">
        <v>84</v>
      </c>
      <c r="T13" s="5" t="s">
        <v>85</v>
      </c>
      <c r="U13" s="5" t="s">
        <v>35</v>
      </c>
      <c r="V13" s="25" t="s">
        <v>86</v>
      </c>
      <c r="W13" s="25" t="s">
        <v>87</v>
      </c>
      <c r="X13" s="5"/>
      <c r="Y13" s="25" t="s">
        <v>88</v>
      </c>
      <c r="Z13" s="5"/>
      <c r="AA13" s="9" t="s">
        <v>41</v>
      </c>
      <c r="AB13" s="6"/>
    </row>
    <row r="14" spans="1:28">
      <c r="A14" s="5">
        <f>IF(AA14="aktif",MAX($A$1:A13)+1,"")</f>
        <v>13</v>
      </c>
      <c r="B14" s="25" t="s">
        <v>42</v>
      </c>
      <c r="C14" s="15" t="s">
        <v>43</v>
      </c>
      <c r="D14" s="139" t="s">
        <v>78</v>
      </c>
      <c r="E14" s="18" t="s">
        <v>29</v>
      </c>
      <c r="F14" s="5" t="s">
        <v>282</v>
      </c>
      <c r="G14" s="5" t="s">
        <v>282</v>
      </c>
      <c r="H14" s="16"/>
      <c r="I14" s="18"/>
      <c r="J14" s="5" t="s">
        <v>45</v>
      </c>
      <c r="K14" s="5"/>
      <c r="L14" s="26">
        <v>38139</v>
      </c>
      <c r="M14" s="26" t="str">
        <f t="shared" ca="1" si="0"/>
        <v>22 tahun 2 bulan</v>
      </c>
      <c r="N14" s="5" t="s">
        <v>31</v>
      </c>
      <c r="O14" s="26">
        <v>30523</v>
      </c>
      <c r="P14" s="26" t="str">
        <f t="shared" ca="1" si="1"/>
        <v>43 tahun</v>
      </c>
      <c r="Q14" s="5" t="s">
        <v>46</v>
      </c>
      <c r="R14" s="28">
        <v>4856026</v>
      </c>
      <c r="S14" s="25" t="s">
        <v>47</v>
      </c>
      <c r="T14" s="5" t="s">
        <v>48</v>
      </c>
      <c r="U14" s="5" t="s">
        <v>35</v>
      </c>
      <c r="V14" s="25" t="s">
        <v>49</v>
      </c>
      <c r="W14" s="25" t="s">
        <v>50</v>
      </c>
      <c r="X14" s="5"/>
      <c r="Y14" s="25" t="s">
        <v>51</v>
      </c>
      <c r="Z14" s="5">
        <v>11024137785</v>
      </c>
      <c r="AA14" s="9" t="s">
        <v>41</v>
      </c>
      <c r="AB14" s="6"/>
    </row>
    <row r="15" spans="1:28">
      <c r="A15" s="5"/>
      <c r="B15" s="25"/>
      <c r="C15" s="15" t="s">
        <v>89</v>
      </c>
      <c r="D15" s="139" t="s">
        <v>78</v>
      </c>
      <c r="E15" s="18" t="s">
        <v>29</v>
      </c>
      <c r="F15" s="5" t="s">
        <v>282</v>
      </c>
      <c r="G15" s="5" t="s">
        <v>282</v>
      </c>
      <c r="H15" s="132"/>
      <c r="I15" s="5"/>
      <c r="J15" s="5" t="s">
        <v>45</v>
      </c>
      <c r="K15" s="5"/>
      <c r="L15" s="26"/>
      <c r="M15" s="26"/>
      <c r="N15" s="5"/>
      <c r="O15" s="26"/>
      <c r="P15" s="26"/>
      <c r="Q15" s="5"/>
      <c r="R15" s="28"/>
      <c r="S15" s="25"/>
      <c r="V15" s="25"/>
      <c r="W15" s="25"/>
      <c r="X15" s="5"/>
      <c r="Y15" s="25"/>
      <c r="Z15" s="5"/>
      <c r="AA15" s="9"/>
      <c r="AB15" s="6"/>
    </row>
    <row r="16" spans="1:28">
      <c r="A16" s="5">
        <f>IF(AA16="aktif",MAX($A$1:A14)+1,"")</f>
        <v>14</v>
      </c>
      <c r="B16" s="25" t="s">
        <v>108</v>
      </c>
      <c r="C16" s="15" t="s">
        <v>109</v>
      </c>
      <c r="D16" s="139" t="s">
        <v>78</v>
      </c>
      <c r="E16" s="18" t="s">
        <v>29</v>
      </c>
      <c r="F16" s="5" t="s">
        <v>282</v>
      </c>
      <c r="G16" s="5" t="s">
        <v>282</v>
      </c>
      <c r="H16" s="16"/>
      <c r="I16" s="18"/>
      <c r="J16" s="5" t="s">
        <v>71</v>
      </c>
      <c r="K16" s="5"/>
      <c r="L16" s="26">
        <v>41791</v>
      </c>
      <c r="M16" s="26" t="str">
        <f t="shared" ca="1" si="0"/>
        <v>12 tahun 2 bulan</v>
      </c>
      <c r="N16" s="5" t="s">
        <v>31</v>
      </c>
      <c r="O16" s="26">
        <v>34020</v>
      </c>
      <c r="P16" s="26" t="str">
        <f t="shared" ca="1" si="1"/>
        <v>33 tahun</v>
      </c>
      <c r="Q16" s="5" t="s">
        <v>46</v>
      </c>
      <c r="R16" s="28">
        <v>4856026</v>
      </c>
      <c r="S16" s="25" t="s">
        <v>110</v>
      </c>
      <c r="T16" s="5" t="s">
        <v>111</v>
      </c>
      <c r="U16" s="5" t="s">
        <v>35</v>
      </c>
      <c r="V16" s="25" t="s">
        <v>112</v>
      </c>
      <c r="W16" s="25" t="s">
        <v>113</v>
      </c>
      <c r="X16" s="5"/>
      <c r="Y16" s="25"/>
      <c r="Z16" s="5">
        <v>18089051272</v>
      </c>
      <c r="AA16" s="9" t="s">
        <v>41</v>
      </c>
      <c r="AB16" s="6"/>
    </row>
    <row r="17" spans="1:28">
      <c r="A17" s="5">
        <f>IF(AA17="aktif",MAX($A$1:A16)+1,"")</f>
        <v>15</v>
      </c>
      <c r="B17" s="25"/>
      <c r="C17" s="15" t="s">
        <v>90</v>
      </c>
      <c r="D17" s="139" t="s">
        <v>78</v>
      </c>
      <c r="E17" s="18" t="s">
        <v>29</v>
      </c>
      <c r="F17" s="5" t="s">
        <v>282</v>
      </c>
      <c r="G17" s="5" t="s">
        <v>282</v>
      </c>
      <c r="H17" s="16"/>
      <c r="I17" s="18"/>
      <c r="J17" s="5" t="s">
        <v>71</v>
      </c>
      <c r="K17" s="5"/>
      <c r="L17" s="26">
        <v>45444</v>
      </c>
      <c r="M17" s="26" t="str">
        <f t="shared" ca="1" si="0"/>
        <v>2 tahun 2 bulan</v>
      </c>
      <c r="N17" s="5" t="s">
        <v>31</v>
      </c>
      <c r="O17" s="26">
        <v>34735</v>
      </c>
      <c r="P17" s="26" t="str">
        <f t="shared" ca="1" si="1"/>
        <v>31 tahun</v>
      </c>
      <c r="Q17" s="5" t="s">
        <v>32</v>
      </c>
      <c r="R17" s="5"/>
      <c r="S17" s="25" t="s">
        <v>91</v>
      </c>
      <c r="T17" s="5" t="s">
        <v>92</v>
      </c>
      <c r="U17" s="5" t="s">
        <v>35</v>
      </c>
      <c r="V17" s="25" t="s">
        <v>93</v>
      </c>
      <c r="W17" s="25"/>
      <c r="X17" s="5"/>
      <c r="Y17" s="25"/>
      <c r="Z17" s="5"/>
      <c r="AA17" s="9" t="s">
        <v>41</v>
      </c>
      <c r="AB17" s="6"/>
    </row>
    <row r="18" spans="1:28">
      <c r="A18" s="5">
        <f>IF(AA18="aktif",MAX($A$1:A17)+1,"")</f>
        <v>16</v>
      </c>
      <c r="B18" s="25"/>
      <c r="C18" s="15" t="s">
        <v>94</v>
      </c>
      <c r="D18" s="139" t="s">
        <v>78</v>
      </c>
      <c r="E18" s="18" t="s">
        <v>29</v>
      </c>
      <c r="F18" s="5" t="s">
        <v>282</v>
      </c>
      <c r="G18" s="5" t="s">
        <v>282</v>
      </c>
      <c r="H18" s="16"/>
      <c r="I18" s="18"/>
      <c r="J18" s="5" t="s">
        <v>71</v>
      </c>
      <c r="K18" s="5"/>
      <c r="L18" s="26">
        <v>42887</v>
      </c>
      <c r="M18" s="26" t="str">
        <f t="shared" ca="1" si="0"/>
        <v>9 tahun 2 bulan</v>
      </c>
      <c r="N18" s="5" t="s">
        <v>31</v>
      </c>
      <c r="O18" s="26">
        <v>35298</v>
      </c>
      <c r="P18" s="26" t="str">
        <f t="shared" ca="1" si="1"/>
        <v>29 tahun</v>
      </c>
      <c r="Q18" s="5" t="s">
        <v>46</v>
      </c>
      <c r="R18" s="28">
        <v>4500000</v>
      </c>
      <c r="S18" s="25" t="s">
        <v>95</v>
      </c>
      <c r="T18" s="5" t="s">
        <v>96</v>
      </c>
      <c r="U18" s="5" t="s">
        <v>35</v>
      </c>
      <c r="V18" s="25" t="s">
        <v>97</v>
      </c>
      <c r="W18" s="25"/>
      <c r="X18" s="5"/>
      <c r="Y18" s="25"/>
      <c r="Z18" s="5"/>
      <c r="AA18" s="9" t="s">
        <v>41</v>
      </c>
      <c r="AB18" s="6"/>
    </row>
    <row r="19" spans="1:28">
      <c r="A19" s="5" t="str">
        <f>IF(AA19="aktif",MAX($A$1:A17)+1,"")</f>
        <v/>
      </c>
      <c r="B19" s="25"/>
      <c r="C19" s="15" t="s">
        <v>98</v>
      </c>
      <c r="D19" s="139" t="s">
        <v>78</v>
      </c>
      <c r="E19" s="18" t="s">
        <v>29</v>
      </c>
      <c r="F19" s="5" t="s">
        <v>282</v>
      </c>
      <c r="G19" s="5" t="s">
        <v>282</v>
      </c>
      <c r="H19" s="132"/>
      <c r="I19" s="5"/>
      <c r="J19" s="5" t="s">
        <v>71</v>
      </c>
      <c r="K19" s="5"/>
      <c r="L19" s="26" t="e">
        <f t="shared" ref="L19" ca="1" si="2">IF(J19="","",DATEDIF(J19,TODAY(),"Y") &amp;" tahun " &amp; DATEDIF(J19,TODAY(),"YM")&amp;" bulan")</f>
        <v>#VALUE!</v>
      </c>
      <c r="M19" s="5" t="s">
        <v>31</v>
      </c>
      <c r="N19" s="26">
        <v>35104</v>
      </c>
      <c r="O19" s="26" t="str">
        <f t="shared" ref="O19" ca="1" si="3">IF(N19="","",DATEDIF(N19,TODAY(),"Y")&amp;" tahun")</f>
        <v>30 tahun</v>
      </c>
      <c r="P19" s="5" t="s">
        <v>46</v>
      </c>
      <c r="Q19" s="5"/>
      <c r="R19" s="25" t="s">
        <v>99</v>
      </c>
      <c r="S19" s="5" t="s">
        <v>100</v>
      </c>
      <c r="T19" s="5" t="s">
        <v>35</v>
      </c>
      <c r="U19" s="25" t="s">
        <v>101</v>
      </c>
      <c r="V19" s="25" t="s">
        <v>102</v>
      </c>
      <c r="W19" s="5"/>
      <c r="X19" s="25"/>
      <c r="Y19" s="5"/>
      <c r="Z19" s="9" t="s">
        <v>41</v>
      </c>
      <c r="AA19" s="6"/>
    </row>
    <row r="20" spans="1:28">
      <c r="A20" s="5">
        <f>IF(AA20="aktif",MAX($A$1:A18)+1,"")</f>
        <v>17</v>
      </c>
      <c r="B20" s="25"/>
      <c r="C20" s="15" t="s">
        <v>114</v>
      </c>
      <c r="D20" s="139" t="s">
        <v>115</v>
      </c>
      <c r="E20" s="18" t="s">
        <v>29</v>
      </c>
      <c r="F20" s="5" t="s">
        <v>116</v>
      </c>
      <c r="G20" s="5" t="s">
        <v>116</v>
      </c>
      <c r="H20" s="16"/>
      <c r="I20" s="18"/>
      <c r="J20" s="5" t="s">
        <v>71</v>
      </c>
      <c r="K20" s="5"/>
      <c r="L20" s="26">
        <v>45671</v>
      </c>
      <c r="M20" s="26" t="str">
        <f t="shared" ca="1" si="0"/>
        <v>1 tahun 6 bulan</v>
      </c>
      <c r="N20" s="5" t="s">
        <v>31</v>
      </c>
      <c r="O20" s="26">
        <v>31366</v>
      </c>
      <c r="P20" s="26" t="str">
        <f t="shared" ca="1" si="1"/>
        <v>40 tahun</v>
      </c>
      <c r="Q20" s="5" t="s">
        <v>46</v>
      </c>
      <c r="R20" s="5"/>
      <c r="S20" s="25" t="s">
        <v>117</v>
      </c>
      <c r="T20" s="5" t="s">
        <v>118</v>
      </c>
      <c r="U20" s="5" t="s">
        <v>35</v>
      </c>
      <c r="V20" s="25" t="s">
        <v>119</v>
      </c>
      <c r="W20" s="25"/>
      <c r="X20" s="5"/>
      <c r="Y20" s="25"/>
      <c r="Z20" s="5"/>
      <c r="AA20" s="9" t="s">
        <v>41</v>
      </c>
      <c r="AB20" s="6"/>
    </row>
    <row r="21" spans="1:28">
      <c r="A21" s="5">
        <f>IF(AA21="aktif",MAX($A$1:A20)+1,"")</f>
        <v>18</v>
      </c>
      <c r="B21" s="25"/>
      <c r="C21" s="15" t="s">
        <v>120</v>
      </c>
      <c r="D21" s="139" t="s">
        <v>115</v>
      </c>
      <c r="E21" s="18" t="s">
        <v>29</v>
      </c>
      <c r="F21" s="5" t="s">
        <v>116</v>
      </c>
      <c r="G21" s="5" t="s">
        <v>116</v>
      </c>
      <c r="H21" s="16"/>
      <c r="I21" s="18"/>
      <c r="J21" s="5" t="s">
        <v>71</v>
      </c>
      <c r="K21" s="5"/>
      <c r="L21" s="26"/>
      <c r="M21" s="26" t="str">
        <f t="shared" ca="1" si="0"/>
        <v/>
      </c>
      <c r="N21" s="5" t="s">
        <v>31</v>
      </c>
      <c r="O21" s="26">
        <v>28113</v>
      </c>
      <c r="P21" s="26" t="str">
        <f t="shared" ca="1" si="1"/>
        <v>49 tahun</v>
      </c>
      <c r="Q21" s="5" t="s">
        <v>121</v>
      </c>
      <c r="R21" s="28"/>
      <c r="S21" s="25" t="s">
        <v>122</v>
      </c>
      <c r="T21" s="5" t="s">
        <v>123</v>
      </c>
      <c r="U21" s="5" t="s">
        <v>35</v>
      </c>
      <c r="V21" s="25" t="s">
        <v>124</v>
      </c>
      <c r="W21" s="25" t="s">
        <v>125</v>
      </c>
      <c r="X21" s="5"/>
      <c r="Y21" s="25"/>
      <c r="Z21" s="5"/>
      <c r="AA21" s="9" t="s">
        <v>41</v>
      </c>
      <c r="AB21" s="6"/>
    </row>
    <row r="22" spans="1:28">
      <c r="A22" s="5"/>
      <c r="B22" s="25"/>
      <c r="C22" s="15" t="s">
        <v>126</v>
      </c>
      <c r="D22" s="139" t="s">
        <v>115</v>
      </c>
      <c r="E22" s="18" t="s">
        <v>29</v>
      </c>
      <c r="F22" s="5" t="s">
        <v>116</v>
      </c>
      <c r="G22" s="5" t="s">
        <v>116</v>
      </c>
      <c r="H22" s="132"/>
      <c r="I22" s="5"/>
      <c r="J22" s="5" t="s">
        <v>71</v>
      </c>
      <c r="K22" s="5"/>
      <c r="L22" s="26"/>
      <c r="M22" s="26"/>
      <c r="N22" s="5"/>
      <c r="O22" s="26"/>
      <c r="P22" s="26"/>
      <c r="Q22" s="5"/>
      <c r="R22" s="28"/>
      <c r="S22" s="25"/>
      <c r="V22" s="25"/>
      <c r="W22" s="25"/>
      <c r="X22" s="5"/>
      <c r="Y22" s="25"/>
      <c r="Z22" s="5"/>
      <c r="AA22" s="9"/>
      <c r="AB22" s="6"/>
    </row>
    <row r="23" spans="1:28">
      <c r="A23" s="5">
        <f>IF(AA23="aktif",MAX($A$1:A22)+1,"")</f>
        <v>19</v>
      </c>
      <c r="B23" s="25"/>
      <c r="C23" s="15" t="s">
        <v>127</v>
      </c>
      <c r="D23" s="139" t="s">
        <v>115</v>
      </c>
      <c r="E23" s="18" t="s">
        <v>29</v>
      </c>
      <c r="F23" s="5" t="s">
        <v>2222</v>
      </c>
      <c r="G23" s="5" t="s">
        <v>128</v>
      </c>
      <c r="H23" s="16"/>
      <c r="I23" s="18"/>
      <c r="J23" s="5" t="s">
        <v>129</v>
      </c>
      <c r="K23" s="5"/>
      <c r="L23" s="26"/>
      <c r="M23" s="26" t="str">
        <f t="shared" ca="1" si="0"/>
        <v/>
      </c>
      <c r="N23" s="5" t="s">
        <v>31</v>
      </c>
      <c r="O23" s="26">
        <v>33239</v>
      </c>
      <c r="P23" s="26" t="str">
        <f t="shared" ca="1" si="1"/>
        <v>35 tahun</v>
      </c>
      <c r="Q23" s="5" t="s">
        <v>46</v>
      </c>
      <c r="R23" s="28"/>
      <c r="S23" s="25" t="s">
        <v>130</v>
      </c>
      <c r="T23" s="5" t="s">
        <v>131</v>
      </c>
      <c r="U23" s="5" t="s">
        <v>35</v>
      </c>
      <c r="V23" s="25" t="s">
        <v>132</v>
      </c>
      <c r="W23" s="25" t="s">
        <v>133</v>
      </c>
      <c r="X23" s="5"/>
      <c r="Y23" s="25"/>
      <c r="Z23" s="5"/>
      <c r="AA23" s="9" t="s">
        <v>41</v>
      </c>
      <c r="AB23" s="6"/>
    </row>
    <row r="24" spans="1:28">
      <c r="A24" s="5">
        <f>IF(AA24="aktif",MAX($A$1:A23)+1,"")</f>
        <v>20</v>
      </c>
      <c r="B24" s="25"/>
      <c r="C24" s="15" t="s">
        <v>134</v>
      </c>
      <c r="D24" s="139" t="s">
        <v>115</v>
      </c>
      <c r="E24" s="18" t="s">
        <v>29</v>
      </c>
      <c r="F24" s="5" t="s">
        <v>128</v>
      </c>
      <c r="G24" s="5" t="s">
        <v>128</v>
      </c>
      <c r="H24" s="16"/>
      <c r="I24" s="18"/>
      <c r="J24" s="5" t="s">
        <v>129</v>
      </c>
      <c r="K24" s="5"/>
      <c r="L24" s="26">
        <v>43252</v>
      </c>
      <c r="M24" s="26" t="str">
        <f t="shared" ca="1" si="0"/>
        <v>8 tahun 2 bulan</v>
      </c>
      <c r="N24" s="5" t="s">
        <v>31</v>
      </c>
      <c r="O24" s="26">
        <v>33415</v>
      </c>
      <c r="P24" s="26" t="str">
        <f t="shared" ca="1" si="1"/>
        <v>35 tahun</v>
      </c>
      <c r="Q24" s="5" t="s">
        <v>46</v>
      </c>
      <c r="R24" s="5"/>
      <c r="S24" s="25" t="s">
        <v>135</v>
      </c>
      <c r="T24" s="5" t="s">
        <v>136</v>
      </c>
      <c r="U24" s="5" t="s">
        <v>35</v>
      </c>
      <c r="V24" s="25" t="s">
        <v>137</v>
      </c>
      <c r="W24" s="25" t="s">
        <v>138</v>
      </c>
      <c r="X24" s="5"/>
      <c r="Y24" s="25"/>
      <c r="Z24" s="5"/>
      <c r="AA24" s="9" t="s">
        <v>41</v>
      </c>
      <c r="AB24" s="6"/>
    </row>
    <row r="25" spans="1:28">
      <c r="A25" s="5">
        <f>IF(AA25="aktif",MAX($A$1:A24)+1,"")</f>
        <v>21</v>
      </c>
      <c r="B25" s="25"/>
      <c r="C25" s="15" t="s">
        <v>139</v>
      </c>
      <c r="D25" s="139" t="s">
        <v>115</v>
      </c>
      <c r="E25" s="18" t="s">
        <v>29</v>
      </c>
      <c r="F25" s="5" t="s">
        <v>128</v>
      </c>
      <c r="G25" s="5" t="s">
        <v>128</v>
      </c>
      <c r="H25" s="16"/>
      <c r="I25" s="18"/>
      <c r="J25" s="5" t="s">
        <v>129</v>
      </c>
      <c r="K25" s="5"/>
      <c r="L25" s="26">
        <v>42522</v>
      </c>
      <c r="M25" s="26" t="str">
        <f t="shared" ca="1" si="0"/>
        <v>10 tahun 2 bulan</v>
      </c>
      <c r="N25" s="5" t="s">
        <v>31</v>
      </c>
      <c r="O25" s="26">
        <v>34026</v>
      </c>
      <c r="P25" s="26" t="str">
        <f t="shared" ca="1" si="1"/>
        <v>33 tahun</v>
      </c>
      <c r="Q25" s="5" t="s">
        <v>121</v>
      </c>
      <c r="R25" s="28">
        <v>3500000</v>
      </c>
      <c r="S25" s="25" t="s">
        <v>140</v>
      </c>
      <c r="T25" s="5" t="s">
        <v>141</v>
      </c>
      <c r="U25" s="5" t="s">
        <v>35</v>
      </c>
      <c r="V25" s="25" t="s">
        <v>142</v>
      </c>
      <c r="W25" s="25"/>
      <c r="X25" s="5"/>
      <c r="Y25" s="25"/>
      <c r="Z25" s="5"/>
      <c r="AA25" s="9" t="s">
        <v>41</v>
      </c>
      <c r="AB25" s="6"/>
    </row>
    <row r="26" spans="1:28">
      <c r="A26" s="5">
        <f>IF(AA26="aktif",MAX($A$1:A25)+1,"")</f>
        <v>22</v>
      </c>
      <c r="B26" s="25"/>
      <c r="C26" s="15" t="s">
        <v>143</v>
      </c>
      <c r="D26" s="139" t="s">
        <v>115</v>
      </c>
      <c r="E26" s="18" t="s">
        <v>29</v>
      </c>
      <c r="F26" s="5" t="s">
        <v>128</v>
      </c>
      <c r="G26" s="5" t="s">
        <v>128</v>
      </c>
      <c r="H26" s="16"/>
      <c r="I26" s="18"/>
      <c r="J26" s="5" t="s">
        <v>129</v>
      </c>
      <c r="K26" s="5"/>
      <c r="L26" s="26">
        <v>41061</v>
      </c>
      <c r="M26" s="26" t="str">
        <f t="shared" ca="1" si="0"/>
        <v>14 tahun 2 bulan</v>
      </c>
      <c r="N26" s="5" t="s">
        <v>31</v>
      </c>
      <c r="O26" s="26">
        <v>29643</v>
      </c>
      <c r="P26" s="26" t="str">
        <f t="shared" ca="1" si="1"/>
        <v>45 tahun</v>
      </c>
      <c r="Q26" s="5" t="s">
        <v>46</v>
      </c>
      <c r="R26" s="5"/>
      <c r="S26" s="25" t="s">
        <v>144</v>
      </c>
      <c r="T26" s="5" t="s">
        <v>145</v>
      </c>
      <c r="U26" s="5" t="s">
        <v>35</v>
      </c>
      <c r="V26" s="25" t="s">
        <v>146</v>
      </c>
      <c r="W26" s="25" t="s">
        <v>147</v>
      </c>
      <c r="X26" s="5"/>
      <c r="Y26" s="25"/>
      <c r="Z26" s="5"/>
      <c r="AA26" s="9" t="s">
        <v>41</v>
      </c>
      <c r="AB26" s="6"/>
    </row>
    <row r="27" spans="1:28">
      <c r="A27" s="5">
        <f>IF(AA27="aktif",MAX($A$1:A26)+1,"")</f>
        <v>23</v>
      </c>
      <c r="B27" s="25"/>
      <c r="C27" s="15" t="s">
        <v>148</v>
      </c>
      <c r="D27" s="139" t="s">
        <v>115</v>
      </c>
      <c r="E27" s="18" t="s">
        <v>29</v>
      </c>
      <c r="F27" s="5" t="s">
        <v>128</v>
      </c>
      <c r="G27" s="5" t="s">
        <v>128</v>
      </c>
      <c r="H27" s="16"/>
      <c r="I27" s="18"/>
      <c r="J27" s="5" t="s">
        <v>129</v>
      </c>
      <c r="K27" s="5"/>
      <c r="L27" s="26">
        <v>41426</v>
      </c>
      <c r="M27" s="26" t="str">
        <f t="shared" ca="1" si="0"/>
        <v>13 tahun 2 bulan</v>
      </c>
      <c r="N27" s="5" t="s">
        <v>31</v>
      </c>
      <c r="O27" s="26">
        <v>28440</v>
      </c>
      <c r="P27" s="26" t="str">
        <f t="shared" ca="1" si="1"/>
        <v>48 tahun</v>
      </c>
      <c r="Q27" s="5" t="s">
        <v>32</v>
      </c>
      <c r="R27" s="5"/>
      <c r="S27" s="25" t="s">
        <v>149</v>
      </c>
      <c r="T27" s="5" t="s">
        <v>150</v>
      </c>
      <c r="U27" s="5" t="s">
        <v>35</v>
      </c>
      <c r="V27" s="25" t="s">
        <v>151</v>
      </c>
      <c r="W27" s="25" t="s">
        <v>152</v>
      </c>
      <c r="X27" s="5"/>
      <c r="Y27" s="25"/>
      <c r="Z27" s="5"/>
      <c r="AA27" s="9" t="s">
        <v>41</v>
      </c>
      <c r="AB27" s="6"/>
    </row>
    <row r="28" spans="1:28">
      <c r="A28" s="5">
        <f>IF(AA28="aktif",MAX($A$1:A27)+1,"")</f>
        <v>24</v>
      </c>
      <c r="B28" s="25"/>
      <c r="C28" s="15" t="s">
        <v>153</v>
      </c>
      <c r="D28" s="139" t="s">
        <v>115</v>
      </c>
      <c r="E28" s="18" t="s">
        <v>29</v>
      </c>
      <c r="F28" s="5" t="s">
        <v>128</v>
      </c>
      <c r="G28" s="5" t="s">
        <v>128</v>
      </c>
      <c r="H28" s="16"/>
      <c r="I28" s="18"/>
      <c r="J28" s="5" t="s">
        <v>129</v>
      </c>
      <c r="K28" s="5"/>
      <c r="L28" s="26"/>
      <c r="M28" s="26" t="str">
        <f t="shared" ca="1" si="0"/>
        <v/>
      </c>
      <c r="N28" s="5" t="s">
        <v>31</v>
      </c>
      <c r="O28" s="26">
        <v>34845</v>
      </c>
      <c r="P28" s="26" t="str">
        <f t="shared" ca="1" si="1"/>
        <v>31 tahun</v>
      </c>
      <c r="Q28" s="5" t="s">
        <v>121</v>
      </c>
      <c r="R28" s="28">
        <v>4000000</v>
      </c>
      <c r="S28" s="25" t="s">
        <v>154</v>
      </c>
      <c r="T28" s="5" t="s">
        <v>155</v>
      </c>
      <c r="U28" s="5" t="s">
        <v>35</v>
      </c>
      <c r="V28" s="25" t="s">
        <v>156</v>
      </c>
      <c r="W28" s="25"/>
      <c r="X28" s="5"/>
      <c r="Y28" s="25"/>
      <c r="Z28" s="5"/>
      <c r="AA28" s="9" t="s">
        <v>41</v>
      </c>
      <c r="AB28" s="6"/>
    </row>
    <row r="29" spans="1:28">
      <c r="A29" s="5">
        <f>IF(AA29="aktif",MAX($A$1:A28)+1,"")</f>
        <v>25</v>
      </c>
      <c r="B29" s="25"/>
      <c r="C29" s="15" t="s">
        <v>157</v>
      </c>
      <c r="D29" s="139" t="s">
        <v>115</v>
      </c>
      <c r="E29" s="18" t="s">
        <v>29</v>
      </c>
      <c r="F29" s="5" t="s">
        <v>128</v>
      </c>
      <c r="G29" s="5" t="s">
        <v>128</v>
      </c>
      <c r="H29" s="16"/>
      <c r="I29" s="18"/>
      <c r="J29" s="5" t="s">
        <v>129</v>
      </c>
      <c r="K29" s="5"/>
      <c r="L29" s="26"/>
      <c r="M29" s="26" t="str">
        <f t="shared" ca="1" si="0"/>
        <v/>
      </c>
      <c r="N29" s="5" t="s">
        <v>31</v>
      </c>
      <c r="O29" s="26">
        <v>29755</v>
      </c>
      <c r="P29" s="26" t="str">
        <f t="shared" ca="1" si="1"/>
        <v>45 tahun</v>
      </c>
      <c r="Q29" s="5" t="s">
        <v>158</v>
      </c>
      <c r="R29" s="28">
        <v>4000000</v>
      </c>
      <c r="S29" s="25" t="s">
        <v>159</v>
      </c>
      <c r="T29" s="5" t="s">
        <v>160</v>
      </c>
      <c r="U29" s="5" t="s">
        <v>35</v>
      </c>
      <c r="V29" s="25"/>
      <c r="W29" s="25" t="s">
        <v>161</v>
      </c>
      <c r="X29" s="5"/>
      <c r="Y29" s="25"/>
      <c r="Z29" s="5"/>
      <c r="AA29" s="9" t="s">
        <v>41</v>
      </c>
      <c r="AB29" s="6"/>
    </row>
    <row r="30" spans="1:28">
      <c r="A30" s="5">
        <f>IF(AA30="aktif",MAX($A$1:A29)+1,"")</f>
        <v>26</v>
      </c>
      <c r="B30" s="25"/>
      <c r="C30" s="15" t="s">
        <v>162</v>
      </c>
      <c r="D30" s="139" t="s">
        <v>115</v>
      </c>
      <c r="E30" s="18" t="s">
        <v>29</v>
      </c>
      <c r="F30" s="5" t="s">
        <v>128</v>
      </c>
      <c r="G30" s="5" t="s">
        <v>128</v>
      </c>
      <c r="H30" s="16"/>
      <c r="I30" s="18"/>
      <c r="J30" s="5" t="s">
        <v>129</v>
      </c>
      <c r="K30" s="5"/>
      <c r="L30" s="26">
        <v>42522</v>
      </c>
      <c r="M30" s="26" t="str">
        <f t="shared" ca="1" si="0"/>
        <v>10 tahun 2 bulan</v>
      </c>
      <c r="N30" s="5" t="s">
        <v>31</v>
      </c>
      <c r="O30" s="26">
        <v>35770</v>
      </c>
      <c r="P30" s="26" t="str">
        <f t="shared" ca="1" si="1"/>
        <v>28 tahun</v>
      </c>
      <c r="Q30" s="5" t="s">
        <v>46</v>
      </c>
      <c r="R30" s="28">
        <v>3500000</v>
      </c>
      <c r="S30" s="25" t="s">
        <v>163</v>
      </c>
      <c r="T30" s="5" t="s">
        <v>164</v>
      </c>
      <c r="U30" s="5" t="s">
        <v>165</v>
      </c>
      <c r="V30" s="25" t="s">
        <v>166</v>
      </c>
      <c r="W30" s="25"/>
      <c r="X30" s="5"/>
      <c r="Y30" s="25"/>
      <c r="Z30" s="5"/>
      <c r="AA30" s="9" t="s">
        <v>41</v>
      </c>
      <c r="AB30" s="6"/>
    </row>
    <row r="31" spans="1:28">
      <c r="A31" s="5">
        <f>IF(AA31="aktif",MAX($A$1:A30)+1,"")</f>
        <v>27</v>
      </c>
      <c r="B31" s="25"/>
      <c r="C31" s="15" t="s">
        <v>167</v>
      </c>
      <c r="D31" s="139" t="s">
        <v>115</v>
      </c>
      <c r="E31" s="18" t="s">
        <v>29</v>
      </c>
      <c r="F31" s="5" t="s">
        <v>128</v>
      </c>
      <c r="G31" s="5" t="s">
        <v>128</v>
      </c>
      <c r="H31" s="16"/>
      <c r="I31" s="18"/>
      <c r="J31" s="5" t="s">
        <v>129</v>
      </c>
      <c r="K31" s="5"/>
      <c r="L31" s="26"/>
      <c r="M31" s="26" t="str">
        <f t="shared" ca="1" si="0"/>
        <v/>
      </c>
      <c r="N31" s="5" t="s">
        <v>31</v>
      </c>
      <c r="O31" s="26">
        <v>29157</v>
      </c>
      <c r="P31" s="26" t="str">
        <f t="shared" ca="1" si="1"/>
        <v>46 tahun</v>
      </c>
      <c r="Q31" s="5" t="s">
        <v>46</v>
      </c>
      <c r="R31" s="5"/>
      <c r="S31" s="25" t="s">
        <v>168</v>
      </c>
      <c r="T31" s="5" t="s">
        <v>136</v>
      </c>
      <c r="U31" s="5" t="s">
        <v>35</v>
      </c>
      <c r="V31" s="25" t="s">
        <v>169</v>
      </c>
      <c r="W31" s="25" t="s">
        <v>170</v>
      </c>
      <c r="X31" s="5"/>
      <c r="Y31" s="25"/>
      <c r="Z31" s="5"/>
      <c r="AA31" s="9" t="s">
        <v>41</v>
      </c>
      <c r="AB31" s="6"/>
    </row>
    <row r="32" spans="1:28">
      <c r="A32" s="5">
        <f>IF(AA32="aktif",MAX($A$1:A31)+1,"")</f>
        <v>28</v>
      </c>
      <c r="B32" s="25"/>
      <c r="C32" s="15" t="s">
        <v>171</v>
      </c>
      <c r="D32" s="139" t="s">
        <v>115</v>
      </c>
      <c r="E32" s="18" t="s">
        <v>29</v>
      </c>
      <c r="F32" s="5" t="s">
        <v>128</v>
      </c>
      <c r="G32" s="5" t="s">
        <v>128</v>
      </c>
      <c r="H32" s="16"/>
      <c r="I32" s="18"/>
      <c r="J32" s="5" t="s">
        <v>129</v>
      </c>
      <c r="K32" s="5"/>
      <c r="L32" s="26"/>
      <c r="M32" s="26" t="str">
        <f t="shared" ca="1" si="0"/>
        <v/>
      </c>
      <c r="N32" s="5" t="s">
        <v>31</v>
      </c>
      <c r="O32" s="26">
        <v>29387</v>
      </c>
      <c r="P32" s="26" t="str">
        <f t="shared" ca="1" si="1"/>
        <v>46 tahun</v>
      </c>
      <c r="Q32" s="5"/>
      <c r="R32" s="5"/>
      <c r="S32" s="25" t="s">
        <v>172</v>
      </c>
      <c r="T32" s="5" t="s">
        <v>173</v>
      </c>
      <c r="U32" s="5" t="s">
        <v>35</v>
      </c>
      <c r="V32" s="25" t="s">
        <v>174</v>
      </c>
      <c r="W32" s="25" t="s">
        <v>174</v>
      </c>
      <c r="X32" s="5"/>
      <c r="Y32" s="25"/>
      <c r="Z32" s="5"/>
      <c r="AA32" s="9" t="s">
        <v>41</v>
      </c>
      <c r="AB32" s="6"/>
    </row>
    <row r="33" spans="1:28">
      <c r="A33" s="5">
        <f>IF(AA33="aktif",MAX($A$1:A32)+1,"")</f>
        <v>29</v>
      </c>
      <c r="B33" s="25"/>
      <c r="C33" s="15" t="s">
        <v>175</v>
      </c>
      <c r="D33" s="139" t="s">
        <v>115</v>
      </c>
      <c r="E33" s="18" t="s">
        <v>29</v>
      </c>
      <c r="F33" s="5" t="s">
        <v>128</v>
      </c>
      <c r="G33" s="5" t="s">
        <v>128</v>
      </c>
      <c r="H33" s="16"/>
      <c r="I33" s="18"/>
      <c r="J33" s="5" t="s">
        <v>129</v>
      </c>
      <c r="K33" s="5"/>
      <c r="L33" s="26">
        <v>41061</v>
      </c>
      <c r="M33" s="26" t="str">
        <f t="shared" ca="1" si="0"/>
        <v>14 tahun 2 bulan</v>
      </c>
      <c r="N33" s="5" t="s">
        <v>31</v>
      </c>
      <c r="O33" s="26">
        <v>30915</v>
      </c>
      <c r="P33" s="26" t="str">
        <f t="shared" ca="1" si="1"/>
        <v>41 tahun</v>
      </c>
      <c r="Q33" s="5" t="s">
        <v>32</v>
      </c>
      <c r="R33" s="5"/>
      <c r="S33" s="25" t="s">
        <v>176</v>
      </c>
      <c r="T33" s="5" t="s">
        <v>177</v>
      </c>
      <c r="U33" s="5" t="s">
        <v>35</v>
      </c>
      <c r="V33" s="25"/>
      <c r="W33" s="25"/>
      <c r="X33" s="5"/>
      <c r="Y33" s="25"/>
      <c r="Z33" s="5"/>
      <c r="AA33" s="9" t="s">
        <v>41</v>
      </c>
      <c r="AB33" s="6"/>
    </row>
    <row r="34" spans="1:28">
      <c r="A34" s="5">
        <f>IF(AA34="aktif",MAX($A$1:A33)+1,"")</f>
        <v>30</v>
      </c>
      <c r="B34" s="25"/>
      <c r="C34" s="15" t="s">
        <v>178</v>
      </c>
      <c r="D34" s="139" t="s">
        <v>115</v>
      </c>
      <c r="E34" s="18" t="s">
        <v>29</v>
      </c>
      <c r="F34" s="5" t="s">
        <v>128</v>
      </c>
      <c r="G34" s="5" t="s">
        <v>128</v>
      </c>
      <c r="H34" s="16"/>
      <c r="I34" s="18"/>
      <c r="J34" s="5" t="s">
        <v>129</v>
      </c>
      <c r="K34" s="5"/>
      <c r="L34" s="26">
        <v>45405</v>
      </c>
      <c r="M34" s="26" t="str">
        <f t="shared" ca="1" si="0"/>
        <v>2 tahun 3 bulan</v>
      </c>
      <c r="N34" s="5" t="s">
        <v>31</v>
      </c>
      <c r="O34" s="26">
        <v>36502</v>
      </c>
      <c r="P34" s="26" t="str">
        <f t="shared" ca="1" si="1"/>
        <v>26 tahun</v>
      </c>
      <c r="Q34" s="5" t="s">
        <v>32</v>
      </c>
      <c r="R34" s="5"/>
      <c r="S34" s="25" t="s">
        <v>179</v>
      </c>
      <c r="T34" s="5" t="s">
        <v>180</v>
      </c>
      <c r="U34" s="5" t="s">
        <v>35</v>
      </c>
      <c r="V34" s="25" t="s">
        <v>181</v>
      </c>
      <c r="W34" s="25" t="s">
        <v>182</v>
      </c>
      <c r="X34" s="5"/>
      <c r="Y34" s="25"/>
      <c r="Z34" s="5"/>
      <c r="AA34" s="9" t="s">
        <v>41</v>
      </c>
      <c r="AB34" s="6"/>
    </row>
    <row r="35" spans="1:28">
      <c r="A35" s="5">
        <f>IF(AA35="aktif",MAX($A$1:A34)+1,"")</f>
        <v>31</v>
      </c>
      <c r="B35" s="25"/>
      <c r="C35" s="15" t="s">
        <v>183</v>
      </c>
      <c r="D35" s="139" t="s">
        <v>115</v>
      </c>
      <c r="E35" s="18" t="s">
        <v>29</v>
      </c>
      <c r="F35" s="5" t="s">
        <v>128</v>
      </c>
      <c r="G35" s="5" t="s">
        <v>128</v>
      </c>
      <c r="H35" s="16"/>
      <c r="I35" s="18"/>
      <c r="J35" s="5" t="s">
        <v>129</v>
      </c>
      <c r="K35" s="5"/>
      <c r="L35" s="26"/>
      <c r="M35" s="26" t="str">
        <f t="shared" ca="1" si="0"/>
        <v/>
      </c>
      <c r="N35" s="5" t="s">
        <v>31</v>
      </c>
      <c r="O35" s="26">
        <v>30561</v>
      </c>
      <c r="P35" s="26" t="str">
        <f t="shared" ca="1" si="1"/>
        <v>42 tahun</v>
      </c>
      <c r="Q35" s="5" t="s">
        <v>32</v>
      </c>
      <c r="R35" s="28">
        <v>4500000</v>
      </c>
      <c r="S35" s="25" t="s">
        <v>184</v>
      </c>
      <c r="T35" s="5" t="s">
        <v>160</v>
      </c>
      <c r="U35" s="5" t="s">
        <v>35</v>
      </c>
      <c r="V35" s="25" t="s">
        <v>185</v>
      </c>
      <c r="W35" s="25" t="s">
        <v>186</v>
      </c>
      <c r="X35" s="5"/>
      <c r="Y35" s="25"/>
      <c r="Z35" s="5"/>
      <c r="AA35" s="9" t="s">
        <v>41</v>
      </c>
      <c r="AB35" s="6"/>
    </row>
    <row r="36" spans="1:28">
      <c r="A36" s="5">
        <f>IF(AA36="aktif",MAX($A$1:A35)+1,"")</f>
        <v>32</v>
      </c>
      <c r="B36" s="25"/>
      <c r="C36" s="15" t="s">
        <v>187</v>
      </c>
      <c r="D36" s="139" t="s">
        <v>115</v>
      </c>
      <c r="E36" s="18" t="s">
        <v>29</v>
      </c>
      <c r="F36" s="5" t="s">
        <v>128</v>
      </c>
      <c r="G36" s="5" t="s">
        <v>128</v>
      </c>
      <c r="H36" s="16"/>
      <c r="I36" s="18"/>
      <c r="J36" s="5" t="s">
        <v>129</v>
      </c>
      <c r="K36" s="5"/>
      <c r="L36" s="26">
        <v>41791</v>
      </c>
      <c r="M36" s="26" t="str">
        <f t="shared" ca="1" si="0"/>
        <v>12 tahun 2 bulan</v>
      </c>
      <c r="N36" s="5" t="s">
        <v>31</v>
      </c>
      <c r="O36" s="26">
        <v>31752</v>
      </c>
      <c r="P36" s="26" t="str">
        <f t="shared" ca="1" si="1"/>
        <v>39 tahun</v>
      </c>
      <c r="Q36" s="5"/>
      <c r="R36" s="28">
        <v>3500000</v>
      </c>
      <c r="S36" s="25" t="s">
        <v>188</v>
      </c>
      <c r="T36" s="5" t="s">
        <v>189</v>
      </c>
      <c r="U36" s="5" t="s">
        <v>35</v>
      </c>
      <c r="V36" s="25" t="s">
        <v>190</v>
      </c>
      <c r="W36" s="25" t="s">
        <v>191</v>
      </c>
      <c r="X36" s="5"/>
      <c r="Y36" s="25"/>
      <c r="Z36" s="5"/>
      <c r="AA36" s="9" t="s">
        <v>41</v>
      </c>
      <c r="AB36" s="6"/>
    </row>
    <row r="37" spans="1:28">
      <c r="A37" s="5">
        <f>IF(AA37="aktif",MAX($A$1:A36)+1,"")</f>
        <v>33</v>
      </c>
      <c r="B37" s="25"/>
      <c r="C37" s="15" t="s">
        <v>192</v>
      </c>
      <c r="D37" s="139" t="s">
        <v>115</v>
      </c>
      <c r="E37" s="18" t="s">
        <v>29</v>
      </c>
      <c r="F37" s="5" t="s">
        <v>128</v>
      </c>
      <c r="G37" s="5" t="s">
        <v>128</v>
      </c>
      <c r="H37" s="16"/>
      <c r="I37" s="18"/>
      <c r="J37" s="5" t="s">
        <v>129</v>
      </c>
      <c r="K37" s="5"/>
      <c r="L37" s="26">
        <v>41426</v>
      </c>
      <c r="M37" s="26" t="str">
        <f t="shared" ca="1" si="0"/>
        <v>13 tahun 2 bulan</v>
      </c>
      <c r="N37" s="5" t="s">
        <v>31</v>
      </c>
      <c r="O37" s="26">
        <v>29511</v>
      </c>
      <c r="P37" s="26" t="str">
        <f t="shared" ca="1" si="1"/>
        <v>45 tahun</v>
      </c>
      <c r="Q37" s="5" t="s">
        <v>121</v>
      </c>
      <c r="R37" s="28">
        <v>4000000</v>
      </c>
      <c r="S37" s="25" t="s">
        <v>193</v>
      </c>
      <c r="T37" s="5" t="s">
        <v>194</v>
      </c>
      <c r="U37" s="5" t="s">
        <v>35</v>
      </c>
      <c r="V37" s="25" t="s">
        <v>195</v>
      </c>
      <c r="W37" s="25" t="s">
        <v>196</v>
      </c>
      <c r="X37" s="5"/>
      <c r="Y37" s="25"/>
      <c r="Z37" s="5"/>
      <c r="AA37" s="9" t="s">
        <v>41</v>
      </c>
      <c r="AB37" s="6"/>
    </row>
    <row r="38" spans="1:28">
      <c r="A38" s="5">
        <f>IF(AA38="aktif",MAX($A$1:A37)+1,"")</f>
        <v>34</v>
      </c>
      <c r="B38" s="25"/>
      <c r="C38" s="15" t="s">
        <v>197</v>
      </c>
      <c r="D38" s="139" t="s">
        <v>115</v>
      </c>
      <c r="E38" s="18" t="s">
        <v>29</v>
      </c>
      <c r="F38" s="5" t="s">
        <v>128</v>
      </c>
      <c r="G38" s="5" t="s">
        <v>128</v>
      </c>
      <c r="H38" s="16"/>
      <c r="I38" s="18"/>
      <c r="J38" s="5" t="s">
        <v>129</v>
      </c>
      <c r="K38" s="5"/>
      <c r="L38" s="26">
        <v>41426</v>
      </c>
      <c r="M38" s="26" t="str">
        <f t="shared" ca="1" si="0"/>
        <v>13 tahun 2 bulan</v>
      </c>
      <c r="N38" s="5" t="s">
        <v>31</v>
      </c>
      <c r="O38" s="26">
        <v>30313</v>
      </c>
      <c r="P38" s="26" t="str">
        <f t="shared" ca="1" si="1"/>
        <v>43 tahun</v>
      </c>
      <c r="Q38" s="5"/>
      <c r="R38" s="5"/>
      <c r="S38" s="25" t="s">
        <v>198</v>
      </c>
      <c r="T38" s="5" t="s">
        <v>199</v>
      </c>
      <c r="U38" s="5" t="s">
        <v>35</v>
      </c>
      <c r="V38" s="25"/>
      <c r="W38" s="25"/>
      <c r="X38" s="5"/>
      <c r="Y38" s="25"/>
      <c r="Z38" s="5"/>
      <c r="AA38" s="9" t="s">
        <v>41</v>
      </c>
      <c r="AB38" s="6"/>
    </row>
    <row r="39" spans="1:28">
      <c r="A39" s="5">
        <f>IF(AA39="aktif",MAX($A$1:A38)+1,"")</f>
        <v>35</v>
      </c>
      <c r="B39" s="25"/>
      <c r="C39" s="15" t="s">
        <v>200</v>
      </c>
      <c r="D39" s="139" t="s">
        <v>115</v>
      </c>
      <c r="E39" s="18" t="s">
        <v>29</v>
      </c>
      <c r="F39" s="5" t="s">
        <v>128</v>
      </c>
      <c r="G39" s="5" t="s">
        <v>128</v>
      </c>
      <c r="H39" s="16"/>
      <c r="I39" s="18"/>
      <c r="J39" s="5" t="s">
        <v>129</v>
      </c>
      <c r="K39" s="5"/>
      <c r="L39" s="26">
        <v>42522</v>
      </c>
      <c r="M39" s="26" t="str">
        <f t="shared" ca="1" si="0"/>
        <v>10 tahun 2 bulan</v>
      </c>
      <c r="N39" s="5" t="s">
        <v>31</v>
      </c>
      <c r="O39" s="26">
        <v>36025</v>
      </c>
      <c r="P39" s="26" t="str">
        <f t="shared" ca="1" si="1"/>
        <v>27 tahun</v>
      </c>
      <c r="Q39" s="5" t="s">
        <v>46</v>
      </c>
      <c r="R39" s="5"/>
      <c r="S39" s="25" t="s">
        <v>201</v>
      </c>
      <c r="T39" s="5" t="s">
        <v>202</v>
      </c>
      <c r="U39" s="5" t="s">
        <v>165</v>
      </c>
      <c r="V39" s="25" t="s">
        <v>203</v>
      </c>
      <c r="W39" s="25"/>
      <c r="X39" s="5"/>
      <c r="Y39" s="25"/>
      <c r="Z39" s="5"/>
      <c r="AA39" s="9" t="s">
        <v>41</v>
      </c>
      <c r="AB39" s="6"/>
    </row>
    <row r="40" spans="1:28">
      <c r="A40" s="5">
        <f>IF(AA40="aktif",MAX($A$1:A39)+1,"")</f>
        <v>36</v>
      </c>
      <c r="B40" s="25"/>
      <c r="C40" s="15" t="s">
        <v>204</v>
      </c>
      <c r="D40" s="139" t="s">
        <v>115</v>
      </c>
      <c r="E40" s="18" t="s">
        <v>29</v>
      </c>
      <c r="F40" s="5" t="s">
        <v>128</v>
      </c>
      <c r="G40" s="5" t="s">
        <v>128</v>
      </c>
      <c r="H40" s="16"/>
      <c r="I40" s="18"/>
      <c r="J40" s="5" t="s">
        <v>129</v>
      </c>
      <c r="K40" s="5"/>
      <c r="L40" s="26">
        <v>45419</v>
      </c>
      <c r="M40" s="26" t="str">
        <f t="shared" ca="1" si="0"/>
        <v>2 tahun 3 bulan</v>
      </c>
      <c r="N40" s="5" t="s">
        <v>31</v>
      </c>
      <c r="O40" s="26">
        <v>29392</v>
      </c>
      <c r="P40" s="26" t="str">
        <f t="shared" ca="1" si="1"/>
        <v>46 tahun</v>
      </c>
      <c r="Q40" s="5" t="s">
        <v>121</v>
      </c>
      <c r="R40" s="5"/>
      <c r="S40" s="25" t="s">
        <v>205</v>
      </c>
      <c r="T40" s="5" t="s">
        <v>206</v>
      </c>
      <c r="U40" s="5" t="s">
        <v>35</v>
      </c>
      <c r="V40" s="25" t="s">
        <v>207</v>
      </c>
      <c r="W40" s="25" t="s">
        <v>208</v>
      </c>
      <c r="X40" s="5"/>
      <c r="Y40" s="25"/>
      <c r="Z40" s="5"/>
      <c r="AA40" s="9" t="s">
        <v>41</v>
      </c>
      <c r="AB40" s="6"/>
    </row>
    <row r="41" spans="1:28">
      <c r="A41" s="5">
        <f>IF(AA41="aktif",MAX($A$1:A40)+1,"")</f>
        <v>37</v>
      </c>
      <c r="B41" s="25"/>
      <c r="C41" s="15" t="s">
        <v>209</v>
      </c>
      <c r="D41" s="139" t="s">
        <v>115</v>
      </c>
      <c r="E41" s="18" t="s">
        <v>29</v>
      </c>
      <c r="F41" s="5" t="s">
        <v>128</v>
      </c>
      <c r="G41" s="5" t="s">
        <v>128</v>
      </c>
      <c r="H41" s="16"/>
      <c r="I41" s="18"/>
      <c r="J41" s="5" t="s">
        <v>129</v>
      </c>
      <c r="K41" s="5"/>
      <c r="L41" s="26">
        <v>40330</v>
      </c>
      <c r="M41" s="26" t="str">
        <f t="shared" ca="1" si="0"/>
        <v>16 tahun 2 bulan</v>
      </c>
      <c r="N41" s="5" t="s">
        <v>31</v>
      </c>
      <c r="O41" s="26">
        <v>30573</v>
      </c>
      <c r="P41" s="26" t="str">
        <f t="shared" ca="1" si="1"/>
        <v>42 tahun</v>
      </c>
      <c r="Q41" s="5" t="s">
        <v>121</v>
      </c>
      <c r="R41" s="5"/>
      <c r="S41" s="25" t="s">
        <v>210</v>
      </c>
      <c r="T41" s="5" t="s">
        <v>211</v>
      </c>
      <c r="U41" s="5" t="s">
        <v>35</v>
      </c>
      <c r="V41" s="25"/>
      <c r="W41" s="25"/>
      <c r="X41" s="5"/>
      <c r="Y41" s="25"/>
      <c r="Z41" s="5"/>
      <c r="AA41" s="9" t="s">
        <v>41</v>
      </c>
      <c r="AB41" s="6"/>
    </row>
    <row r="42" spans="1:28">
      <c r="A42" s="5">
        <f>IF(AA42="aktif",MAX($A$1:A41)+1,"")</f>
        <v>38</v>
      </c>
      <c r="B42" s="25"/>
      <c r="C42" s="15" t="s">
        <v>212</v>
      </c>
      <c r="D42" s="139" t="s">
        <v>115</v>
      </c>
      <c r="E42" s="18" t="s">
        <v>29</v>
      </c>
      <c r="F42" s="5" t="s">
        <v>128</v>
      </c>
      <c r="G42" s="5" t="s">
        <v>128</v>
      </c>
      <c r="H42" s="16"/>
      <c r="I42" s="18"/>
      <c r="J42" s="5" t="s">
        <v>129</v>
      </c>
      <c r="K42" s="5"/>
      <c r="L42" s="26"/>
      <c r="M42" s="26" t="str">
        <f t="shared" ca="1" si="0"/>
        <v/>
      </c>
      <c r="N42" s="5"/>
      <c r="O42" s="26"/>
      <c r="P42" s="26" t="str">
        <f t="shared" ca="1" si="1"/>
        <v/>
      </c>
      <c r="Q42" s="5"/>
      <c r="R42" s="9"/>
      <c r="S42" s="27"/>
      <c r="V42" s="27"/>
      <c r="W42" s="27"/>
      <c r="X42" s="9"/>
      <c r="Y42" s="27"/>
      <c r="Z42" s="9"/>
      <c r="AA42" s="9" t="s">
        <v>41</v>
      </c>
      <c r="AB42" s="6"/>
    </row>
    <row r="43" spans="1:28">
      <c r="A43" s="5">
        <f>IF(AA43="aktif",MAX($A$1:A42)+1,"")</f>
        <v>39</v>
      </c>
      <c r="B43" s="25"/>
      <c r="C43" s="15" t="s">
        <v>213</v>
      </c>
      <c r="D43" s="139" t="s">
        <v>115</v>
      </c>
      <c r="E43" s="18" t="s">
        <v>29</v>
      </c>
      <c r="F43" s="5" t="s">
        <v>128</v>
      </c>
      <c r="G43" s="5" t="s">
        <v>128</v>
      </c>
      <c r="H43" s="16"/>
      <c r="I43" s="18"/>
      <c r="J43" s="5" t="s">
        <v>129</v>
      </c>
      <c r="K43" s="5"/>
      <c r="L43" s="26"/>
      <c r="M43" s="26" t="str">
        <f t="shared" ca="1" si="0"/>
        <v/>
      </c>
      <c r="N43" s="5"/>
      <c r="O43" s="26"/>
      <c r="P43" s="26" t="str">
        <f t="shared" ca="1" si="1"/>
        <v/>
      </c>
      <c r="Q43" s="5"/>
      <c r="R43" s="9"/>
      <c r="S43" s="27"/>
      <c r="V43" s="27"/>
      <c r="W43" s="27"/>
      <c r="X43" s="9"/>
      <c r="Y43" s="27"/>
      <c r="Z43" s="9"/>
      <c r="AA43" s="9" t="s">
        <v>41</v>
      </c>
      <c r="AB43" s="6"/>
    </row>
    <row r="44" spans="1:28">
      <c r="A44" s="5">
        <f>IF(AA44="aktif",MAX($A$1:A43)+1,"")</f>
        <v>40</v>
      </c>
      <c r="B44" s="25"/>
      <c r="C44" s="15" t="s">
        <v>214</v>
      </c>
      <c r="D44" s="139" t="s">
        <v>115</v>
      </c>
      <c r="E44" s="18" t="s">
        <v>29</v>
      </c>
      <c r="F44" s="5" t="s">
        <v>128</v>
      </c>
      <c r="G44" s="5" t="s">
        <v>128</v>
      </c>
      <c r="H44" s="16"/>
      <c r="I44" s="18"/>
      <c r="J44" s="5" t="s">
        <v>129</v>
      </c>
      <c r="K44" s="5"/>
      <c r="L44" s="26"/>
      <c r="M44" s="26" t="str">
        <f t="shared" ca="1" si="0"/>
        <v/>
      </c>
      <c r="N44" s="5"/>
      <c r="O44" s="26"/>
      <c r="P44" s="26" t="str">
        <f t="shared" ca="1" si="1"/>
        <v/>
      </c>
      <c r="Q44" s="5"/>
      <c r="R44" s="9"/>
      <c r="S44" s="27"/>
      <c r="V44" s="27"/>
      <c r="W44" s="27"/>
      <c r="X44" s="9"/>
      <c r="Y44" s="27"/>
      <c r="Z44" s="9"/>
      <c r="AA44" s="9" t="s">
        <v>41</v>
      </c>
      <c r="AB44" s="6"/>
    </row>
    <row r="45" spans="1:28">
      <c r="A45" s="5">
        <f>IF(AA45="aktif",MAX($A$1:A44)+1,"")</f>
        <v>41</v>
      </c>
      <c r="B45" s="25"/>
      <c r="C45" s="15" t="s">
        <v>215</v>
      </c>
      <c r="D45" s="139" t="s">
        <v>391</v>
      </c>
      <c r="E45" s="12" t="s">
        <v>216</v>
      </c>
      <c r="F45" s="5"/>
      <c r="G45" s="5"/>
      <c r="I45" s="116"/>
      <c r="J45" s="5" t="s">
        <v>45</v>
      </c>
      <c r="K45" s="5"/>
      <c r="L45" s="26">
        <v>45777</v>
      </c>
      <c r="M45" s="26" t="str">
        <f ca="1">IF(L45="","",DATEDIF(L45,TODAY(),"Y") &amp;" tahun " &amp; DATEDIF(L45,TODAY(),"YM")&amp;" bulan")</f>
        <v>1 tahun 3 bulan</v>
      </c>
      <c r="N45" s="5" t="s">
        <v>31</v>
      </c>
      <c r="O45" s="26">
        <v>31998</v>
      </c>
      <c r="P45" s="26" t="str">
        <f ca="1">IF(O45="","",DATEDIF(O45,TODAY(),"Y")&amp;" tahun")</f>
        <v>39 tahun</v>
      </c>
      <c r="Q45" s="5" t="s">
        <v>46</v>
      </c>
      <c r="R45" s="6"/>
      <c r="S45" s="6"/>
      <c r="U45" s="5" t="s">
        <v>217</v>
      </c>
      <c r="V45" s="31" t="s">
        <v>218</v>
      </c>
      <c r="W45" s="31" t="s">
        <v>219</v>
      </c>
      <c r="X45" s="7"/>
      <c r="Y45" s="31" t="s">
        <v>220</v>
      </c>
      <c r="Z45" s="7"/>
      <c r="AA45" s="9" t="s">
        <v>41</v>
      </c>
      <c r="AB45" s="6" t="s">
        <v>221</v>
      </c>
    </row>
    <row r="46" spans="1:28">
      <c r="A46" s="5">
        <f>IF(AA46="aktif",MAX($A$1:A45)+1,"")</f>
        <v>42</v>
      </c>
      <c r="B46" s="25" t="s">
        <v>222</v>
      </c>
      <c r="C46" s="15" t="s">
        <v>223</v>
      </c>
      <c r="D46" s="139" t="s">
        <v>63</v>
      </c>
      <c r="E46" s="12" t="s">
        <v>216</v>
      </c>
      <c r="F46" s="5" t="s">
        <v>2223</v>
      </c>
      <c r="G46" s="5"/>
      <c r="H46" s="16"/>
      <c r="I46" s="18"/>
      <c r="J46" s="5" t="s">
        <v>45</v>
      </c>
      <c r="K46" s="5"/>
      <c r="L46" s="26">
        <v>43252</v>
      </c>
      <c r="M46" s="26" t="str">
        <f ca="1">IF(L46="","",DATEDIF(L46,TODAY(),"Y") &amp;" tahun " &amp; DATEDIF(L46,TODAY(),"YM")&amp;" bulan")</f>
        <v>8 tahun 2 bulan</v>
      </c>
      <c r="N46" s="5" t="s">
        <v>55</v>
      </c>
      <c r="O46" s="26">
        <v>34872</v>
      </c>
      <c r="P46" s="26" t="str">
        <f ca="1">IF(O46="","",DATEDIF(O46,TODAY(),"Y")&amp;" tahun")</f>
        <v>31 tahun</v>
      </c>
      <c r="Q46" s="5" t="s">
        <v>72</v>
      </c>
      <c r="R46" s="28">
        <v>4856026</v>
      </c>
      <c r="S46" s="25" t="s">
        <v>224</v>
      </c>
      <c r="T46" s="5" t="s">
        <v>225</v>
      </c>
      <c r="U46" s="5" t="s">
        <v>35</v>
      </c>
      <c r="V46" s="25" t="s">
        <v>226</v>
      </c>
      <c r="W46" s="25" t="s">
        <v>227</v>
      </c>
      <c r="X46" s="5"/>
      <c r="Y46" s="25"/>
      <c r="Z46" s="5">
        <v>20068349586</v>
      </c>
      <c r="AA46" s="9" t="s">
        <v>41</v>
      </c>
      <c r="AB46" s="6"/>
    </row>
    <row r="47" spans="1:28">
      <c r="A47" s="5">
        <f>IF(AA47="aktif",MAX($A$1:A46)+1,"")</f>
        <v>43</v>
      </c>
      <c r="B47" s="25" t="s">
        <v>254</v>
      </c>
      <c r="C47" s="15" t="s">
        <v>255</v>
      </c>
      <c r="D47" s="139" t="s">
        <v>78</v>
      </c>
      <c r="E47" s="12" t="s">
        <v>216</v>
      </c>
      <c r="F47" s="5"/>
      <c r="G47" s="5"/>
      <c r="H47" s="16"/>
      <c r="I47" s="18"/>
      <c r="J47" s="5" t="s">
        <v>45</v>
      </c>
      <c r="K47" s="5"/>
      <c r="L47" s="26">
        <v>41426</v>
      </c>
      <c r="M47" s="26" t="str">
        <f ca="1">IF(L47="","",DATEDIF(L47,TODAY(),"Y") &amp;" tahun " &amp; DATEDIF(L47,TODAY(),"YM")&amp;" bulan")</f>
        <v>13 tahun 2 bulan</v>
      </c>
      <c r="N47" s="5" t="s">
        <v>31</v>
      </c>
      <c r="O47" s="26">
        <v>33598</v>
      </c>
      <c r="P47" s="26" t="str">
        <f ca="1">IF(O47="","",DATEDIF(O47,TODAY(),"Y")&amp;" tahun")</f>
        <v>34 tahun</v>
      </c>
      <c r="Q47" s="5" t="s">
        <v>32</v>
      </c>
      <c r="R47" s="28">
        <v>4856026</v>
      </c>
      <c r="S47" s="25" t="s">
        <v>256</v>
      </c>
      <c r="T47" s="5" t="s">
        <v>257</v>
      </c>
      <c r="U47" s="5" t="s">
        <v>35</v>
      </c>
      <c r="V47" s="25" t="s">
        <v>258</v>
      </c>
      <c r="W47" s="25"/>
      <c r="X47" s="5"/>
      <c r="Y47" s="32" t="s">
        <v>259</v>
      </c>
      <c r="Z47" s="25" t="s">
        <v>256</v>
      </c>
      <c r="AA47" s="9" t="s">
        <v>41</v>
      </c>
      <c r="AB47" s="6"/>
    </row>
    <row r="48" spans="1:28">
      <c r="A48" s="5">
        <f>IF(AA48="aktif",MAX($A$1:A47)+1,"")</f>
        <v>44</v>
      </c>
      <c r="B48" s="25" t="s">
        <v>260</v>
      </c>
      <c r="C48" s="15" t="s">
        <v>261</v>
      </c>
      <c r="D48" s="139" t="s">
        <v>78</v>
      </c>
      <c r="E48" s="12" t="s">
        <v>216</v>
      </c>
      <c r="F48" s="5" t="s">
        <v>282</v>
      </c>
      <c r="G48" s="5" t="s">
        <v>282</v>
      </c>
      <c r="H48" s="22"/>
      <c r="I48" s="18"/>
      <c r="J48" s="5" t="s">
        <v>45</v>
      </c>
      <c r="K48" s="5"/>
      <c r="L48" s="26">
        <v>42156</v>
      </c>
      <c r="M48" s="26" t="str">
        <f t="shared" ca="1" si="0"/>
        <v>11 tahun 2 bulan</v>
      </c>
      <c r="N48" s="5" t="s">
        <v>31</v>
      </c>
      <c r="O48" s="26">
        <v>30222</v>
      </c>
      <c r="P48" s="26" t="str">
        <f t="shared" ca="1" si="1"/>
        <v>43 tahun</v>
      </c>
      <c r="Q48" s="5" t="s">
        <v>32</v>
      </c>
      <c r="R48" s="28">
        <v>4856026</v>
      </c>
      <c r="S48" s="25" t="s">
        <v>262</v>
      </c>
      <c r="T48" s="5" t="s">
        <v>263</v>
      </c>
      <c r="U48" s="5" t="s">
        <v>35</v>
      </c>
      <c r="V48" s="25" t="s">
        <v>264</v>
      </c>
      <c r="W48" s="25" t="s">
        <v>265</v>
      </c>
      <c r="X48" s="5"/>
      <c r="Y48" s="25"/>
      <c r="Z48" s="5">
        <v>20068349669</v>
      </c>
      <c r="AA48" s="9" t="s">
        <v>41</v>
      </c>
      <c r="AB48" s="6"/>
    </row>
    <row r="49" spans="1:28">
      <c r="A49" s="5">
        <f>IF(AA49="aktif",MAX($A$1:A48)+1,"")</f>
        <v>45</v>
      </c>
      <c r="B49" s="25" t="s">
        <v>235</v>
      </c>
      <c r="C49" s="15" t="s">
        <v>236</v>
      </c>
      <c r="D49" s="139" t="s">
        <v>78</v>
      </c>
      <c r="E49" s="12" t="s">
        <v>216</v>
      </c>
      <c r="F49" s="5" t="s">
        <v>335</v>
      </c>
      <c r="G49" s="5" t="s">
        <v>335</v>
      </c>
      <c r="H49" s="22"/>
      <c r="I49" s="12"/>
      <c r="J49" s="5" t="s">
        <v>45</v>
      </c>
      <c r="K49" s="5"/>
      <c r="L49" s="26">
        <v>38869</v>
      </c>
      <c r="M49" s="26" t="str">
        <f t="shared" ca="1" si="0"/>
        <v>20 tahun 2 bulan</v>
      </c>
      <c r="N49" s="5" t="s">
        <v>31</v>
      </c>
      <c r="O49" s="26">
        <v>33485</v>
      </c>
      <c r="P49" s="26" t="str">
        <f t="shared" ca="1" si="1"/>
        <v>34 tahun</v>
      </c>
      <c r="Q49" s="5" t="s">
        <v>121</v>
      </c>
      <c r="R49" s="28">
        <v>4856026</v>
      </c>
      <c r="S49" s="25" t="s">
        <v>237</v>
      </c>
      <c r="T49" s="5" t="s">
        <v>238</v>
      </c>
      <c r="U49" s="5" t="s">
        <v>35</v>
      </c>
      <c r="V49" s="25" t="s">
        <v>239</v>
      </c>
      <c r="W49" s="25" t="s">
        <v>240</v>
      </c>
      <c r="X49" s="5"/>
      <c r="Y49" s="25" t="s">
        <v>241</v>
      </c>
      <c r="Z49" s="5">
        <v>15047449408000</v>
      </c>
      <c r="AA49" s="9" t="s">
        <v>41</v>
      </c>
      <c r="AB49" s="6"/>
    </row>
    <row r="50" spans="1:28">
      <c r="A50" s="5">
        <f>IF(AA50="aktif",MAX($A$1:A49)+1,"")</f>
        <v>46</v>
      </c>
      <c r="B50" s="25" t="s">
        <v>242</v>
      </c>
      <c r="C50" s="15" t="s">
        <v>243</v>
      </c>
      <c r="D50" s="139" t="s">
        <v>78</v>
      </c>
      <c r="E50" s="12" t="s">
        <v>216</v>
      </c>
      <c r="F50" s="5" t="s">
        <v>335</v>
      </c>
      <c r="G50" s="5" t="s">
        <v>335</v>
      </c>
      <c r="H50" s="22"/>
      <c r="I50" s="18"/>
      <c r="J50" s="5" t="s">
        <v>45</v>
      </c>
      <c r="K50" s="5"/>
      <c r="L50" s="26">
        <v>37530</v>
      </c>
      <c r="M50" s="26" t="str">
        <f t="shared" ca="1" si="0"/>
        <v>23 tahun 10 bulan</v>
      </c>
      <c r="N50" s="5" t="s">
        <v>31</v>
      </c>
      <c r="O50" s="26">
        <v>30306</v>
      </c>
      <c r="P50" s="26" t="str">
        <f t="shared" ca="1" si="1"/>
        <v>43 tahun</v>
      </c>
      <c r="Q50" s="5" t="s">
        <v>46</v>
      </c>
      <c r="R50" s="28">
        <v>4856026</v>
      </c>
      <c r="S50" s="25" t="s">
        <v>244</v>
      </c>
      <c r="T50" s="5" t="s">
        <v>245</v>
      </c>
      <c r="U50" s="5" t="s">
        <v>35</v>
      </c>
      <c r="V50" s="25" t="s">
        <v>246</v>
      </c>
      <c r="W50" s="25" t="s">
        <v>247</v>
      </c>
      <c r="X50" s="5"/>
      <c r="Y50" s="25"/>
      <c r="Z50" s="5">
        <v>14005523635</v>
      </c>
      <c r="AA50" s="9" t="s">
        <v>41</v>
      </c>
      <c r="AB50" s="6"/>
    </row>
    <row r="51" spans="1:28">
      <c r="A51" s="5">
        <f>IF(AA51="aktif",MAX($A$1:A50)+1,"")</f>
        <v>47</v>
      </c>
      <c r="B51" s="25" t="s">
        <v>266</v>
      </c>
      <c r="C51" s="15" t="s">
        <v>267</v>
      </c>
      <c r="D51" s="139" t="s">
        <v>78</v>
      </c>
      <c r="E51" s="12" t="s">
        <v>216</v>
      </c>
      <c r="F51" s="5" t="s">
        <v>282</v>
      </c>
      <c r="G51" s="5" t="s">
        <v>282</v>
      </c>
      <c r="H51" s="22"/>
      <c r="I51" s="18"/>
      <c r="J51" s="5" t="s">
        <v>45</v>
      </c>
      <c r="K51" s="5"/>
      <c r="L51" s="26">
        <v>41395</v>
      </c>
      <c r="M51" s="26" t="str">
        <f t="shared" ca="1" si="0"/>
        <v>13 tahun 3 bulan</v>
      </c>
      <c r="N51" s="5" t="s">
        <v>31</v>
      </c>
      <c r="O51" s="26">
        <v>32132</v>
      </c>
      <c r="P51" s="26" t="str">
        <f t="shared" ca="1" si="1"/>
        <v>38 tahun</v>
      </c>
      <c r="Q51" s="5" t="s">
        <v>46</v>
      </c>
      <c r="R51" s="28">
        <v>4856026</v>
      </c>
      <c r="S51" s="25" t="s">
        <v>268</v>
      </c>
      <c r="T51" s="5" t="s">
        <v>269</v>
      </c>
      <c r="U51" s="5" t="s">
        <v>35</v>
      </c>
      <c r="V51" s="25" t="s">
        <v>270</v>
      </c>
      <c r="W51" s="25" t="s">
        <v>271</v>
      </c>
      <c r="X51" s="5"/>
      <c r="Y51" s="25"/>
      <c r="Z51" s="5">
        <v>15047449432</v>
      </c>
      <c r="AA51" s="9" t="s">
        <v>41</v>
      </c>
      <c r="AB51" s="6"/>
    </row>
    <row r="52" spans="1:28">
      <c r="A52" s="5">
        <f>IF(AA52="aktif",MAX($A$1:A51)+1,"")</f>
        <v>48</v>
      </c>
      <c r="B52" s="25" t="s">
        <v>248</v>
      </c>
      <c r="C52" s="15" t="s">
        <v>249</v>
      </c>
      <c r="D52" s="139" t="s">
        <v>78</v>
      </c>
      <c r="E52" s="12" t="s">
        <v>216</v>
      </c>
      <c r="F52" s="5" t="s">
        <v>335</v>
      </c>
      <c r="G52" s="5" t="s">
        <v>335</v>
      </c>
      <c r="H52" s="16"/>
      <c r="I52" s="18"/>
      <c r="J52" s="5" t="s">
        <v>30</v>
      </c>
      <c r="K52" s="5"/>
      <c r="L52" s="26"/>
      <c r="M52" s="26" t="str">
        <f ca="1">IF(L52="","",DATEDIF(L52,TODAY(),"Y") &amp;" tahun " &amp; DATEDIF(L52,TODAY(),"YM")&amp;" bulan")</f>
        <v/>
      </c>
      <c r="N52" s="5" t="s">
        <v>31</v>
      </c>
      <c r="O52" s="26">
        <v>27088</v>
      </c>
      <c r="P52" s="26" t="str">
        <f ca="1">IF(O52="","",DATEDIF(O52,TODAY(),"Y")&amp;" tahun")</f>
        <v>52 tahun</v>
      </c>
      <c r="Q52" s="5" t="s">
        <v>32</v>
      </c>
      <c r="R52" s="10"/>
      <c r="S52" s="25" t="s">
        <v>250</v>
      </c>
      <c r="T52" s="5" t="s">
        <v>251</v>
      </c>
      <c r="U52" s="5" t="s">
        <v>35</v>
      </c>
      <c r="V52" s="25" t="s">
        <v>252</v>
      </c>
      <c r="W52" s="25"/>
      <c r="X52" s="5"/>
      <c r="Y52" s="25"/>
      <c r="Z52" s="5" t="s">
        <v>253</v>
      </c>
      <c r="AA52" s="9" t="s">
        <v>41</v>
      </c>
      <c r="AB52" s="6"/>
    </row>
    <row r="53" spans="1:28">
      <c r="A53" s="5">
        <f>IF(AA53="aktif",MAX($A$1:A52)+1,"")</f>
        <v>49</v>
      </c>
      <c r="B53" s="25"/>
      <c r="C53" s="15" t="s">
        <v>272</v>
      </c>
      <c r="D53" s="139" t="s">
        <v>78</v>
      </c>
      <c r="E53" s="12" t="s">
        <v>216</v>
      </c>
      <c r="F53" s="5" t="s">
        <v>282</v>
      </c>
      <c r="G53" s="5" t="s">
        <v>282</v>
      </c>
      <c r="I53" s="116"/>
      <c r="J53" s="5" t="s">
        <v>71</v>
      </c>
      <c r="K53" s="5"/>
      <c r="L53" s="26">
        <v>45908</v>
      </c>
      <c r="M53" s="26" t="str">
        <f t="shared" ca="1" si="0"/>
        <v>0 tahun 11 bulan</v>
      </c>
      <c r="N53" s="5" t="s">
        <v>31</v>
      </c>
      <c r="O53" s="26">
        <v>36972</v>
      </c>
      <c r="P53" s="26" t="str">
        <f t="shared" ca="1" si="1"/>
        <v>25 tahun</v>
      </c>
      <c r="Q53" s="5" t="s">
        <v>72</v>
      </c>
      <c r="R53" s="6"/>
      <c r="S53" s="6"/>
      <c r="V53" s="6"/>
      <c r="W53" s="6"/>
      <c r="X53" s="6"/>
      <c r="Y53" s="6"/>
      <c r="Z53" s="6"/>
      <c r="AA53" s="9" t="s">
        <v>41</v>
      </c>
      <c r="AB53" s="6"/>
    </row>
    <row r="54" spans="1:28">
      <c r="A54" s="5">
        <f>IF(AA54="aktif",MAX($A$1:A53)+1,"")</f>
        <v>50</v>
      </c>
      <c r="B54" s="25" t="s">
        <v>273</v>
      </c>
      <c r="C54" s="15" t="s">
        <v>274</v>
      </c>
      <c r="D54" s="139" t="s">
        <v>391</v>
      </c>
      <c r="E54" s="12" t="s">
        <v>275</v>
      </c>
      <c r="F54" s="5"/>
      <c r="G54" s="5"/>
      <c r="H54" s="22"/>
      <c r="I54" s="18"/>
      <c r="J54" s="5" t="s">
        <v>45</v>
      </c>
      <c r="K54" s="5"/>
      <c r="L54" s="26">
        <v>36678</v>
      </c>
      <c r="M54" s="26" t="str">
        <f t="shared" ca="1" si="0"/>
        <v>26 tahun 2 bulan</v>
      </c>
      <c r="N54" s="5" t="s">
        <v>31</v>
      </c>
      <c r="O54" s="26">
        <v>28142</v>
      </c>
      <c r="P54" s="26" t="str">
        <f t="shared" ca="1" si="1"/>
        <v>49 tahun</v>
      </c>
      <c r="Q54" s="5" t="s">
        <v>46</v>
      </c>
      <c r="R54" s="28">
        <v>4856026</v>
      </c>
      <c r="S54" s="25" t="s">
        <v>276</v>
      </c>
      <c r="T54" s="5" t="s">
        <v>277</v>
      </c>
      <c r="U54" s="5" t="s">
        <v>35</v>
      </c>
      <c r="V54" s="25" t="s">
        <v>278</v>
      </c>
      <c r="W54" s="25" t="s">
        <v>279</v>
      </c>
      <c r="X54" s="5"/>
      <c r="Y54" s="25" t="s">
        <v>280</v>
      </c>
      <c r="Z54" s="5"/>
      <c r="AA54" s="9" t="s">
        <v>41</v>
      </c>
      <c r="AB54" s="6"/>
    </row>
    <row r="55" spans="1:28">
      <c r="A55" s="5">
        <f>IF(AA55="aktif",MAX($A$1:A54)+1,"")</f>
        <v>51</v>
      </c>
      <c r="B55" s="25" t="s">
        <v>745</v>
      </c>
      <c r="C55" s="15" t="s">
        <v>746</v>
      </c>
      <c r="D55" s="139" t="s">
        <v>78</v>
      </c>
      <c r="E55" s="12" t="s">
        <v>275</v>
      </c>
      <c r="F55" s="5"/>
      <c r="G55" s="5" t="s">
        <v>282</v>
      </c>
      <c r="H55" s="22"/>
      <c r="I55" s="18"/>
      <c r="J55" s="5" t="s">
        <v>45</v>
      </c>
      <c r="K55" s="5"/>
      <c r="L55" s="26">
        <v>40330</v>
      </c>
      <c r="M55" s="26" t="str">
        <f t="shared" ca="1" si="0"/>
        <v>16 tahun 2 bulan</v>
      </c>
      <c r="N55" s="5" t="s">
        <v>31</v>
      </c>
      <c r="O55" s="26">
        <v>30480</v>
      </c>
      <c r="P55" s="26" t="str">
        <f t="shared" ca="1" si="1"/>
        <v>43 tahun</v>
      </c>
      <c r="Q55" s="5" t="s">
        <v>32</v>
      </c>
      <c r="R55" s="28">
        <v>4856026</v>
      </c>
      <c r="S55" s="25" t="s">
        <v>747</v>
      </c>
      <c r="T55" s="5" t="s">
        <v>748</v>
      </c>
      <c r="U55" s="5" t="s">
        <v>35</v>
      </c>
      <c r="V55" s="25" t="s">
        <v>749</v>
      </c>
      <c r="W55" s="25" t="s">
        <v>750</v>
      </c>
      <c r="X55" s="5"/>
      <c r="Y55" s="25"/>
      <c r="Z55" s="5">
        <v>15047449382</v>
      </c>
      <c r="AA55" s="9" t="s">
        <v>41</v>
      </c>
      <c r="AB55" s="6"/>
    </row>
    <row r="56" spans="1:28">
      <c r="A56" s="5">
        <f>IF(AA56="aktif",MAX($A$1:A55)+1,"")</f>
        <v>52</v>
      </c>
      <c r="B56" s="25"/>
      <c r="C56" s="15" t="s">
        <v>281</v>
      </c>
      <c r="D56" s="139" t="s">
        <v>78</v>
      </c>
      <c r="E56" s="12" t="s">
        <v>275</v>
      </c>
      <c r="F56" s="5"/>
      <c r="G56" s="5" t="s">
        <v>282</v>
      </c>
      <c r="H56" s="22"/>
      <c r="I56" s="18"/>
      <c r="J56" s="5" t="s">
        <v>45</v>
      </c>
      <c r="K56" s="5"/>
      <c r="L56" s="26">
        <v>44348</v>
      </c>
      <c r="M56" s="26" t="str">
        <f t="shared" ca="1" si="0"/>
        <v>5 tahun 2 bulan</v>
      </c>
      <c r="N56" s="5" t="s">
        <v>31</v>
      </c>
      <c r="O56" s="26">
        <v>29833</v>
      </c>
      <c r="P56" s="26" t="str">
        <f t="shared" ca="1" si="1"/>
        <v>44 tahun</v>
      </c>
      <c r="Q56" s="5" t="s">
        <v>32</v>
      </c>
      <c r="R56" s="28">
        <v>4856026</v>
      </c>
      <c r="S56" s="25" t="s">
        <v>283</v>
      </c>
      <c r="T56" s="5" t="s">
        <v>284</v>
      </c>
      <c r="U56" s="5" t="s">
        <v>35</v>
      </c>
      <c r="V56" s="25" t="s">
        <v>285</v>
      </c>
      <c r="W56" s="25" t="s">
        <v>285</v>
      </c>
      <c r="X56" s="5"/>
      <c r="Y56" s="25"/>
      <c r="Z56" s="5"/>
      <c r="AA56" s="9" t="s">
        <v>41</v>
      </c>
      <c r="AB56" s="6"/>
    </row>
    <row r="57" spans="1:28">
      <c r="A57" s="5">
        <f>IF(AA57="aktif",MAX($A$1:A56)+1,"")</f>
        <v>53</v>
      </c>
      <c r="B57" s="25" t="s">
        <v>286</v>
      </c>
      <c r="C57" s="15" t="s">
        <v>287</v>
      </c>
      <c r="D57" s="139" t="s">
        <v>63</v>
      </c>
      <c r="E57" s="12" t="s">
        <v>275</v>
      </c>
      <c r="F57" s="5"/>
      <c r="G57" s="5"/>
      <c r="H57" s="22"/>
      <c r="I57" s="18"/>
      <c r="J57" s="5" t="s">
        <v>45</v>
      </c>
      <c r="K57" s="5"/>
      <c r="L57" s="26">
        <v>41214</v>
      </c>
      <c r="M57" s="26" t="str">
        <f t="shared" ca="1" si="0"/>
        <v>13 tahun 9 bulan</v>
      </c>
      <c r="N57" s="5" t="s">
        <v>31</v>
      </c>
      <c r="O57" s="26">
        <v>33970</v>
      </c>
      <c r="P57" s="26" t="str">
        <f t="shared" ca="1" si="1"/>
        <v>33 tahun</v>
      </c>
      <c r="Q57" s="5" t="s">
        <v>72</v>
      </c>
      <c r="R57" s="28">
        <v>4856026</v>
      </c>
      <c r="S57" s="25" t="s">
        <v>288</v>
      </c>
      <c r="T57" s="5" t="s">
        <v>289</v>
      </c>
      <c r="U57" s="5" t="s">
        <v>35</v>
      </c>
      <c r="V57" s="25" t="s">
        <v>290</v>
      </c>
      <c r="W57" s="25" t="s">
        <v>291</v>
      </c>
      <c r="X57" s="5"/>
      <c r="Y57" s="25"/>
      <c r="Z57" s="5"/>
      <c r="AA57" s="9" t="s">
        <v>41</v>
      </c>
      <c r="AB57" s="6"/>
    </row>
    <row r="58" spans="1:28">
      <c r="A58" s="5">
        <f>IF(AA58="aktif",MAX($A$1:A57)+1,"")</f>
        <v>54</v>
      </c>
      <c r="B58" s="25"/>
      <c r="C58" s="15" t="s">
        <v>292</v>
      </c>
      <c r="D58" s="139" t="s">
        <v>63</v>
      </c>
      <c r="E58" s="12" t="s">
        <v>275</v>
      </c>
      <c r="F58" s="5"/>
      <c r="G58" s="5"/>
      <c r="I58" s="116"/>
      <c r="J58" s="5" t="s">
        <v>45</v>
      </c>
      <c r="K58" s="5"/>
      <c r="L58" s="26">
        <v>45926</v>
      </c>
      <c r="M58" s="26" t="str">
        <f t="shared" ca="1" si="0"/>
        <v>0 tahun 10 bulan</v>
      </c>
      <c r="N58" s="5" t="s">
        <v>31</v>
      </c>
      <c r="O58" s="26">
        <v>37608</v>
      </c>
      <c r="P58" s="26" t="str">
        <f t="shared" ca="1" si="1"/>
        <v>23 tahun</v>
      </c>
      <c r="Q58" s="5" t="s">
        <v>72</v>
      </c>
      <c r="R58" s="6"/>
      <c r="S58" s="3" t="s">
        <v>293</v>
      </c>
      <c r="T58" s="5" t="s">
        <v>294</v>
      </c>
      <c r="U58" s="5" t="s">
        <v>81</v>
      </c>
      <c r="V58" s="27" t="s">
        <v>295</v>
      </c>
      <c r="W58" s="27" t="s">
        <v>296</v>
      </c>
      <c r="X58" s="6"/>
      <c r="Y58" s="6"/>
      <c r="Z58" s="6"/>
      <c r="AA58" s="9" t="s">
        <v>41</v>
      </c>
      <c r="AB58" s="6"/>
    </row>
    <row r="59" spans="1:28">
      <c r="A59" s="5">
        <f>IF(AA59="aktif",MAX($A$1:A58)+1,"")</f>
        <v>55</v>
      </c>
      <c r="B59" s="25" t="s">
        <v>304</v>
      </c>
      <c r="C59" s="15" t="s">
        <v>305</v>
      </c>
      <c r="D59" s="139" t="s">
        <v>63</v>
      </c>
      <c r="E59" s="12" t="s">
        <v>298</v>
      </c>
      <c r="F59" s="5"/>
      <c r="G59" s="5"/>
      <c r="H59" s="16"/>
      <c r="I59" s="18"/>
      <c r="J59" s="5" t="s">
        <v>45</v>
      </c>
      <c r="K59" s="5"/>
      <c r="L59" s="26">
        <v>43101</v>
      </c>
      <c r="M59" s="26" t="str">
        <f ca="1">IF(L59="","",DATEDIF(L59,TODAY(),"Y") &amp;" tahun " &amp; DATEDIF(L59,TODAY(),"YM")&amp;" bulan")</f>
        <v>8 tahun 7 bulan</v>
      </c>
      <c r="N59" s="5" t="s">
        <v>55</v>
      </c>
      <c r="O59" s="26">
        <v>33389</v>
      </c>
      <c r="P59" s="26" t="str">
        <f ca="1">IF(O59="","",DATEDIF(O59,TODAY(),"Y")&amp;" tahun")</f>
        <v>35 tahun</v>
      </c>
      <c r="Q59" s="5" t="s">
        <v>72</v>
      </c>
      <c r="R59" s="28">
        <v>4856026</v>
      </c>
      <c r="S59" s="25" t="s">
        <v>306</v>
      </c>
      <c r="T59" s="5" t="s">
        <v>307</v>
      </c>
      <c r="U59" s="5" t="s">
        <v>35</v>
      </c>
      <c r="V59" s="25" t="s">
        <v>308</v>
      </c>
      <c r="W59" s="25" t="s">
        <v>309</v>
      </c>
      <c r="X59" s="10"/>
      <c r="Y59" s="29" t="s">
        <v>310</v>
      </c>
      <c r="Z59" s="5"/>
      <c r="AA59" s="9" t="s">
        <v>41</v>
      </c>
      <c r="AB59" s="6"/>
    </row>
    <row r="60" spans="1:28">
      <c r="A60" s="5">
        <f>IF(AA60="aktif",MAX($A$1:A59)+1,"")</f>
        <v>56</v>
      </c>
      <c r="B60" s="25" t="s">
        <v>311</v>
      </c>
      <c r="C60" s="15" t="s">
        <v>312</v>
      </c>
      <c r="D60" s="139" t="s">
        <v>78</v>
      </c>
      <c r="E60" s="12" t="s">
        <v>298</v>
      </c>
      <c r="F60" s="5" t="s">
        <v>313</v>
      </c>
      <c r="G60" s="5" t="s">
        <v>313</v>
      </c>
      <c r="H60" s="22"/>
      <c r="I60" s="18"/>
      <c r="J60" s="5" t="s">
        <v>45</v>
      </c>
      <c r="K60" s="5"/>
      <c r="L60" s="26">
        <v>41426</v>
      </c>
      <c r="M60" s="26" t="str">
        <f ca="1">IF(L60="","",DATEDIF(L60,TODAY(),"Y") &amp;" tahun " &amp; DATEDIF(L60,TODAY(),"YM")&amp;" bulan")</f>
        <v>13 tahun 2 bulan</v>
      </c>
      <c r="N60" s="5" t="s">
        <v>31</v>
      </c>
      <c r="O60" s="26">
        <v>29915</v>
      </c>
      <c r="P60" s="26" t="str">
        <f ca="1">IF(O60="","",DATEDIF(O60,TODAY(),"Y")&amp;" tahun")</f>
        <v>44 tahun</v>
      </c>
      <c r="Q60" s="5" t="s">
        <v>32</v>
      </c>
      <c r="R60" s="28">
        <v>4856026</v>
      </c>
      <c r="S60" s="25" t="s">
        <v>314</v>
      </c>
      <c r="T60" s="5" t="s">
        <v>315</v>
      </c>
      <c r="U60" s="5" t="s">
        <v>35</v>
      </c>
      <c r="V60" s="25" t="s">
        <v>316</v>
      </c>
      <c r="W60" s="25" t="s">
        <v>317</v>
      </c>
      <c r="X60" s="5"/>
      <c r="Y60" s="25" t="s">
        <v>318</v>
      </c>
      <c r="Z60" s="5" t="s">
        <v>314</v>
      </c>
      <c r="AA60" s="9" t="s">
        <v>41</v>
      </c>
      <c r="AB60" s="6"/>
    </row>
    <row r="61" spans="1:28">
      <c r="A61" s="5">
        <f>IF(AA61="aktif",MAX($A$1:A60)+1,"")</f>
        <v>57</v>
      </c>
      <c r="B61" s="25" t="s">
        <v>319</v>
      </c>
      <c r="C61" s="15" t="s">
        <v>320</v>
      </c>
      <c r="D61" s="139" t="s">
        <v>78</v>
      </c>
      <c r="E61" s="12" t="s">
        <v>298</v>
      </c>
      <c r="F61" s="5" t="s">
        <v>313</v>
      </c>
      <c r="G61" s="5" t="s">
        <v>313</v>
      </c>
      <c r="H61" s="22"/>
      <c r="I61" s="18"/>
      <c r="J61" s="5" t="s">
        <v>45</v>
      </c>
      <c r="K61" s="5"/>
      <c r="L61" s="26">
        <v>37858</v>
      </c>
      <c r="M61" s="26" t="str">
        <f ca="1">IF(L61="","",DATEDIF(L61,TODAY(),"Y") &amp;" tahun " &amp; DATEDIF(L61,TODAY(),"YM")&amp;" bulan")</f>
        <v>22 tahun 11 bulan</v>
      </c>
      <c r="N61" s="5" t="s">
        <v>31</v>
      </c>
      <c r="O61" s="26">
        <v>37880</v>
      </c>
      <c r="P61" s="26" t="str">
        <f ca="1">IF(O61="","",DATEDIF(O61,TODAY(),"Y")&amp;" tahun")</f>
        <v>22 tahun</v>
      </c>
      <c r="Q61" s="5" t="s">
        <v>46</v>
      </c>
      <c r="R61" s="28">
        <v>4856026</v>
      </c>
      <c r="S61" s="25" t="s">
        <v>321</v>
      </c>
      <c r="T61" s="5" t="s">
        <v>322</v>
      </c>
      <c r="U61" s="5" t="s">
        <v>35</v>
      </c>
      <c r="V61" s="25" t="s">
        <v>323</v>
      </c>
      <c r="W61" s="25" t="s">
        <v>324</v>
      </c>
      <c r="X61" s="5"/>
      <c r="Y61" s="25" t="s">
        <v>325</v>
      </c>
      <c r="Z61" s="5">
        <v>11039391336</v>
      </c>
      <c r="AA61" s="9" t="s">
        <v>41</v>
      </c>
      <c r="AB61" s="6"/>
    </row>
    <row r="62" spans="1:28">
      <c r="A62" s="5">
        <f>IF(AA62="aktif",MAX($A$1:A61)+1,"")</f>
        <v>58</v>
      </c>
      <c r="B62" s="25" t="s">
        <v>326</v>
      </c>
      <c r="C62" s="15" t="s">
        <v>327</v>
      </c>
      <c r="D62" s="139" t="s">
        <v>78</v>
      </c>
      <c r="E62" s="12" t="s">
        <v>298</v>
      </c>
      <c r="F62" s="5" t="s">
        <v>313</v>
      </c>
      <c r="G62" s="5" t="s">
        <v>313</v>
      </c>
      <c r="H62" s="22"/>
      <c r="I62" s="18"/>
      <c r="J62" s="5" t="s">
        <v>45</v>
      </c>
      <c r="K62" s="5"/>
      <c r="L62" s="26">
        <v>39668</v>
      </c>
      <c r="M62" s="26" t="str">
        <f ca="1">IF(L62="","",DATEDIF(L62,TODAY(),"Y") &amp;" tahun " &amp; DATEDIF(L62,TODAY(),"YM")&amp;" bulan")</f>
        <v>18 tahun 0 bulan</v>
      </c>
      <c r="N62" s="5" t="s">
        <v>31</v>
      </c>
      <c r="O62" s="26">
        <v>26737</v>
      </c>
      <c r="P62" s="26" t="str">
        <f ca="1">IF(O62="","",DATEDIF(O62,TODAY(),"Y")&amp;" tahun")</f>
        <v>53 tahun</v>
      </c>
      <c r="Q62" s="5" t="s">
        <v>46</v>
      </c>
      <c r="R62" s="28">
        <v>4856026</v>
      </c>
      <c r="S62" s="25" t="s">
        <v>328</v>
      </c>
      <c r="T62" s="5" t="s">
        <v>329</v>
      </c>
      <c r="U62" s="5" t="s">
        <v>35</v>
      </c>
      <c r="V62" s="25" t="s">
        <v>330</v>
      </c>
      <c r="W62" s="25" t="s">
        <v>331</v>
      </c>
      <c r="X62" s="5"/>
      <c r="Y62" s="25" t="s">
        <v>332</v>
      </c>
      <c r="Z62" s="5">
        <v>15047449465</v>
      </c>
      <c r="AA62" s="9" t="s">
        <v>41</v>
      </c>
      <c r="AB62" s="6"/>
    </row>
    <row r="63" spans="1:28">
      <c r="A63" s="5">
        <f>IF(AA63="aktif",MAX($A$1:A62)+1,"")</f>
        <v>59</v>
      </c>
      <c r="B63" s="25" t="s">
        <v>333</v>
      </c>
      <c r="C63" s="15" t="s">
        <v>334</v>
      </c>
      <c r="D63" s="139" t="s">
        <v>78</v>
      </c>
      <c r="E63" s="12" t="s">
        <v>298</v>
      </c>
      <c r="F63" s="5" t="s">
        <v>335</v>
      </c>
      <c r="G63" s="5" t="s">
        <v>335</v>
      </c>
      <c r="H63" s="22"/>
      <c r="I63" s="18"/>
      <c r="J63" s="5" t="s">
        <v>45</v>
      </c>
      <c r="K63" s="5"/>
      <c r="L63" s="26">
        <v>38621</v>
      </c>
      <c r="M63" s="26" t="str">
        <f ca="1">IF(L63="","",DATEDIF(L63,TODAY(),"Y") &amp;" tahun " &amp; DATEDIF(L63,TODAY(),"YM")&amp;" bulan")</f>
        <v>20 tahun 10 bulan</v>
      </c>
      <c r="N63" s="5" t="s">
        <v>31</v>
      </c>
      <c r="O63" s="26">
        <v>32103</v>
      </c>
      <c r="P63" s="26" t="str">
        <f ca="1">IF(O63="","",DATEDIF(O63,TODAY(),"Y")&amp;" tahun")</f>
        <v>38 tahun</v>
      </c>
      <c r="Q63" s="5"/>
      <c r="R63" s="28">
        <v>4856026</v>
      </c>
      <c r="S63" s="25" t="s">
        <v>336</v>
      </c>
      <c r="T63" s="5" t="s">
        <v>337</v>
      </c>
      <c r="U63" s="5" t="s">
        <v>35</v>
      </c>
      <c r="V63" s="25" t="s">
        <v>338</v>
      </c>
      <c r="W63" s="25" t="s">
        <v>339</v>
      </c>
      <c r="X63" s="5"/>
      <c r="Y63" s="25" t="s">
        <v>340</v>
      </c>
      <c r="Z63" s="5"/>
      <c r="AA63" s="9" t="s">
        <v>41</v>
      </c>
      <c r="AB63" s="6"/>
    </row>
    <row r="64" spans="1:28">
      <c r="A64" s="5">
        <f>IF(AA64="aktif",MAX($A$1:A63)+1,"")</f>
        <v>60</v>
      </c>
      <c r="B64" s="25"/>
      <c r="C64" s="15" t="s">
        <v>353</v>
      </c>
      <c r="D64" s="139" t="s">
        <v>78</v>
      </c>
      <c r="E64" s="12" t="s">
        <v>298</v>
      </c>
      <c r="F64" s="5" t="s">
        <v>1092</v>
      </c>
      <c r="G64" s="5" t="s">
        <v>282</v>
      </c>
      <c r="H64" s="22"/>
      <c r="I64" s="18"/>
      <c r="J64" s="5" t="s">
        <v>71</v>
      </c>
      <c r="K64" s="5"/>
      <c r="L64" s="26">
        <v>45232</v>
      </c>
      <c r="M64" s="26" t="str">
        <f t="shared" ca="1" si="0"/>
        <v>2 tahun 9 bulan</v>
      </c>
      <c r="N64" s="5" t="s">
        <v>31</v>
      </c>
      <c r="O64" s="26">
        <v>38014</v>
      </c>
      <c r="P64" s="26" t="str">
        <f t="shared" ca="1" si="1"/>
        <v>22 tahun</v>
      </c>
      <c r="Q64" s="5" t="s">
        <v>32</v>
      </c>
      <c r="R64" s="28">
        <v>3500000</v>
      </c>
      <c r="S64" s="25" t="s">
        <v>354</v>
      </c>
      <c r="T64" s="5" t="s">
        <v>355</v>
      </c>
      <c r="U64" s="5" t="s">
        <v>165</v>
      </c>
      <c r="V64" s="25" t="s">
        <v>356</v>
      </c>
      <c r="W64" s="25" t="s">
        <v>357</v>
      </c>
      <c r="X64" s="5"/>
      <c r="Y64" s="25"/>
      <c r="Z64" s="5"/>
      <c r="AA64" s="9" t="s">
        <v>41</v>
      </c>
      <c r="AB64" s="6"/>
    </row>
    <row r="65" spans="1:28">
      <c r="A65" s="5">
        <f>IF(AA65="aktif",MAX($A$1:A64)+1,"")</f>
        <v>61</v>
      </c>
      <c r="B65" s="25"/>
      <c r="C65" s="15" t="s">
        <v>358</v>
      </c>
      <c r="D65" s="139" t="s">
        <v>78</v>
      </c>
      <c r="E65" s="12" t="s">
        <v>298</v>
      </c>
      <c r="F65" s="5" t="s">
        <v>282</v>
      </c>
      <c r="G65" s="5" t="s">
        <v>282</v>
      </c>
      <c r="H65" s="22"/>
      <c r="I65" s="18"/>
      <c r="J65" s="5" t="s">
        <v>71</v>
      </c>
      <c r="K65" s="5"/>
      <c r="L65" s="26">
        <v>43983</v>
      </c>
      <c r="M65" s="26" t="str">
        <f t="shared" ca="1" si="0"/>
        <v>6 tahun 2 bulan</v>
      </c>
      <c r="N65" s="5" t="s">
        <v>31</v>
      </c>
      <c r="O65" s="26">
        <v>36558</v>
      </c>
      <c r="P65" s="26" t="str">
        <f t="shared" ca="1" si="1"/>
        <v>26 tahun</v>
      </c>
      <c r="Q65" s="5" t="s">
        <v>46</v>
      </c>
      <c r="R65" s="5"/>
      <c r="S65" s="25" t="s">
        <v>359</v>
      </c>
      <c r="T65" s="5" t="s">
        <v>360</v>
      </c>
      <c r="U65" s="5" t="s">
        <v>35</v>
      </c>
      <c r="V65" s="25" t="s">
        <v>361</v>
      </c>
      <c r="W65" s="25" t="s">
        <v>362</v>
      </c>
      <c r="X65" s="5"/>
      <c r="Y65" s="25" t="s">
        <v>363</v>
      </c>
      <c r="Z65" s="5"/>
      <c r="AA65" s="9" t="s">
        <v>41</v>
      </c>
      <c r="AB65" s="6"/>
    </row>
    <row r="66" spans="1:28">
      <c r="A66" s="5">
        <f>IF(AA66="aktif",MAX($A$1:A65)+1,"")</f>
        <v>62</v>
      </c>
      <c r="B66" s="25"/>
      <c r="C66" s="15" t="s">
        <v>341</v>
      </c>
      <c r="D66" s="139" t="s">
        <v>78</v>
      </c>
      <c r="E66" s="12" t="s">
        <v>298</v>
      </c>
      <c r="F66" s="5" t="s">
        <v>335</v>
      </c>
      <c r="G66" s="5" t="s">
        <v>335</v>
      </c>
      <c r="H66" s="22"/>
      <c r="I66" s="18"/>
      <c r="J66" s="5" t="s">
        <v>71</v>
      </c>
      <c r="K66" s="5"/>
      <c r="L66" s="26">
        <v>45680</v>
      </c>
      <c r="M66" s="26" t="str">
        <f t="shared" ref="M66:M76" ca="1" si="4">IF(L66="","",DATEDIF(L66,TODAY(),"Y") &amp;" tahun " &amp; DATEDIF(L66,TODAY(),"YM")&amp;" bulan")</f>
        <v>1 tahun 6 bulan</v>
      </c>
      <c r="N66" s="5" t="s">
        <v>31</v>
      </c>
      <c r="O66" s="26">
        <v>30182</v>
      </c>
      <c r="P66" s="26" t="str">
        <f t="shared" ca="1" si="1"/>
        <v>43 tahun</v>
      </c>
      <c r="Q66" s="5" t="s">
        <v>46</v>
      </c>
      <c r="R66" s="28">
        <v>4565000</v>
      </c>
      <c r="S66" s="25" t="s">
        <v>342</v>
      </c>
      <c r="T66" s="5" t="s">
        <v>343</v>
      </c>
      <c r="U66" s="5" t="s">
        <v>35</v>
      </c>
      <c r="V66" s="25" t="s">
        <v>344</v>
      </c>
      <c r="W66" s="25" t="s">
        <v>345</v>
      </c>
      <c r="X66" s="5"/>
      <c r="Y66" s="25" t="s">
        <v>346</v>
      </c>
      <c r="Z66" s="5"/>
      <c r="AA66" s="9" t="s">
        <v>41</v>
      </c>
      <c r="AB66" s="6"/>
    </row>
    <row r="67" spans="1:28">
      <c r="A67" s="5">
        <f>IF(AA67="aktif",MAX($A$1:A66)+1,"")</f>
        <v>63</v>
      </c>
      <c r="B67" s="25"/>
      <c r="C67" s="15" t="s">
        <v>364</v>
      </c>
      <c r="D67" s="139" t="s">
        <v>78</v>
      </c>
      <c r="E67" s="12" t="s">
        <v>298</v>
      </c>
      <c r="F67" s="5" t="s">
        <v>282</v>
      </c>
      <c r="G67" s="5" t="s">
        <v>282</v>
      </c>
      <c r="H67" s="22"/>
      <c r="I67" s="18"/>
      <c r="J67" s="5" t="s">
        <v>71</v>
      </c>
      <c r="K67" s="5"/>
      <c r="L67" s="26">
        <v>45478</v>
      </c>
      <c r="M67" s="26" t="str">
        <f t="shared" ca="1" si="4"/>
        <v>2 tahun 1 bulan</v>
      </c>
      <c r="N67" s="5" t="s">
        <v>31</v>
      </c>
      <c r="O67" s="26">
        <v>37846</v>
      </c>
      <c r="P67" s="26" t="str">
        <f t="shared" ca="1" si="1"/>
        <v>22 tahun</v>
      </c>
      <c r="Q67" s="5" t="s">
        <v>46</v>
      </c>
      <c r="R67" s="5"/>
      <c r="S67" s="25" t="s">
        <v>365</v>
      </c>
      <c r="T67" s="5" t="s">
        <v>366</v>
      </c>
      <c r="U67" s="5" t="s">
        <v>35</v>
      </c>
      <c r="V67" s="25" t="s">
        <v>367</v>
      </c>
      <c r="W67" s="25"/>
      <c r="X67" s="5"/>
      <c r="Y67" s="25"/>
      <c r="Z67" s="5"/>
      <c r="AA67" s="9" t="s">
        <v>41</v>
      </c>
      <c r="AB67" s="6"/>
    </row>
    <row r="68" spans="1:28">
      <c r="A68" s="5">
        <f>IF(AA68="aktif",MAX($A$1:A67)+1,"")</f>
        <v>64</v>
      </c>
      <c r="B68" s="25"/>
      <c r="C68" s="15" t="s">
        <v>347</v>
      </c>
      <c r="D68" s="139" t="s">
        <v>78</v>
      </c>
      <c r="E68" s="12" t="s">
        <v>298</v>
      </c>
      <c r="F68" s="5" t="s">
        <v>335</v>
      </c>
      <c r="G68" s="5" t="s">
        <v>335</v>
      </c>
      <c r="H68" s="110"/>
      <c r="I68" s="117"/>
      <c r="J68" s="5" t="s">
        <v>71</v>
      </c>
      <c r="K68" s="5"/>
      <c r="L68" s="26"/>
      <c r="M68" s="26" t="str">
        <f t="shared" ca="1" si="4"/>
        <v/>
      </c>
      <c r="N68" s="5"/>
      <c r="O68" s="26"/>
      <c r="P68" s="26" t="str">
        <f t="shared" ca="1" si="1"/>
        <v/>
      </c>
      <c r="Q68" s="5"/>
      <c r="R68" s="9"/>
      <c r="S68" s="27"/>
      <c r="V68" s="27"/>
      <c r="W68" s="27"/>
      <c r="X68" s="9"/>
      <c r="Y68" s="27"/>
      <c r="Z68" s="9"/>
      <c r="AA68" s="9" t="s">
        <v>41</v>
      </c>
      <c r="AB68" s="6"/>
    </row>
    <row r="69" spans="1:28">
      <c r="A69" s="5">
        <f>IF(AA69="aktif",MAX($A$1:A68)+1,"")</f>
        <v>65</v>
      </c>
      <c r="B69" s="25"/>
      <c r="C69" s="15" t="s">
        <v>297</v>
      </c>
      <c r="D69" s="139" t="s">
        <v>54</v>
      </c>
      <c r="E69" s="12" t="s">
        <v>298</v>
      </c>
      <c r="F69" s="5"/>
      <c r="G69" s="5"/>
      <c r="I69" s="116"/>
      <c r="J69" s="5" t="s">
        <v>71</v>
      </c>
      <c r="K69" s="5"/>
      <c r="L69" s="26">
        <v>45852</v>
      </c>
      <c r="M69" s="26" t="str">
        <f t="shared" ca="1" si="4"/>
        <v>1 tahun 0 bulan</v>
      </c>
      <c r="N69" s="5" t="s">
        <v>31</v>
      </c>
      <c r="O69" s="26">
        <v>35683</v>
      </c>
      <c r="P69" s="26" t="str">
        <f t="shared" ref="P69:P162" ca="1" si="5">IF(O69="","",DATEDIF(O69,TODAY(),"Y")&amp;" tahun")</f>
        <v>28 tahun</v>
      </c>
      <c r="Q69" s="5" t="s">
        <v>299</v>
      </c>
      <c r="R69" s="3"/>
      <c r="S69" s="3" t="s">
        <v>300</v>
      </c>
      <c r="T69" s="5" t="s">
        <v>301</v>
      </c>
      <c r="U69" s="5" t="s">
        <v>302</v>
      </c>
      <c r="V69" s="30"/>
      <c r="W69" s="30"/>
      <c r="X69" s="3"/>
      <c r="Y69" s="3"/>
      <c r="Z69" s="3"/>
      <c r="AA69" s="9" t="s">
        <v>41</v>
      </c>
      <c r="AB69" s="30" t="s">
        <v>303</v>
      </c>
    </row>
    <row r="70" spans="1:28">
      <c r="A70" s="5">
        <f>IF(AA70="aktif",MAX($A$1:A69)+1,"")</f>
        <v>66</v>
      </c>
      <c r="B70" s="25"/>
      <c r="C70" s="15" t="s">
        <v>383</v>
      </c>
      <c r="D70" s="139" t="s">
        <v>78</v>
      </c>
      <c r="E70" s="12" t="s">
        <v>298</v>
      </c>
      <c r="F70" s="5" t="s">
        <v>369</v>
      </c>
      <c r="G70" s="5" t="s">
        <v>369</v>
      </c>
      <c r="H70" s="16"/>
      <c r="I70" s="18"/>
      <c r="J70" s="5" t="s">
        <v>71</v>
      </c>
      <c r="K70" s="5"/>
      <c r="L70" s="26">
        <v>45078</v>
      </c>
      <c r="M70" s="26" t="str">
        <f t="shared" ca="1" si="4"/>
        <v>3 tahun 2 bulan</v>
      </c>
      <c r="N70" s="5" t="s">
        <v>31</v>
      </c>
      <c r="O70" s="26">
        <v>37265</v>
      </c>
      <c r="P70" s="26" t="str">
        <f t="shared" ca="1" si="5"/>
        <v>24 tahun</v>
      </c>
      <c r="Q70" s="5" t="s">
        <v>46</v>
      </c>
      <c r="R70" s="28">
        <v>4568759</v>
      </c>
      <c r="S70" s="25" t="s">
        <v>384</v>
      </c>
      <c r="T70" s="5" t="s">
        <v>385</v>
      </c>
      <c r="U70" s="5" t="s">
        <v>165</v>
      </c>
      <c r="V70" s="25" t="s">
        <v>386</v>
      </c>
      <c r="W70" s="25" t="s">
        <v>387</v>
      </c>
      <c r="X70" s="10"/>
      <c r="Y70" s="25" t="s">
        <v>388</v>
      </c>
      <c r="Z70" s="5"/>
      <c r="AA70" s="9" t="s">
        <v>41</v>
      </c>
      <c r="AB70" s="6"/>
    </row>
    <row r="71" spans="1:28" hidden="1">
      <c r="A71" s="5" t="str">
        <f>IF(AA71="aktif",MAX($A$1:A70)+1,"")</f>
        <v/>
      </c>
      <c r="B71" s="25"/>
      <c r="C71" s="5" t="s">
        <v>368</v>
      </c>
      <c r="D71" s="152" t="s">
        <v>115</v>
      </c>
      <c r="E71" s="7" t="s">
        <v>298</v>
      </c>
      <c r="F71" s="5" t="s">
        <v>369</v>
      </c>
      <c r="G71" s="5" t="s">
        <v>369</v>
      </c>
      <c r="H71" s="132"/>
      <c r="I71" s="5"/>
      <c r="J71" s="5" t="s">
        <v>71</v>
      </c>
      <c r="K71" s="5"/>
      <c r="L71" s="26">
        <v>41061</v>
      </c>
      <c r="M71" s="26" t="str">
        <f t="shared" ca="1" si="4"/>
        <v>14 tahun 2 bulan</v>
      </c>
      <c r="N71" s="5" t="s">
        <v>31</v>
      </c>
      <c r="O71" s="26">
        <v>33894</v>
      </c>
      <c r="P71" s="26" t="str">
        <f t="shared" ca="1" si="5"/>
        <v>33 tahun</v>
      </c>
      <c r="Q71" s="5" t="s">
        <v>32</v>
      </c>
      <c r="R71" s="5"/>
      <c r="S71" s="25" t="s">
        <v>370</v>
      </c>
      <c r="T71" s="5" t="s">
        <v>371</v>
      </c>
      <c r="U71" s="5" t="s">
        <v>35</v>
      </c>
      <c r="V71" s="25"/>
      <c r="W71" s="25"/>
      <c r="X71" s="5"/>
      <c r="Y71" s="25"/>
      <c r="Z71" s="5"/>
      <c r="AA71" s="9" t="s">
        <v>372</v>
      </c>
      <c r="AB71" s="6"/>
    </row>
    <row r="72" spans="1:28">
      <c r="A72" s="5">
        <f>IF(AA72="aktif",MAX($A$1:A71)+1,"")</f>
        <v>67</v>
      </c>
      <c r="B72" s="25"/>
      <c r="C72" s="15" t="s">
        <v>373</v>
      </c>
      <c r="D72" s="139" t="s">
        <v>78</v>
      </c>
      <c r="E72" s="12" t="s">
        <v>298</v>
      </c>
      <c r="F72" s="5"/>
      <c r="G72" s="5"/>
      <c r="H72" s="16"/>
      <c r="I72" s="18"/>
      <c r="J72" s="5" t="s">
        <v>71</v>
      </c>
      <c r="K72" s="5"/>
      <c r="L72" s="26"/>
      <c r="M72" s="26" t="str">
        <f t="shared" ca="1" si="4"/>
        <v/>
      </c>
      <c r="N72" s="5" t="s">
        <v>31</v>
      </c>
      <c r="O72" s="26">
        <v>33384</v>
      </c>
      <c r="P72" s="26" t="str">
        <f t="shared" ca="1" si="5"/>
        <v>35 tahun</v>
      </c>
      <c r="Q72" s="5" t="s">
        <v>46</v>
      </c>
      <c r="R72" s="28">
        <v>4200000</v>
      </c>
      <c r="S72" s="25" t="s">
        <v>374</v>
      </c>
      <c r="T72" s="5" t="s">
        <v>375</v>
      </c>
      <c r="U72" s="5" t="s">
        <v>35</v>
      </c>
      <c r="V72" s="25" t="s">
        <v>376</v>
      </c>
      <c r="W72" s="25" t="s">
        <v>377</v>
      </c>
      <c r="X72" s="5"/>
      <c r="Y72" s="25"/>
      <c r="Z72" s="5"/>
      <c r="AA72" s="9" t="s">
        <v>41</v>
      </c>
      <c r="AB72" s="6"/>
    </row>
    <row r="73" spans="1:28">
      <c r="A73" s="5">
        <f>IF(AA73="aktif",MAX($A$1:A72)+1,"")</f>
        <v>68</v>
      </c>
      <c r="B73" s="25"/>
      <c r="C73" s="15" t="s">
        <v>348</v>
      </c>
      <c r="D73" s="139" t="s">
        <v>78</v>
      </c>
      <c r="E73" s="12" t="s">
        <v>298</v>
      </c>
      <c r="F73" s="5" t="s">
        <v>335</v>
      </c>
      <c r="G73" s="5" t="s">
        <v>335</v>
      </c>
      <c r="H73" s="16"/>
      <c r="I73" s="18"/>
      <c r="J73" s="5" t="s">
        <v>71</v>
      </c>
      <c r="K73" s="5"/>
      <c r="L73" s="26"/>
      <c r="M73" s="26" t="str">
        <f t="shared" ca="1" si="4"/>
        <v/>
      </c>
      <c r="N73" s="5" t="s">
        <v>31</v>
      </c>
      <c r="O73" s="26">
        <v>34690</v>
      </c>
      <c r="P73" s="26" t="str">
        <f t="shared" ca="1" si="5"/>
        <v>31 tahun</v>
      </c>
      <c r="Q73" s="5" t="s">
        <v>32</v>
      </c>
      <c r="R73" s="28">
        <v>4500000</v>
      </c>
      <c r="S73" s="25" t="s">
        <v>349</v>
      </c>
      <c r="T73" s="5" t="s">
        <v>350</v>
      </c>
      <c r="U73" s="5" t="s">
        <v>35</v>
      </c>
      <c r="V73" s="25" t="s">
        <v>351</v>
      </c>
      <c r="W73" s="25" t="s">
        <v>352</v>
      </c>
      <c r="X73" s="5"/>
      <c r="Y73" s="25"/>
      <c r="Z73" s="5"/>
      <c r="AA73" s="9" t="s">
        <v>41</v>
      </c>
      <c r="AB73" s="6"/>
    </row>
    <row r="74" spans="1:28">
      <c r="A74" s="5"/>
      <c r="B74" s="25"/>
      <c r="C74" s="15" t="s">
        <v>389</v>
      </c>
      <c r="D74" s="139" t="s">
        <v>78</v>
      </c>
      <c r="E74" s="12" t="s">
        <v>298</v>
      </c>
      <c r="F74" s="5"/>
      <c r="G74" s="5"/>
      <c r="H74" s="14"/>
      <c r="I74" s="5"/>
      <c r="J74" s="5" t="s">
        <v>71</v>
      </c>
      <c r="K74" s="5"/>
      <c r="L74" s="26"/>
      <c r="M74" s="26"/>
      <c r="N74" s="5"/>
      <c r="O74" s="26"/>
      <c r="P74" s="26"/>
      <c r="Q74" s="5"/>
      <c r="R74" s="28"/>
      <c r="S74" s="25"/>
      <c r="V74" s="25"/>
      <c r="W74" s="25"/>
      <c r="X74" s="5"/>
      <c r="Y74" s="25"/>
      <c r="Z74" s="5"/>
      <c r="AA74" s="9"/>
      <c r="AB74" s="6"/>
    </row>
    <row r="75" spans="1:28">
      <c r="A75" s="5"/>
      <c r="B75" s="25"/>
      <c r="C75" s="15" t="s">
        <v>378</v>
      </c>
      <c r="D75" s="139" t="s">
        <v>78</v>
      </c>
      <c r="E75" s="12" t="s">
        <v>298</v>
      </c>
      <c r="F75" s="5"/>
      <c r="G75" s="5"/>
      <c r="H75" s="5"/>
      <c r="I75" s="5"/>
      <c r="J75" s="5" t="s">
        <v>71</v>
      </c>
      <c r="K75" s="5"/>
      <c r="L75" s="26"/>
      <c r="M75" s="26"/>
      <c r="N75" s="5"/>
      <c r="O75" s="26"/>
      <c r="P75" s="26"/>
      <c r="Q75" s="5"/>
      <c r="R75" s="28"/>
      <c r="S75" s="25"/>
      <c r="V75" s="25"/>
      <c r="W75" s="25"/>
      <c r="X75" s="5"/>
      <c r="Y75" s="25"/>
      <c r="Z75" s="5"/>
      <c r="AA75" s="9"/>
      <c r="AB75" s="6"/>
    </row>
    <row r="76" spans="1:28" hidden="1">
      <c r="A76" s="5" t="str">
        <f>IF(AA76="aktif",MAX($A$1:A73)+1,"")</f>
        <v/>
      </c>
      <c r="B76" s="25"/>
      <c r="C76" s="5" t="s">
        <v>379</v>
      </c>
      <c r="D76" s="152" t="s">
        <v>115</v>
      </c>
      <c r="E76" s="7" t="s">
        <v>298</v>
      </c>
      <c r="F76" s="5" t="s">
        <v>282</v>
      </c>
      <c r="G76" s="5" t="s">
        <v>282</v>
      </c>
      <c r="H76" s="6"/>
      <c r="I76" s="33"/>
      <c r="J76" s="5" t="s">
        <v>71</v>
      </c>
      <c r="K76" s="5"/>
      <c r="L76" s="26">
        <v>45957</v>
      </c>
      <c r="M76" s="26" t="str">
        <f t="shared" ca="1" si="4"/>
        <v>0 tahun 9 bulan</v>
      </c>
      <c r="N76" s="5" t="s">
        <v>31</v>
      </c>
      <c r="O76" s="26">
        <v>38173</v>
      </c>
      <c r="P76" s="26" t="str">
        <f t="shared" ca="1" si="5"/>
        <v>22 tahun</v>
      </c>
      <c r="Q76" s="5" t="s">
        <v>46</v>
      </c>
      <c r="R76" s="33"/>
      <c r="S76" s="33" t="s">
        <v>380</v>
      </c>
      <c r="T76" s="5" t="s">
        <v>381</v>
      </c>
      <c r="U76" s="5" t="s">
        <v>81</v>
      </c>
      <c r="V76" s="34" t="s">
        <v>382</v>
      </c>
      <c r="W76" s="34"/>
      <c r="X76" s="5"/>
      <c r="Y76" s="25"/>
      <c r="Z76" s="5"/>
      <c r="AA76" s="9" t="s">
        <v>372</v>
      </c>
      <c r="AB76" s="6"/>
    </row>
    <row r="77" spans="1:28">
      <c r="A77" s="5"/>
      <c r="B77" s="25"/>
      <c r="C77" s="15" t="s">
        <v>390</v>
      </c>
      <c r="D77" s="139" t="s">
        <v>391</v>
      </c>
      <c r="E77" s="18" t="s">
        <v>392</v>
      </c>
      <c r="F77" s="5"/>
      <c r="G77" s="5"/>
      <c r="H77" s="6"/>
      <c r="I77" s="33"/>
      <c r="J77" s="5"/>
      <c r="K77" s="5"/>
      <c r="L77" s="26"/>
      <c r="M77" s="26"/>
      <c r="N77" s="5"/>
      <c r="O77" s="26"/>
      <c r="P77" s="26"/>
      <c r="Q77" s="5"/>
      <c r="R77" s="33"/>
      <c r="S77" s="33"/>
      <c r="V77" s="34"/>
      <c r="W77" s="34"/>
      <c r="X77" s="5"/>
      <c r="Y77" s="25"/>
      <c r="Z77" s="5"/>
      <c r="AA77" s="9"/>
      <c r="AB77" s="6"/>
    </row>
    <row r="78" spans="1:28">
      <c r="A78" s="5"/>
      <c r="B78" s="25"/>
      <c r="C78" s="15" t="s">
        <v>393</v>
      </c>
      <c r="D78" s="139" t="s">
        <v>54</v>
      </c>
      <c r="E78" s="18" t="s">
        <v>392</v>
      </c>
      <c r="F78" s="5"/>
      <c r="G78" s="5"/>
      <c r="H78" s="21"/>
      <c r="I78" s="33"/>
      <c r="J78" s="5"/>
      <c r="K78" s="5"/>
      <c r="L78" s="26"/>
      <c r="M78" s="26"/>
      <c r="N78" s="5"/>
      <c r="O78" s="26"/>
      <c r="P78" s="26"/>
      <c r="Q78" s="5"/>
      <c r="R78" s="33"/>
      <c r="S78" s="33"/>
      <c r="V78" s="34"/>
      <c r="W78" s="34"/>
      <c r="X78" s="5"/>
      <c r="Y78" s="25"/>
      <c r="Z78" s="5"/>
      <c r="AA78" s="9"/>
      <c r="AB78" s="6"/>
    </row>
    <row r="79" spans="1:28">
      <c r="A79" s="5">
        <f>IF(AA79="aktif",MAX($A$1:A76)+1,"")</f>
        <v>69</v>
      </c>
      <c r="B79" s="25"/>
      <c r="C79" s="15" t="s">
        <v>394</v>
      </c>
      <c r="D79" s="139" t="s">
        <v>54</v>
      </c>
      <c r="E79" s="18" t="s">
        <v>392</v>
      </c>
      <c r="F79" s="5"/>
      <c r="G79" s="5"/>
      <c r="H79" s="16"/>
      <c r="I79" s="18"/>
      <c r="J79" s="5" t="s">
        <v>45</v>
      </c>
      <c r="K79" s="5"/>
      <c r="L79" s="26">
        <v>45659</v>
      </c>
      <c r="M79" s="26" t="str">
        <f ca="1">DATEDIF(L79,TODAY(),"Y") &amp;" tahun " &amp; DATEDIF(L79,TODAY(),"YM")&amp;" bulan"</f>
        <v>1 tahun 7 bulan</v>
      </c>
      <c r="N79" s="5" t="s">
        <v>55</v>
      </c>
      <c r="O79" s="26"/>
      <c r="P79" s="26" t="str">
        <f t="shared" ca="1" si="5"/>
        <v/>
      </c>
      <c r="Q79" s="5" t="s">
        <v>72</v>
      </c>
      <c r="R79" s="9"/>
      <c r="S79" s="27"/>
      <c r="U79" s="5" t="s">
        <v>81</v>
      </c>
      <c r="V79" s="27"/>
      <c r="W79" s="27"/>
      <c r="X79" s="9"/>
      <c r="Y79" s="27"/>
      <c r="Z79" s="9"/>
      <c r="AA79" s="9" t="s">
        <v>41</v>
      </c>
      <c r="AB79" s="6"/>
    </row>
    <row r="80" spans="1:28">
      <c r="A80" s="5"/>
      <c r="B80" s="25"/>
      <c r="C80" s="15" t="s">
        <v>395</v>
      </c>
      <c r="D80" s="139" t="s">
        <v>54</v>
      </c>
      <c r="E80" s="18" t="s">
        <v>392</v>
      </c>
      <c r="F80" s="5"/>
      <c r="G80" s="5" t="s">
        <v>2224</v>
      </c>
      <c r="H80" s="14"/>
      <c r="I80" s="5"/>
      <c r="J80" s="5"/>
      <c r="K80" s="5"/>
      <c r="L80" s="26"/>
      <c r="M80" s="26"/>
      <c r="N80" s="5"/>
      <c r="O80" s="26"/>
      <c r="P80" s="26"/>
      <c r="Q80" s="5"/>
      <c r="R80" s="9"/>
      <c r="S80" s="27"/>
      <c r="V80" s="27"/>
      <c r="W80" s="27"/>
      <c r="X80" s="9"/>
      <c r="Y80" s="27"/>
      <c r="Z80" s="9"/>
      <c r="AA80" s="9"/>
      <c r="AB80" s="6"/>
    </row>
    <row r="81" spans="1:33" hidden="1">
      <c r="A81" s="5" t="str">
        <f>IF(AA81="aktif",MAX($A$1:A79)+1,"")</f>
        <v/>
      </c>
      <c r="B81" s="25"/>
      <c r="C81" s="5" t="s">
        <v>396</v>
      </c>
      <c r="D81" s="114" t="s">
        <v>115</v>
      </c>
      <c r="E81" s="5" t="s">
        <v>392</v>
      </c>
      <c r="F81" s="5"/>
      <c r="G81" s="5"/>
      <c r="H81" s="5"/>
      <c r="I81" s="5"/>
      <c r="J81" s="5" t="s">
        <v>45</v>
      </c>
      <c r="K81" s="5"/>
      <c r="L81" s="26">
        <v>45691</v>
      </c>
      <c r="M81" s="26" t="str">
        <f ca="1">DATEDIF(L81,TODAY(),"Y") &amp;" tahun " &amp; DATEDIF(L81,TODAY(),"YM")&amp;" bulan"</f>
        <v>1 tahun 6 bulan</v>
      </c>
      <c r="N81" s="5" t="s">
        <v>55</v>
      </c>
      <c r="O81" s="26">
        <v>34681</v>
      </c>
      <c r="P81" s="26" t="str">
        <f t="shared" ca="1" si="5"/>
        <v>31 tahun</v>
      </c>
      <c r="Q81" s="5" t="s">
        <v>72</v>
      </c>
      <c r="R81" s="9"/>
      <c r="S81" s="27"/>
      <c r="U81" s="5" t="s">
        <v>81</v>
      </c>
      <c r="V81" s="27"/>
      <c r="W81" s="27"/>
      <c r="X81" s="9"/>
      <c r="Y81" s="27"/>
      <c r="Z81" s="9"/>
      <c r="AA81" s="9" t="s">
        <v>372</v>
      </c>
      <c r="AB81" s="6"/>
    </row>
    <row r="82" spans="1:33" hidden="1">
      <c r="A82" s="5" t="str">
        <f>IF(AA82="aktif",MAX($A$1:A81)+1,"")</f>
        <v/>
      </c>
      <c r="B82" s="25"/>
      <c r="C82" s="5" t="s">
        <v>397</v>
      </c>
      <c r="D82" s="17" t="s">
        <v>115</v>
      </c>
      <c r="E82" s="5" t="s">
        <v>392</v>
      </c>
      <c r="F82" s="5"/>
      <c r="G82" s="5"/>
      <c r="H82" s="5"/>
      <c r="I82" s="5"/>
      <c r="J82" s="5" t="s">
        <v>45</v>
      </c>
      <c r="K82" s="5"/>
      <c r="L82" s="26">
        <v>45810</v>
      </c>
      <c r="M82" s="26" t="str">
        <f ca="1">DATEDIF(L82,TODAY(),"Y") &amp;" tahun " &amp; DATEDIF(L82,TODAY(),"YM")&amp;" bulan"</f>
        <v>1 tahun 2 bulan</v>
      </c>
      <c r="N82" s="5" t="s">
        <v>55</v>
      </c>
      <c r="O82" s="26">
        <v>37237</v>
      </c>
      <c r="P82" s="26" t="str">
        <f t="shared" ca="1" si="5"/>
        <v>24 tahun</v>
      </c>
      <c r="Q82" s="5" t="s">
        <v>72</v>
      </c>
      <c r="R82" s="9"/>
      <c r="S82" s="27"/>
      <c r="U82" s="5" t="s">
        <v>81</v>
      </c>
      <c r="V82" s="27"/>
      <c r="W82" s="27"/>
      <c r="X82" s="9"/>
      <c r="Y82" s="27"/>
      <c r="Z82" s="9"/>
      <c r="AA82" s="9" t="s">
        <v>372</v>
      </c>
      <c r="AB82" s="6" t="s">
        <v>398</v>
      </c>
    </row>
    <row r="83" spans="1:33" hidden="1">
      <c r="A83" s="5" t="str">
        <f>IF(AA83="aktif",MAX($A$1:A82)+1,"")</f>
        <v/>
      </c>
      <c r="B83" s="25" t="s">
        <v>399</v>
      </c>
      <c r="C83" s="5" t="s">
        <v>400</v>
      </c>
      <c r="D83" s="113" t="s">
        <v>115</v>
      </c>
      <c r="E83" s="5" t="s">
        <v>392</v>
      </c>
      <c r="F83" s="5" t="s">
        <v>401</v>
      </c>
      <c r="G83" s="5" t="s">
        <v>401</v>
      </c>
      <c r="H83" s="13"/>
      <c r="I83" s="5"/>
      <c r="J83" s="5" t="s">
        <v>30</v>
      </c>
      <c r="K83" s="5"/>
      <c r="L83" s="26">
        <v>37683</v>
      </c>
      <c r="M83" s="26" t="str">
        <f ca="1">IF(L83="","",DATEDIF(L83,TODAY(),"Y") &amp;" tahun " &amp; DATEDIF(L83,TODAY(),"YM")&amp;" bulan")</f>
        <v>23 tahun 5 bulan</v>
      </c>
      <c r="N83" s="5" t="s">
        <v>31</v>
      </c>
      <c r="O83" s="26">
        <v>25344</v>
      </c>
      <c r="P83" s="26" t="str">
        <f t="shared" ca="1" si="5"/>
        <v>57 tahun</v>
      </c>
      <c r="Q83" s="5" t="s">
        <v>32</v>
      </c>
      <c r="R83" s="35">
        <v>4700000</v>
      </c>
      <c r="S83" s="25" t="s">
        <v>402</v>
      </c>
      <c r="T83" s="5" t="s">
        <v>403</v>
      </c>
      <c r="U83" s="5" t="s">
        <v>35</v>
      </c>
      <c r="V83" s="25" t="s">
        <v>404</v>
      </c>
      <c r="W83" s="25" t="s">
        <v>405</v>
      </c>
      <c r="X83" s="5">
        <v>868363318624000</v>
      </c>
      <c r="Y83" s="25" t="s">
        <v>406</v>
      </c>
      <c r="Z83" s="5" t="s">
        <v>406</v>
      </c>
      <c r="AA83" s="9" t="s">
        <v>372</v>
      </c>
      <c r="AB83" s="6"/>
    </row>
    <row r="84" spans="1:33">
      <c r="A84" s="5">
        <f>IF(AA84="aktif",MAX($A$1:A83)+1,"")</f>
        <v>70</v>
      </c>
      <c r="B84" s="25" t="s">
        <v>407</v>
      </c>
      <c r="C84" s="15" t="s">
        <v>408</v>
      </c>
      <c r="D84" s="139" t="s">
        <v>115</v>
      </c>
      <c r="E84" s="18" t="s">
        <v>392</v>
      </c>
      <c r="F84" s="5" t="s">
        <v>401</v>
      </c>
      <c r="G84" s="5" t="s">
        <v>401</v>
      </c>
      <c r="H84" s="16" t="s">
        <v>335</v>
      </c>
      <c r="I84" s="18"/>
      <c r="J84" s="5" t="s">
        <v>45</v>
      </c>
      <c r="K84" s="5"/>
      <c r="L84" s="26">
        <v>39275</v>
      </c>
      <c r="M84" s="26" t="str">
        <f ca="1">IF(L84="","",DATEDIF(L84,TODAY(),"Y") &amp;" tahun " &amp; DATEDIF(L84,TODAY(),"YM")&amp;" bulan")</f>
        <v>19 tahun 0 bulan</v>
      </c>
      <c r="N84" s="5" t="s">
        <v>31</v>
      </c>
      <c r="O84" s="26">
        <v>33785</v>
      </c>
      <c r="P84" s="26" t="str">
        <f t="shared" ca="1" si="5"/>
        <v>34 tahun</v>
      </c>
      <c r="Q84" s="5" t="s">
        <v>121</v>
      </c>
      <c r="R84" s="35">
        <v>4856026</v>
      </c>
      <c r="S84" s="25" t="s">
        <v>409</v>
      </c>
      <c r="T84" s="5" t="s">
        <v>410</v>
      </c>
      <c r="U84" s="5" t="s">
        <v>35</v>
      </c>
      <c r="V84" s="25" t="s">
        <v>411</v>
      </c>
      <c r="W84" s="25" t="s">
        <v>412</v>
      </c>
      <c r="X84" s="5"/>
      <c r="Y84" s="25"/>
      <c r="Z84" s="5"/>
      <c r="AA84" s="9" t="s">
        <v>41</v>
      </c>
      <c r="AB84" s="6"/>
    </row>
    <row r="85" spans="1:33" hidden="1">
      <c r="A85" s="5" t="str">
        <f>IF(AA85="aktif",MAX($A$1:A84)+1,"")</f>
        <v/>
      </c>
      <c r="B85" s="25" t="s">
        <v>413</v>
      </c>
      <c r="C85" s="5" t="s">
        <v>414</v>
      </c>
      <c r="D85" s="152" t="s">
        <v>115</v>
      </c>
      <c r="E85" s="5" t="s">
        <v>392</v>
      </c>
      <c r="F85" s="5" t="s">
        <v>401</v>
      </c>
      <c r="G85" s="5" t="s">
        <v>401</v>
      </c>
      <c r="H85" s="132"/>
      <c r="I85" s="5"/>
      <c r="J85" s="5" t="s">
        <v>45</v>
      </c>
      <c r="K85" s="5"/>
      <c r="L85" s="26">
        <v>38565</v>
      </c>
      <c r="M85" s="26" t="str">
        <f ca="1">IF(L85="","",DATEDIF(L85,TODAY(),"Y") &amp;" tahun " &amp; DATEDIF(L85,TODAY(),"YM")&amp;" bulan")</f>
        <v>21 tahun 0 bulan</v>
      </c>
      <c r="N85" s="5" t="s">
        <v>31</v>
      </c>
      <c r="O85" s="26">
        <v>38488</v>
      </c>
      <c r="P85" s="26" t="str">
        <f t="shared" ca="1" si="5"/>
        <v>21 tahun</v>
      </c>
      <c r="Q85" s="5" t="s">
        <v>121</v>
      </c>
      <c r="R85" s="35"/>
      <c r="S85" s="25"/>
      <c r="T85" s="5" t="s">
        <v>415</v>
      </c>
      <c r="U85" s="5" t="s">
        <v>35</v>
      </c>
      <c r="V85" s="25" t="s">
        <v>416</v>
      </c>
      <c r="W85" s="25" t="s">
        <v>417</v>
      </c>
      <c r="X85" s="5"/>
      <c r="Y85" s="25"/>
      <c r="Z85" s="5"/>
      <c r="AA85" s="9" t="s">
        <v>372</v>
      </c>
      <c r="AB85" s="6"/>
    </row>
    <row r="86" spans="1:33">
      <c r="A86" s="5">
        <f>IF(AA86="aktif",MAX($A$1:A85)+1,"")</f>
        <v>71</v>
      </c>
      <c r="B86" s="25" t="s">
        <v>423</v>
      </c>
      <c r="C86" s="15" t="s">
        <v>424</v>
      </c>
      <c r="D86" s="139" t="s">
        <v>115</v>
      </c>
      <c r="E86" s="18" t="s">
        <v>392</v>
      </c>
      <c r="F86" s="5" t="s">
        <v>401</v>
      </c>
      <c r="G86" s="5" t="s">
        <v>401</v>
      </c>
      <c r="H86" s="16"/>
      <c r="I86" s="18"/>
      <c r="J86" s="5" t="s">
        <v>45</v>
      </c>
      <c r="K86" s="5"/>
      <c r="L86" s="26">
        <v>38139</v>
      </c>
      <c r="M86" s="26" t="str">
        <f ca="1">IF(L86="","",DATEDIF(L86,TODAY(),"Y") &amp;" tahun " &amp; DATEDIF(L86,TODAY(),"YM")&amp;" bulan")</f>
        <v>22 tahun 2 bulan</v>
      </c>
      <c r="N86" s="5" t="s">
        <v>31</v>
      </c>
      <c r="O86" s="26">
        <v>29061</v>
      </c>
      <c r="P86" s="26" t="str">
        <f t="shared" ca="1" si="5"/>
        <v>47 tahun</v>
      </c>
      <c r="Q86" s="5" t="s">
        <v>121</v>
      </c>
      <c r="R86" s="35">
        <v>4856026</v>
      </c>
      <c r="S86" s="25" t="s">
        <v>425</v>
      </c>
      <c r="T86" s="5" t="s">
        <v>426</v>
      </c>
      <c r="U86" s="5" t="s">
        <v>35</v>
      </c>
      <c r="V86" s="25" t="s">
        <v>427</v>
      </c>
      <c r="W86" s="25" t="s">
        <v>428</v>
      </c>
      <c r="X86" s="5"/>
      <c r="Y86" s="25" t="s">
        <v>429</v>
      </c>
      <c r="Z86" s="5"/>
      <c r="AA86" s="9" t="s">
        <v>41</v>
      </c>
      <c r="AB86" s="6"/>
    </row>
    <row r="87" spans="1:33">
      <c r="A87" s="5">
        <f>IF(AA87="aktif",MAX($A$1:A86)+1,"")</f>
        <v>72</v>
      </c>
      <c r="B87" s="25" t="s">
        <v>418</v>
      </c>
      <c r="C87" s="15" t="s">
        <v>419</v>
      </c>
      <c r="D87" s="139" t="s">
        <v>115</v>
      </c>
      <c r="E87" s="18" t="s">
        <v>392</v>
      </c>
      <c r="F87" s="5" t="s">
        <v>401</v>
      </c>
      <c r="G87" s="5" t="s">
        <v>401</v>
      </c>
      <c r="H87" s="16" t="s">
        <v>335</v>
      </c>
      <c r="I87" s="18"/>
      <c r="J87" s="5" t="s">
        <v>71</v>
      </c>
      <c r="K87" s="5"/>
      <c r="L87" s="26">
        <v>45915</v>
      </c>
      <c r="M87" s="26" t="str">
        <f ca="1">DATEDIF(L87,TODAY(),"Y") &amp;" tahun " &amp; DATEDIF(L87,TODAY(),"YM")&amp;" bulan"</f>
        <v>0 tahun 10 bulan</v>
      </c>
      <c r="N87" s="5" t="s">
        <v>31</v>
      </c>
      <c r="O87" s="26">
        <v>35567</v>
      </c>
      <c r="P87" s="26" t="str">
        <f t="shared" ca="1" si="5"/>
        <v>29 tahun</v>
      </c>
      <c r="Q87" s="5" t="s">
        <v>46</v>
      </c>
      <c r="R87" s="9"/>
      <c r="S87" s="27" t="s">
        <v>420</v>
      </c>
      <c r="T87" s="5" t="s">
        <v>421</v>
      </c>
      <c r="U87" s="5" t="s">
        <v>81</v>
      </c>
      <c r="V87" s="27" t="s">
        <v>422</v>
      </c>
      <c r="W87" s="27"/>
      <c r="X87" s="9"/>
      <c r="Y87" s="27"/>
      <c r="Z87" s="9"/>
      <c r="AA87" s="9" t="s">
        <v>41</v>
      </c>
      <c r="AB87" s="6"/>
    </row>
    <row r="88" spans="1:33">
      <c r="A88" s="5">
        <f>IF(AA88="aktif",MAX($A$1:A87)+1,"")</f>
        <v>73</v>
      </c>
      <c r="B88" s="25" t="s">
        <v>430</v>
      </c>
      <c r="C88" s="15" t="s">
        <v>431</v>
      </c>
      <c r="D88" s="139" t="s">
        <v>115</v>
      </c>
      <c r="E88" s="18" t="s">
        <v>392</v>
      </c>
      <c r="F88" s="5" t="s">
        <v>401</v>
      </c>
      <c r="G88" s="5" t="s">
        <v>401</v>
      </c>
      <c r="H88" s="16" t="s">
        <v>432</v>
      </c>
      <c r="I88" s="18"/>
      <c r="J88" s="5" t="s">
        <v>71</v>
      </c>
      <c r="K88" s="5"/>
      <c r="L88" s="26">
        <v>40513</v>
      </c>
      <c r="M88" s="26" t="str">
        <f t="shared" ref="M88:M118" ca="1" si="6">IF(L88="","",DATEDIF(L88,TODAY(),"Y") &amp;" tahun " &amp; DATEDIF(L88,TODAY(),"YM")&amp;" bulan")</f>
        <v>15 tahun 8 bulan</v>
      </c>
      <c r="N88" s="5" t="s">
        <v>31</v>
      </c>
      <c r="O88" s="26">
        <v>26294</v>
      </c>
      <c r="P88" s="26" t="str">
        <f t="shared" ca="1" si="5"/>
        <v>54 tahun</v>
      </c>
      <c r="Q88" s="5" t="s">
        <v>32</v>
      </c>
      <c r="R88" s="35"/>
      <c r="S88" s="25" t="s">
        <v>433</v>
      </c>
      <c r="T88" s="5" t="s">
        <v>415</v>
      </c>
      <c r="U88" s="5" t="s">
        <v>35</v>
      </c>
      <c r="V88" s="25" t="s">
        <v>434</v>
      </c>
      <c r="W88" s="25" t="s">
        <v>435</v>
      </c>
      <c r="X88" s="5"/>
      <c r="Y88" s="25"/>
      <c r="Z88" s="5"/>
      <c r="AA88" s="9" t="s">
        <v>41</v>
      </c>
      <c r="AB88" s="6"/>
    </row>
    <row r="89" spans="1:33">
      <c r="A89" s="5">
        <f>IF(AA89="aktif",MAX($A$1:A88)+1,"")</f>
        <v>74</v>
      </c>
      <c r="B89" s="25" t="s">
        <v>436</v>
      </c>
      <c r="C89" s="15" t="s">
        <v>437</v>
      </c>
      <c r="D89" s="139" t="s">
        <v>115</v>
      </c>
      <c r="E89" s="18" t="s">
        <v>392</v>
      </c>
      <c r="F89" s="5" t="s">
        <v>401</v>
      </c>
      <c r="G89" s="5" t="s">
        <v>401</v>
      </c>
      <c r="H89" s="16"/>
      <c r="I89" s="18"/>
      <c r="J89" s="5" t="s">
        <v>71</v>
      </c>
      <c r="K89" s="5"/>
      <c r="L89" s="26">
        <v>41791</v>
      </c>
      <c r="M89" s="26" t="str">
        <f t="shared" ca="1" si="6"/>
        <v>12 tahun 2 bulan</v>
      </c>
      <c r="N89" s="5" t="s">
        <v>31</v>
      </c>
      <c r="O89" s="26">
        <v>33732</v>
      </c>
      <c r="P89" s="26" t="str">
        <f t="shared" ca="1" si="5"/>
        <v>34 tahun</v>
      </c>
      <c r="Q89" s="5" t="s">
        <v>121</v>
      </c>
      <c r="R89" s="28">
        <v>4500000</v>
      </c>
      <c r="S89" s="25" t="s">
        <v>438</v>
      </c>
      <c r="T89" s="5" t="s">
        <v>439</v>
      </c>
      <c r="U89" s="5" t="s">
        <v>35</v>
      </c>
      <c r="V89" s="25" t="s">
        <v>440</v>
      </c>
      <c r="W89" s="25" t="s">
        <v>441</v>
      </c>
      <c r="X89" s="5"/>
      <c r="Y89" s="25"/>
      <c r="Z89" s="5"/>
      <c r="AA89" s="9" t="s">
        <v>41</v>
      </c>
      <c r="AB89" s="6"/>
    </row>
    <row r="90" spans="1:33">
      <c r="A90" s="5">
        <f>IF(AA90="aktif",MAX($A$1:A89)+1,"")</f>
        <v>75</v>
      </c>
      <c r="B90" s="25" t="s">
        <v>442</v>
      </c>
      <c r="C90" s="15" t="s">
        <v>443</v>
      </c>
      <c r="D90" s="139" t="s">
        <v>115</v>
      </c>
      <c r="E90" s="18" t="s">
        <v>392</v>
      </c>
      <c r="F90" s="5" t="s">
        <v>401</v>
      </c>
      <c r="G90" s="5" t="s">
        <v>401</v>
      </c>
      <c r="H90" s="16"/>
      <c r="I90" s="18"/>
      <c r="J90" s="5" t="s">
        <v>71</v>
      </c>
      <c r="K90" s="5"/>
      <c r="L90" s="26">
        <v>41061</v>
      </c>
      <c r="M90" s="26" t="str">
        <f t="shared" ca="1" si="6"/>
        <v>14 tahun 2 bulan</v>
      </c>
      <c r="N90" s="5" t="s">
        <v>31</v>
      </c>
      <c r="O90" s="26">
        <v>27922</v>
      </c>
      <c r="P90" s="26" t="str">
        <f t="shared" ca="1" si="5"/>
        <v>50 tahun</v>
      </c>
      <c r="Q90" s="5" t="s">
        <v>158</v>
      </c>
      <c r="R90" s="35"/>
      <c r="S90" s="25" t="s">
        <v>444</v>
      </c>
      <c r="T90" s="5" t="s">
        <v>445</v>
      </c>
      <c r="U90" s="5" t="s">
        <v>35</v>
      </c>
      <c r="V90" s="25"/>
      <c r="W90" s="25" t="s">
        <v>446</v>
      </c>
      <c r="X90" s="5"/>
      <c r="Y90" s="25"/>
      <c r="Z90" s="5"/>
      <c r="AA90" s="9" t="s">
        <v>41</v>
      </c>
      <c r="AB90" s="6"/>
    </row>
    <row r="91" spans="1:33" hidden="1">
      <c r="A91" s="5" t="str">
        <f>IF(AA91="aktif",MAX($A$1:A90)+1,"")</f>
        <v/>
      </c>
      <c r="B91" s="25" t="s">
        <v>447</v>
      </c>
      <c r="C91" s="5" t="s">
        <v>448</v>
      </c>
      <c r="D91" s="114" t="s">
        <v>115</v>
      </c>
      <c r="E91" s="5" t="s">
        <v>392</v>
      </c>
      <c r="F91" s="5" t="s">
        <v>401</v>
      </c>
      <c r="G91" s="5" t="s">
        <v>401</v>
      </c>
      <c r="H91" s="14"/>
      <c r="I91" s="5"/>
      <c r="J91" s="5" t="s">
        <v>71</v>
      </c>
      <c r="K91" s="5"/>
      <c r="L91" s="26">
        <v>37289</v>
      </c>
      <c r="M91" s="26" t="str">
        <f t="shared" ca="1" si="6"/>
        <v>24 tahun 6 bulan</v>
      </c>
      <c r="N91" s="5" t="s">
        <v>31</v>
      </c>
      <c r="O91" s="26">
        <v>28647</v>
      </c>
      <c r="P91" s="26" t="str">
        <f t="shared" ca="1" si="5"/>
        <v>48 tahun</v>
      </c>
      <c r="Q91" s="5" t="s">
        <v>32</v>
      </c>
      <c r="R91" s="35"/>
      <c r="S91" s="25" t="s">
        <v>449</v>
      </c>
      <c r="T91" s="5" t="s">
        <v>450</v>
      </c>
      <c r="U91" s="5" t="s">
        <v>35</v>
      </c>
      <c r="V91" s="25" t="s">
        <v>451</v>
      </c>
      <c r="W91" s="25"/>
      <c r="X91" s="5"/>
      <c r="Y91" s="25"/>
      <c r="Z91" s="5"/>
      <c r="AA91" s="9" t="s">
        <v>372</v>
      </c>
      <c r="AB91" s="6"/>
    </row>
    <row r="92" spans="1:33" hidden="1">
      <c r="A92" s="5" t="str">
        <f>IF(AA92="aktif",MAX($A$1:A91)+1,"")</f>
        <v/>
      </c>
      <c r="B92" s="25" t="s">
        <v>452</v>
      </c>
      <c r="C92" s="5" t="s">
        <v>453</v>
      </c>
      <c r="D92" s="17"/>
      <c r="E92" s="5" t="s">
        <v>392</v>
      </c>
      <c r="F92" s="13" t="s">
        <v>401</v>
      </c>
      <c r="G92" s="13" t="s">
        <v>401</v>
      </c>
      <c r="H92" s="5"/>
      <c r="I92" s="5"/>
      <c r="J92" s="5" t="s">
        <v>71</v>
      </c>
      <c r="K92" s="5"/>
      <c r="L92" s="26"/>
      <c r="M92" s="26" t="str">
        <f t="shared" ca="1" si="6"/>
        <v/>
      </c>
      <c r="N92" s="5" t="s">
        <v>31</v>
      </c>
      <c r="O92" s="26">
        <v>23382</v>
      </c>
      <c r="P92" s="26" t="str">
        <f t="shared" ca="1" si="5"/>
        <v>62 tahun</v>
      </c>
      <c r="Q92" s="5" t="s">
        <v>121</v>
      </c>
      <c r="R92" s="35"/>
      <c r="S92" s="25" t="s">
        <v>454</v>
      </c>
      <c r="T92" s="5" t="s">
        <v>455</v>
      </c>
      <c r="U92" s="5" t="s">
        <v>35</v>
      </c>
      <c r="V92" s="25"/>
      <c r="W92" s="25"/>
      <c r="X92" s="5"/>
      <c r="Y92" s="25"/>
      <c r="Z92" s="5"/>
      <c r="AA92" s="9" t="s">
        <v>372</v>
      </c>
      <c r="AB92" s="6"/>
    </row>
    <row r="93" spans="1:33" hidden="1">
      <c r="A93" s="5" t="str">
        <f>IF(AA93="aktif",MAX($A$1:A92)+1,"")</f>
        <v/>
      </c>
      <c r="B93" s="25" t="s">
        <v>456</v>
      </c>
      <c r="C93" s="5" t="s">
        <v>457</v>
      </c>
      <c r="D93" s="113" t="s">
        <v>54</v>
      </c>
      <c r="E93" s="5" t="s">
        <v>392</v>
      </c>
      <c r="F93" s="5" t="s">
        <v>401</v>
      </c>
      <c r="G93" s="5" t="s">
        <v>401</v>
      </c>
      <c r="H93" s="13"/>
      <c r="I93" s="5"/>
      <c r="J93" s="5" t="s">
        <v>71</v>
      </c>
      <c r="K93" s="5"/>
      <c r="L93" s="26"/>
      <c r="M93" s="26" t="str">
        <f t="shared" ca="1" si="6"/>
        <v/>
      </c>
      <c r="N93" s="5" t="s">
        <v>31</v>
      </c>
      <c r="O93" s="26">
        <v>21288</v>
      </c>
      <c r="P93" s="26" t="str">
        <f t="shared" ca="1" si="5"/>
        <v>68 tahun</v>
      </c>
      <c r="Q93" s="5" t="s">
        <v>121</v>
      </c>
      <c r="R93" s="35"/>
      <c r="S93" s="25" t="s">
        <v>458</v>
      </c>
      <c r="T93" s="5" t="s">
        <v>459</v>
      </c>
      <c r="U93" s="5" t="s">
        <v>35</v>
      </c>
      <c r="V93" s="25" t="s">
        <v>416</v>
      </c>
      <c r="W93" s="25" t="s">
        <v>460</v>
      </c>
      <c r="X93" s="5"/>
      <c r="Y93" s="25"/>
      <c r="Z93" s="5"/>
      <c r="AA93" s="9" t="s">
        <v>372</v>
      </c>
      <c r="AB93" s="6"/>
    </row>
    <row r="94" spans="1:33">
      <c r="A94" s="5">
        <f>IF(AA94="aktif",MAX($A$1:A93)+1,"")</f>
        <v>76</v>
      </c>
      <c r="B94" s="25" t="s">
        <v>461</v>
      </c>
      <c r="C94" s="15" t="s">
        <v>462</v>
      </c>
      <c r="D94" s="139" t="s">
        <v>115</v>
      </c>
      <c r="E94" s="18" t="s">
        <v>392</v>
      </c>
      <c r="F94" s="5" t="s">
        <v>401</v>
      </c>
      <c r="G94" s="5" t="s">
        <v>401</v>
      </c>
      <c r="H94" s="58" t="s">
        <v>463</v>
      </c>
      <c r="I94" s="117"/>
      <c r="J94" s="5" t="s">
        <v>71</v>
      </c>
      <c r="K94" s="5"/>
      <c r="L94" s="26"/>
      <c r="M94" s="26" t="str">
        <f ca="1">IF(L94="","",DATEDIF(L94,TODAY(),"Y") &amp;" tahun " &amp; DATEDIF(L94,TODAY(),"YM")&amp;" bulan")</f>
        <v/>
      </c>
      <c r="N94" s="5" t="s">
        <v>31</v>
      </c>
      <c r="O94" s="26"/>
      <c r="P94" s="26" t="str">
        <f ca="1">IF(O94="","",DATEDIF(O94,TODAY(),"Y")&amp;" tahun")</f>
        <v/>
      </c>
      <c r="Q94" s="5" t="s">
        <v>46</v>
      </c>
      <c r="R94" s="35"/>
      <c r="S94" s="27"/>
      <c r="V94" s="27"/>
      <c r="W94" s="27"/>
      <c r="X94" s="9"/>
      <c r="Y94" s="27"/>
      <c r="Z94" s="9"/>
      <c r="AA94" s="9" t="s">
        <v>41</v>
      </c>
      <c r="AB94" s="6"/>
    </row>
    <row r="95" spans="1:33">
      <c r="A95" s="5">
        <f>IF(AA95="aktif",MAX($A$1:A94)+1,"")</f>
        <v>77</v>
      </c>
      <c r="B95" s="25" t="s">
        <v>464</v>
      </c>
      <c r="C95" s="142" t="s">
        <v>465</v>
      </c>
      <c r="D95" s="139" t="s">
        <v>115</v>
      </c>
      <c r="E95" s="124" t="s">
        <v>392</v>
      </c>
      <c r="F95" s="5" t="s">
        <v>401</v>
      </c>
      <c r="G95" s="5" t="s">
        <v>401</v>
      </c>
      <c r="H95" s="58" t="s">
        <v>463</v>
      </c>
      <c r="I95" s="118"/>
      <c r="J95" s="13" t="s">
        <v>71</v>
      </c>
      <c r="K95" s="13"/>
      <c r="L95" s="36">
        <v>45986</v>
      </c>
      <c r="M95" s="36" t="str">
        <f ca="1">IF(L95="","",DATEDIF(L95,TODAY(),"Y") &amp;" tahun " &amp; DATEDIF(L95,TODAY(),"YM")&amp;" bulan")</f>
        <v>0 tahun 8 bulan</v>
      </c>
      <c r="N95" s="13" t="s">
        <v>31</v>
      </c>
      <c r="O95" s="36"/>
      <c r="P95" s="36"/>
      <c r="Q95" s="13" t="s">
        <v>46</v>
      </c>
      <c r="R95" s="77"/>
      <c r="S95" s="61"/>
      <c r="T95" s="13"/>
      <c r="U95" s="13"/>
      <c r="V95" s="61"/>
      <c r="W95" s="61"/>
      <c r="X95" s="50"/>
      <c r="Y95" s="61"/>
      <c r="Z95" s="50"/>
      <c r="AA95" s="9" t="s">
        <v>41</v>
      </c>
      <c r="AB95" s="21"/>
    </row>
    <row r="96" spans="1:33" s="71" customFormat="1" ht="15.75">
      <c r="A96" s="5">
        <f>IF(AA96="aktif",MAX($A$1:A95)+1,"")</f>
        <v>78</v>
      </c>
      <c r="B96" s="25" t="s">
        <v>466</v>
      </c>
      <c r="C96" s="143" t="s">
        <v>467</v>
      </c>
      <c r="D96" s="139" t="s">
        <v>115</v>
      </c>
      <c r="E96" s="125" t="s">
        <v>392</v>
      </c>
      <c r="F96" s="5" t="s">
        <v>401</v>
      </c>
      <c r="G96" s="5" t="s">
        <v>401</v>
      </c>
      <c r="H96" s="58" t="s">
        <v>463</v>
      </c>
      <c r="I96" s="119"/>
      <c r="J96" s="16" t="s">
        <v>71</v>
      </c>
      <c r="K96" s="16"/>
      <c r="L96" s="75">
        <v>45986</v>
      </c>
      <c r="M96" s="74" t="s">
        <v>468</v>
      </c>
      <c r="N96" s="74" t="s">
        <v>31</v>
      </c>
      <c r="O96" s="75">
        <v>39011</v>
      </c>
      <c r="P96" s="74" t="s">
        <v>469</v>
      </c>
      <c r="Q96" s="74" t="s">
        <v>46</v>
      </c>
      <c r="R96" s="74"/>
      <c r="S96" s="76" t="s">
        <v>470</v>
      </c>
      <c r="T96" s="74" t="s">
        <v>471</v>
      </c>
      <c r="U96" s="74" t="s">
        <v>81</v>
      </c>
      <c r="V96" s="74">
        <v>85648971282</v>
      </c>
      <c r="W96" s="74"/>
      <c r="X96" s="74"/>
      <c r="Y96" s="74"/>
      <c r="Z96" s="74"/>
      <c r="AA96" s="9" t="s">
        <v>41</v>
      </c>
      <c r="AB96" s="74"/>
      <c r="AC96" s="74"/>
      <c r="AD96" s="74"/>
      <c r="AE96" s="74"/>
      <c r="AF96" s="74"/>
      <c r="AG96" s="74"/>
    </row>
    <row r="97" spans="1:28" s="66" customFormat="1" ht="15.75" hidden="1">
      <c r="A97" s="5" t="str">
        <f>IF(AA97="aktif",MAX($A$1:A96)+1,"")</f>
        <v/>
      </c>
      <c r="B97" s="25" t="s">
        <v>472</v>
      </c>
      <c r="C97" s="78" t="s">
        <v>473</v>
      </c>
      <c r="D97" s="152" t="s">
        <v>54</v>
      </c>
      <c r="E97" s="14" t="s">
        <v>392</v>
      </c>
      <c r="F97" s="5" t="s">
        <v>401</v>
      </c>
      <c r="G97" s="5" t="s">
        <v>401</v>
      </c>
      <c r="H97" s="63"/>
      <c r="I97" s="63"/>
      <c r="J97" s="14" t="s">
        <v>71</v>
      </c>
      <c r="K97" s="14"/>
      <c r="L97" s="80">
        <v>45804</v>
      </c>
      <c r="M97" s="80"/>
      <c r="N97" s="78"/>
      <c r="O97" s="80">
        <v>37286</v>
      </c>
      <c r="P97" s="80"/>
      <c r="Q97" s="78" t="s">
        <v>46</v>
      </c>
      <c r="R97" s="81"/>
      <c r="S97" s="79" t="s">
        <v>474</v>
      </c>
      <c r="T97" s="78" t="s">
        <v>475</v>
      </c>
      <c r="U97" s="82" t="s">
        <v>81</v>
      </c>
      <c r="V97" s="79"/>
      <c r="W97" s="79"/>
      <c r="X97" s="78"/>
      <c r="Y97" s="79"/>
      <c r="Z97" s="78"/>
      <c r="AA97" s="9" t="s">
        <v>372</v>
      </c>
      <c r="AB97" s="83"/>
    </row>
    <row r="98" spans="1:28" s="66" customFormat="1" ht="15.75">
      <c r="A98" s="5"/>
      <c r="B98" s="25"/>
      <c r="C98" s="144" t="s">
        <v>476</v>
      </c>
      <c r="D98" s="139" t="s">
        <v>115</v>
      </c>
      <c r="E98" s="125" t="s">
        <v>392</v>
      </c>
      <c r="F98" s="5"/>
      <c r="G98" s="5" t="s">
        <v>401</v>
      </c>
      <c r="H98" s="129"/>
      <c r="I98" s="63"/>
      <c r="J98" s="16" t="s">
        <v>71</v>
      </c>
      <c r="K98" s="101"/>
      <c r="L98" s="80"/>
      <c r="M98" s="80"/>
      <c r="N98" s="78"/>
      <c r="O98" s="80"/>
      <c r="P98" s="80"/>
      <c r="Q98" s="78"/>
      <c r="R98" s="81"/>
      <c r="S98" s="79"/>
      <c r="T98" s="78"/>
      <c r="U98" s="102"/>
      <c r="V98" s="79"/>
      <c r="W98" s="79"/>
      <c r="X98" s="78"/>
      <c r="Y98" s="79"/>
      <c r="Z98" s="78"/>
      <c r="AA98" s="9"/>
      <c r="AB98" s="83"/>
    </row>
    <row r="99" spans="1:28">
      <c r="A99" s="5">
        <f>IF(AA99="aktif",MAX($A$1:A97)+1,"")</f>
        <v>79</v>
      </c>
      <c r="B99" s="25" t="s">
        <v>479</v>
      </c>
      <c r="C99" s="15" t="s">
        <v>480</v>
      </c>
      <c r="D99" s="139" t="s">
        <v>115</v>
      </c>
      <c r="E99" s="18" t="s">
        <v>392</v>
      </c>
      <c r="F99" s="5" t="s">
        <v>401</v>
      </c>
      <c r="G99" s="5" t="s">
        <v>401</v>
      </c>
      <c r="H99" s="16" t="s">
        <v>481</v>
      </c>
      <c r="I99" s="18"/>
      <c r="J99" s="5" t="s">
        <v>129</v>
      </c>
      <c r="K99" s="5"/>
      <c r="L99" s="26">
        <v>39234</v>
      </c>
      <c r="M99" s="26" t="str">
        <f ca="1">IF(L99="","",DATEDIF(L99,TODAY(),"Y") &amp;" tahun " &amp; DATEDIF(L99,TODAY(),"YM")&amp;" bulan")</f>
        <v>19 tahun 2 bulan</v>
      </c>
      <c r="N99" s="5" t="s">
        <v>31</v>
      </c>
      <c r="O99" s="26">
        <v>31344</v>
      </c>
      <c r="P99" s="26" t="str">
        <f ca="1">IF(O99="","",DATEDIF(O99,TODAY(),"Y")&amp;" tahun")</f>
        <v>40 tahun</v>
      </c>
      <c r="Q99" s="5" t="s">
        <v>121</v>
      </c>
      <c r="R99" s="35">
        <v>4600000</v>
      </c>
      <c r="S99" s="25" t="s">
        <v>482</v>
      </c>
      <c r="T99" s="5" t="s">
        <v>483</v>
      </c>
      <c r="U99" s="5" t="s">
        <v>35</v>
      </c>
      <c r="V99" s="25" t="s">
        <v>484</v>
      </c>
      <c r="W99" s="25" t="s">
        <v>485</v>
      </c>
      <c r="X99" s="5"/>
      <c r="Y99" s="25"/>
      <c r="Z99" s="5"/>
      <c r="AA99" s="9" t="s">
        <v>41</v>
      </c>
      <c r="AB99" s="6"/>
    </row>
    <row r="100" spans="1:28">
      <c r="A100" s="5">
        <f>IF(AA100="aktif",MAX($A$1:A99)+1,"")</f>
        <v>80</v>
      </c>
      <c r="B100" s="25" t="s">
        <v>486</v>
      </c>
      <c r="C100" s="15" t="s">
        <v>487</v>
      </c>
      <c r="D100" s="139" t="s">
        <v>115</v>
      </c>
      <c r="E100" s="18" t="s">
        <v>392</v>
      </c>
      <c r="F100" s="5"/>
      <c r="G100" s="5" t="s">
        <v>401</v>
      </c>
      <c r="H100" s="16" t="s">
        <v>481</v>
      </c>
      <c r="I100" s="18"/>
      <c r="J100" s="5" t="s">
        <v>129</v>
      </c>
      <c r="K100" s="5"/>
      <c r="L100" s="26"/>
      <c r="M100" s="26" t="str">
        <f t="shared" ca="1" si="6"/>
        <v/>
      </c>
      <c r="N100" s="5" t="s">
        <v>31</v>
      </c>
      <c r="O100" s="26">
        <v>23216</v>
      </c>
      <c r="P100" s="26" t="str">
        <f t="shared" ca="1" si="5"/>
        <v>63 tahun</v>
      </c>
      <c r="Q100" s="5" t="s">
        <v>158</v>
      </c>
      <c r="R100" s="35">
        <v>5000000</v>
      </c>
      <c r="S100" s="25" t="s">
        <v>488</v>
      </c>
      <c r="T100" s="5" t="s">
        <v>489</v>
      </c>
      <c r="U100" s="5" t="s">
        <v>35</v>
      </c>
      <c r="V100" s="25" t="s">
        <v>490</v>
      </c>
      <c r="W100" s="25" t="s">
        <v>491</v>
      </c>
      <c r="X100" s="5"/>
      <c r="Y100" s="25"/>
      <c r="Z100" s="5"/>
      <c r="AA100" s="9" t="s">
        <v>41</v>
      </c>
      <c r="AB100" s="6"/>
    </row>
    <row r="101" spans="1:28" hidden="1">
      <c r="A101" s="5" t="str">
        <f>IF(AA101="aktif",MAX($A$1:A100)+1,"")</f>
        <v/>
      </c>
      <c r="B101" s="25" t="s">
        <v>492</v>
      </c>
      <c r="C101" s="5" t="s">
        <v>493</v>
      </c>
      <c r="D101" s="152" t="s">
        <v>494</v>
      </c>
      <c r="E101" s="5" t="s">
        <v>392</v>
      </c>
      <c r="F101" s="5"/>
      <c r="G101" s="5"/>
      <c r="H101" s="132" t="s">
        <v>481</v>
      </c>
      <c r="I101" s="5"/>
      <c r="J101" s="5" t="s">
        <v>129</v>
      </c>
      <c r="K101" s="5"/>
      <c r="L101" s="26"/>
      <c r="M101" s="26" t="str">
        <f t="shared" ca="1" si="6"/>
        <v/>
      </c>
      <c r="N101" s="5" t="s">
        <v>31</v>
      </c>
      <c r="O101" s="26">
        <v>23566</v>
      </c>
      <c r="P101" s="26" t="str">
        <f t="shared" ca="1" si="5"/>
        <v>62 tahun</v>
      </c>
      <c r="Q101" s="5"/>
      <c r="R101" s="35"/>
      <c r="S101" s="25"/>
      <c r="T101" s="5" t="s">
        <v>495</v>
      </c>
      <c r="U101" s="5" t="s">
        <v>35</v>
      </c>
      <c r="V101" s="25" t="s">
        <v>496</v>
      </c>
      <c r="W101" s="25"/>
      <c r="X101" s="5"/>
      <c r="Y101" s="25"/>
      <c r="Z101" s="5"/>
      <c r="AA101" s="9" t="s">
        <v>372</v>
      </c>
      <c r="AB101" s="6"/>
    </row>
    <row r="102" spans="1:28">
      <c r="A102" s="5">
        <f>IF(AA102="aktif",MAX($A$1:A101)+1,"")</f>
        <v>81</v>
      </c>
      <c r="B102" s="25" t="s">
        <v>497</v>
      </c>
      <c r="C102" s="15" t="s">
        <v>498</v>
      </c>
      <c r="D102" s="139" t="s">
        <v>115</v>
      </c>
      <c r="E102" s="18" t="s">
        <v>392</v>
      </c>
      <c r="F102" s="5"/>
      <c r="G102" s="5" t="s">
        <v>401</v>
      </c>
      <c r="H102" s="16" t="s">
        <v>481</v>
      </c>
      <c r="I102" s="18"/>
      <c r="J102" s="5" t="s">
        <v>129</v>
      </c>
      <c r="K102" s="5"/>
      <c r="L102" s="26">
        <v>39264</v>
      </c>
      <c r="M102" s="26" t="str">
        <f ca="1">IF(L102="","",DATEDIF(L102,TODAY(),"Y") &amp;" tahun " &amp; DATEDIF(L102,TODAY(),"YM")&amp;" bulan")</f>
        <v>19 tahun 1 bulan</v>
      </c>
      <c r="N102" s="5" t="s">
        <v>31</v>
      </c>
      <c r="O102" s="26">
        <v>26854</v>
      </c>
      <c r="P102" s="26" t="str">
        <f ca="1">IF(O102="","",DATEDIF(O102,TODAY(),"Y")&amp;" tahun")</f>
        <v>53 tahun</v>
      </c>
      <c r="Q102" s="5" t="s">
        <v>121</v>
      </c>
      <c r="R102" s="35"/>
      <c r="S102" s="25" t="s">
        <v>499</v>
      </c>
      <c r="T102" s="5" t="s">
        <v>500</v>
      </c>
      <c r="U102" s="5" t="s">
        <v>35</v>
      </c>
      <c r="V102" s="25" t="s">
        <v>501</v>
      </c>
      <c r="W102" s="25" t="s">
        <v>501</v>
      </c>
      <c r="X102" s="5"/>
      <c r="Y102" s="25"/>
      <c r="Z102" s="5"/>
      <c r="AA102" s="9" t="s">
        <v>41</v>
      </c>
      <c r="AB102" s="6"/>
    </row>
    <row r="103" spans="1:28">
      <c r="A103" s="5">
        <f>IF(AA103="aktif",MAX($A$1:A102)+1,"")</f>
        <v>82</v>
      </c>
      <c r="B103" s="25" t="s">
        <v>502</v>
      </c>
      <c r="C103" s="15" t="s">
        <v>503</v>
      </c>
      <c r="D103" s="139" t="s">
        <v>115</v>
      </c>
      <c r="E103" s="18" t="s">
        <v>392</v>
      </c>
      <c r="F103" s="5"/>
      <c r="G103" s="5" t="s">
        <v>401</v>
      </c>
      <c r="H103" s="16" t="s">
        <v>481</v>
      </c>
      <c r="I103" s="18"/>
      <c r="J103" s="5" t="s">
        <v>129</v>
      </c>
      <c r="K103" s="5"/>
      <c r="L103" s="26">
        <v>45839</v>
      </c>
      <c r="M103" s="26" t="str">
        <f ca="1">DATEDIF(L103,TODAY(),"Y") &amp;" tahun " &amp; DATEDIF(L103,TODAY(),"YM")&amp;" bulan"</f>
        <v>1 tahun 1 bulan</v>
      </c>
      <c r="N103" s="5" t="s">
        <v>31</v>
      </c>
      <c r="O103" s="26">
        <v>33237</v>
      </c>
      <c r="P103" s="26" t="str">
        <f ca="1">IF(O103="","",DATEDIF(O103,TODAY(),"Y")&amp;" tahun")</f>
        <v>35 tahun</v>
      </c>
      <c r="Q103" s="5" t="s">
        <v>46</v>
      </c>
      <c r="R103" s="9"/>
      <c r="S103" s="27" t="s">
        <v>504</v>
      </c>
      <c r="T103" s="5" t="s">
        <v>505</v>
      </c>
      <c r="U103" s="5" t="s">
        <v>217</v>
      </c>
      <c r="V103" s="27"/>
      <c r="W103" s="27"/>
      <c r="X103" s="9"/>
      <c r="Y103" s="27"/>
      <c r="Z103" s="9"/>
      <c r="AA103" s="9" t="s">
        <v>41</v>
      </c>
      <c r="AB103" s="6"/>
    </row>
    <row r="104" spans="1:28" hidden="1">
      <c r="A104" s="5" t="str">
        <f>IF(AA104="aktif",MAX($A$1:A103)+1,"")</f>
        <v/>
      </c>
      <c r="B104" s="25" t="s">
        <v>506</v>
      </c>
      <c r="C104" s="5" t="s">
        <v>507</v>
      </c>
      <c r="D104" s="152" t="s">
        <v>494</v>
      </c>
      <c r="E104" s="5" t="s">
        <v>392</v>
      </c>
      <c r="F104" s="5"/>
      <c r="G104" s="5"/>
      <c r="H104" s="132" t="s">
        <v>481</v>
      </c>
      <c r="I104" s="5"/>
      <c r="J104" s="5" t="s">
        <v>129</v>
      </c>
      <c r="K104" s="5"/>
      <c r="L104" s="26">
        <v>45840</v>
      </c>
      <c r="M104" s="26" t="str">
        <f ca="1">DATEDIF(L104,TODAY(),"Y") &amp;" tahun " &amp; DATEDIF(L104,TODAY(),"YM")&amp;" bulan"</f>
        <v>1 tahun 1 bulan</v>
      </c>
      <c r="N104" s="5" t="s">
        <v>31</v>
      </c>
      <c r="O104" s="26">
        <v>37794</v>
      </c>
      <c r="P104" s="26" t="str">
        <f ca="1">IF(O104="","",DATEDIF(O104,TODAY(),"Y")&amp;" tahun")</f>
        <v>23 tahun</v>
      </c>
      <c r="Q104" s="5" t="s">
        <v>46</v>
      </c>
      <c r="R104" s="9"/>
      <c r="S104" s="27" t="s">
        <v>508</v>
      </c>
      <c r="T104" s="5" t="s">
        <v>445</v>
      </c>
      <c r="U104" s="5" t="s">
        <v>81</v>
      </c>
      <c r="V104" s="27"/>
      <c r="W104" s="27"/>
      <c r="X104" s="9"/>
      <c r="Y104" s="27"/>
      <c r="Z104" s="9"/>
      <c r="AA104" s="9" t="s">
        <v>372</v>
      </c>
      <c r="AB104" s="6"/>
    </row>
    <row r="105" spans="1:28">
      <c r="A105" s="5">
        <f>IF(AA105="aktif",MAX($A$1:A104)+1,"")</f>
        <v>83</v>
      </c>
      <c r="B105" s="25" t="s">
        <v>509</v>
      </c>
      <c r="C105" s="15" t="s">
        <v>510</v>
      </c>
      <c r="D105" s="139" t="s">
        <v>115</v>
      </c>
      <c r="E105" s="18" t="s">
        <v>392</v>
      </c>
      <c r="F105" s="5"/>
      <c r="G105" s="5" t="s">
        <v>401</v>
      </c>
      <c r="H105" s="16" t="s">
        <v>481</v>
      </c>
      <c r="I105" s="18"/>
      <c r="J105" s="5" t="s">
        <v>129</v>
      </c>
      <c r="K105" s="5"/>
      <c r="L105" s="26">
        <v>45853</v>
      </c>
      <c r="M105" s="26" t="str">
        <f ca="1">DATEDIF(L105,TODAY(),"Y") &amp;" tahun " &amp; DATEDIF(L105,TODAY(),"YM")&amp;" bulan"</f>
        <v>1 tahun 0 bulan</v>
      </c>
      <c r="N105" s="5" t="s">
        <v>31</v>
      </c>
      <c r="O105" s="26">
        <v>36390</v>
      </c>
      <c r="P105" s="26" t="str">
        <f ca="1">IF(O105="","",DATEDIF(O105,TODAY(),"Y")&amp;" tahun")</f>
        <v>26 tahun</v>
      </c>
      <c r="Q105" s="5" t="s">
        <v>46</v>
      </c>
      <c r="R105" s="9"/>
      <c r="S105" s="27" t="s">
        <v>511</v>
      </c>
      <c r="T105" s="5" t="s">
        <v>512</v>
      </c>
      <c r="U105" s="5" t="s">
        <v>81</v>
      </c>
      <c r="V105" s="27"/>
      <c r="W105" s="27"/>
      <c r="X105" s="9"/>
      <c r="Y105" s="27"/>
      <c r="Z105" s="9"/>
      <c r="AA105" s="9" t="s">
        <v>41</v>
      </c>
      <c r="AB105" s="6"/>
    </row>
    <row r="106" spans="1:28">
      <c r="A106" s="5">
        <f>IF(AA106="aktif",MAX($A$1:A105)+1,"")</f>
        <v>84</v>
      </c>
      <c r="B106" s="25" t="s">
        <v>513</v>
      </c>
      <c r="C106" s="15" t="s">
        <v>514</v>
      </c>
      <c r="D106" s="139" t="s">
        <v>115</v>
      </c>
      <c r="E106" s="18" t="s">
        <v>392</v>
      </c>
      <c r="F106" s="5" t="s">
        <v>2225</v>
      </c>
      <c r="G106" s="5" t="s">
        <v>401</v>
      </c>
      <c r="H106" s="16" t="s">
        <v>481</v>
      </c>
      <c r="I106" s="18"/>
      <c r="J106" s="5" t="s">
        <v>129</v>
      </c>
      <c r="K106" s="5"/>
      <c r="L106" s="26"/>
      <c r="M106" s="26"/>
      <c r="N106" s="5"/>
      <c r="O106" s="26"/>
      <c r="P106" s="26"/>
      <c r="Q106" s="5" t="s">
        <v>46</v>
      </c>
      <c r="R106" s="9"/>
      <c r="S106" s="27"/>
      <c r="V106" s="27"/>
      <c r="W106" s="27"/>
      <c r="X106" s="9"/>
      <c r="Y106" s="27"/>
      <c r="Z106" s="9"/>
      <c r="AA106" s="9" t="s">
        <v>41</v>
      </c>
      <c r="AB106" s="6"/>
    </row>
    <row r="107" spans="1:28">
      <c r="A107" s="5" t="str">
        <f>IF(AA107="aktif",MAX($A$1:A106)+1,"")</f>
        <v/>
      </c>
      <c r="B107" s="25" t="s">
        <v>515</v>
      </c>
      <c r="C107" s="15" t="s">
        <v>516</v>
      </c>
      <c r="D107" s="139" t="s">
        <v>115</v>
      </c>
      <c r="E107" s="18" t="s">
        <v>392</v>
      </c>
      <c r="F107" s="16" t="s">
        <v>401</v>
      </c>
      <c r="G107" s="5" t="s">
        <v>401</v>
      </c>
      <c r="H107" s="14" t="s">
        <v>481</v>
      </c>
      <c r="I107" s="5"/>
      <c r="J107" s="5" t="s">
        <v>129</v>
      </c>
      <c r="K107" s="5"/>
      <c r="L107" s="26" t="e">
        <f t="shared" ref="L107" ca="1" si="7">IF(J107="","",DATEDIF(J107,TODAY(),"Y") &amp;" tahun " &amp; DATEDIF(J107,TODAY(),"YM")&amp;" bulan")</f>
        <v>#VALUE!</v>
      </c>
      <c r="M107" s="5" t="s">
        <v>31</v>
      </c>
      <c r="N107" s="26">
        <v>31878</v>
      </c>
      <c r="O107" s="26" t="str">
        <f t="shared" ref="O107:O108" ca="1" si="8">IF(N107="","",DATEDIF(N107,TODAY(),"Y")&amp;" tahun")</f>
        <v>39 tahun</v>
      </c>
      <c r="P107" s="5" t="s">
        <v>158</v>
      </c>
      <c r="Q107" s="35"/>
      <c r="R107" s="25" t="s">
        <v>517</v>
      </c>
      <c r="S107" s="5" t="s">
        <v>410</v>
      </c>
      <c r="T107" s="5" t="s">
        <v>35</v>
      </c>
      <c r="U107" s="25" t="s">
        <v>518</v>
      </c>
      <c r="V107" s="25" t="s">
        <v>519</v>
      </c>
      <c r="W107" s="5"/>
      <c r="X107" s="25"/>
      <c r="Y107" s="5"/>
      <c r="Z107" s="9" t="s">
        <v>41</v>
      </c>
      <c r="AA107" s="6"/>
    </row>
    <row r="108" spans="1:28">
      <c r="A108" s="5" t="str">
        <f>IF(AA108="aktif",MAX($A$1:A107)+1,"")</f>
        <v/>
      </c>
      <c r="B108" s="25" t="s">
        <v>520</v>
      </c>
      <c r="C108" s="15" t="s">
        <v>521</v>
      </c>
      <c r="D108" s="139" t="s">
        <v>115</v>
      </c>
      <c r="E108" s="18" t="s">
        <v>392</v>
      </c>
      <c r="F108" s="5" t="s">
        <v>401</v>
      </c>
      <c r="G108" s="5" t="s">
        <v>401</v>
      </c>
      <c r="H108" s="13" t="s">
        <v>481</v>
      </c>
      <c r="I108" s="5"/>
      <c r="J108" s="5" t="s">
        <v>129</v>
      </c>
      <c r="K108" s="5"/>
      <c r="L108" s="26" t="e">
        <f ca="1">IF(J108="","",DATEDIF(J108,TODAY(),"Y") &amp;" tahun " &amp; DATEDIF(J108,TODAY(),"YM")&amp;" bulan")</f>
        <v>#VALUE!</v>
      </c>
      <c r="M108" s="5" t="s">
        <v>31</v>
      </c>
      <c r="N108" s="26">
        <v>31877</v>
      </c>
      <c r="O108" s="26" t="str">
        <f t="shared" ca="1" si="8"/>
        <v>39 tahun</v>
      </c>
      <c r="P108" s="5" t="s">
        <v>46</v>
      </c>
      <c r="Q108" s="35">
        <v>4200000</v>
      </c>
      <c r="R108" s="25" t="s">
        <v>522</v>
      </c>
      <c r="S108" s="5" t="s">
        <v>523</v>
      </c>
      <c r="T108" s="5" t="s">
        <v>35</v>
      </c>
      <c r="U108" s="25" t="s">
        <v>524</v>
      </c>
      <c r="V108" s="25" t="s">
        <v>525</v>
      </c>
      <c r="W108" s="5"/>
      <c r="X108" s="25"/>
      <c r="Y108" s="5"/>
      <c r="Z108" s="9" t="s">
        <v>41</v>
      </c>
      <c r="AA108" s="6"/>
    </row>
    <row r="109" spans="1:28">
      <c r="A109" s="5" t="str">
        <f>IF(AB109="aktif",MAX($A$1:A108)+1,"")</f>
        <v/>
      </c>
      <c r="B109" s="25"/>
      <c r="C109" s="15" t="s">
        <v>788</v>
      </c>
      <c r="D109" s="139" t="s">
        <v>115</v>
      </c>
      <c r="E109" s="125" t="s">
        <v>786</v>
      </c>
      <c r="F109" s="5" t="s">
        <v>2185</v>
      </c>
      <c r="G109" s="5" t="s">
        <v>401</v>
      </c>
      <c r="H109" s="16"/>
      <c r="J109" s="16" t="s">
        <v>71</v>
      </c>
      <c r="K109" s="101"/>
      <c r="L109" s="26">
        <v>45929</v>
      </c>
      <c r="M109" s="26" t="str">
        <f ca="1">DATEDIF(L109,TODAY(),"Y") &amp;" tahun " &amp; DATEDIF(L109,TODAY(),"YM")&amp;" bulan"</f>
        <v>0 tahun 10 bulan</v>
      </c>
      <c r="N109" s="5" t="s">
        <v>31</v>
      </c>
      <c r="O109" s="26">
        <v>33885</v>
      </c>
      <c r="P109" s="26" t="str">
        <f ca="1">IF(O109="","",DATEDIF(O109,TODAY(),"Y")&amp;" tahun")</f>
        <v>33 tahun</v>
      </c>
      <c r="Q109" s="5" t="s">
        <v>46</v>
      </c>
      <c r="R109" s="9"/>
      <c r="S109" s="27" t="s">
        <v>790</v>
      </c>
      <c r="T109" s="5" t="s">
        <v>791</v>
      </c>
      <c r="U109" s="5" t="s">
        <v>302</v>
      </c>
      <c r="V109" s="27" t="s">
        <v>792</v>
      </c>
      <c r="W109" s="27" t="s">
        <v>793</v>
      </c>
      <c r="X109" s="9"/>
      <c r="Y109" s="27"/>
      <c r="Z109" s="9"/>
      <c r="AA109" s="9" t="s">
        <v>41</v>
      </c>
      <c r="AB109" s="6"/>
    </row>
    <row r="110" spans="1:28">
      <c r="A110" s="5" t="str">
        <f>IF(AB110="aktif",MAX($A$1:A109)+1,"")</f>
        <v/>
      </c>
      <c r="B110" s="5" t="s">
        <v>794</v>
      </c>
      <c r="C110" s="15" t="s">
        <v>794</v>
      </c>
      <c r="D110" s="139" t="s">
        <v>115</v>
      </c>
      <c r="E110" s="125" t="s">
        <v>786</v>
      </c>
      <c r="F110" s="5" t="s">
        <v>2185</v>
      </c>
      <c r="G110" s="5" t="s">
        <v>401</v>
      </c>
      <c r="H110" s="16"/>
      <c r="I110" s="125"/>
      <c r="J110" s="16" t="s">
        <v>71</v>
      </c>
      <c r="K110" s="101"/>
      <c r="L110" s="26">
        <v>45929</v>
      </c>
      <c r="M110" s="26" t="str">
        <f ca="1">DATEDIF(L110,TODAY(),"Y") &amp;" tahun " &amp; DATEDIF(L110,TODAY(),"YM")&amp;" bulan"</f>
        <v>0 tahun 10 bulan</v>
      </c>
      <c r="N110" s="5" t="s">
        <v>31</v>
      </c>
      <c r="O110" s="26">
        <v>34063</v>
      </c>
      <c r="P110" s="26" t="str">
        <f ca="1">IF(O110="","",DATEDIF(O110,TODAY(),"Y")&amp;" tahun")</f>
        <v>33 tahun</v>
      </c>
      <c r="Q110" s="5" t="s">
        <v>46</v>
      </c>
      <c r="R110" s="9"/>
      <c r="S110" s="27" t="s">
        <v>795</v>
      </c>
      <c r="T110" s="5" t="s">
        <v>796</v>
      </c>
      <c r="U110" s="5" t="s">
        <v>302</v>
      </c>
      <c r="V110" s="27" t="s">
        <v>797</v>
      </c>
      <c r="W110" s="27" t="s">
        <v>798</v>
      </c>
      <c r="X110" s="9"/>
      <c r="Y110" s="27"/>
      <c r="Z110" s="9"/>
      <c r="AA110" s="9" t="s">
        <v>41</v>
      </c>
      <c r="AB110" s="6"/>
    </row>
    <row r="111" spans="1:28">
      <c r="A111" s="5">
        <f>IF(AA111="aktif",MAX($A$1:A110)+1,"")</f>
        <v>85</v>
      </c>
      <c r="B111" s="5" t="s">
        <v>799</v>
      </c>
      <c r="C111" s="15" t="s">
        <v>799</v>
      </c>
      <c r="D111" s="139" t="s">
        <v>115</v>
      </c>
      <c r="E111" s="125" t="s">
        <v>786</v>
      </c>
      <c r="F111" s="5" t="s">
        <v>2185</v>
      </c>
      <c r="G111" s="5" t="s">
        <v>401</v>
      </c>
      <c r="H111" s="16"/>
      <c r="I111" s="125"/>
      <c r="J111" s="16" t="s">
        <v>71</v>
      </c>
      <c r="K111" s="101"/>
      <c r="L111" s="26">
        <v>45929</v>
      </c>
      <c r="M111" s="26" t="str">
        <f ca="1">DATEDIF(L111,TODAY(),"Y") &amp;" tahun " &amp; DATEDIF(L111,TODAY(),"YM")&amp;" bulan"</f>
        <v>0 tahun 10 bulan</v>
      </c>
      <c r="N111" s="5" t="s">
        <v>31</v>
      </c>
      <c r="O111" s="26">
        <v>33302</v>
      </c>
      <c r="P111" s="26" t="str">
        <f ca="1">IF(O111="","",DATEDIF(O111,TODAY(),"Y")&amp;" tahun")</f>
        <v>35 tahun</v>
      </c>
      <c r="Q111" s="5" t="s">
        <v>46</v>
      </c>
      <c r="R111" s="9"/>
      <c r="S111" s="27" t="s">
        <v>800</v>
      </c>
      <c r="T111" s="5" t="s">
        <v>801</v>
      </c>
      <c r="U111" s="5" t="s">
        <v>217</v>
      </c>
      <c r="V111" s="27" t="s">
        <v>802</v>
      </c>
      <c r="W111" s="27" t="s">
        <v>803</v>
      </c>
      <c r="X111" s="9"/>
      <c r="Y111" s="27"/>
      <c r="Z111" s="9"/>
      <c r="AA111" s="9" t="s">
        <v>41</v>
      </c>
    </row>
    <row r="112" spans="1:28">
      <c r="A112" s="5"/>
      <c r="B112" s="25"/>
      <c r="C112" s="15" t="s">
        <v>804</v>
      </c>
      <c r="D112" s="139" t="s">
        <v>115</v>
      </c>
      <c r="E112" s="125" t="s">
        <v>786</v>
      </c>
      <c r="F112" s="5"/>
      <c r="G112" s="5" t="s">
        <v>401</v>
      </c>
      <c r="H112" s="16"/>
      <c r="I112" s="18"/>
      <c r="J112" s="16" t="s">
        <v>71</v>
      </c>
      <c r="K112" s="101"/>
      <c r="L112" s="26">
        <v>46143</v>
      </c>
      <c r="M112" s="26" t="str">
        <f ca="1">DATEDIF(L112,TODAY(),"Y") &amp;" tahun " &amp; DATEDIF(L112,TODAY(),"YM")&amp;" bulan"</f>
        <v>0 tahun 3 bulan</v>
      </c>
      <c r="N112" s="5" t="s">
        <v>31</v>
      </c>
      <c r="O112" s="26">
        <v>46084</v>
      </c>
      <c r="P112" s="26" t="str">
        <f ca="1">IF(O112="","",DATEDIF(O112,TODAY(),"Y")&amp;" tahun")</f>
        <v>0 tahun</v>
      </c>
      <c r="Q112" s="5" t="s">
        <v>46</v>
      </c>
      <c r="R112" s="25"/>
      <c r="S112" s="5"/>
      <c r="U112" s="25"/>
      <c r="V112" s="25"/>
      <c r="W112" s="5"/>
      <c r="X112" s="25"/>
      <c r="Y112" s="5"/>
      <c r="Z112" s="9"/>
      <c r="AA112" s="6"/>
    </row>
    <row r="113" spans="1:33">
      <c r="A113" s="5">
        <f>IF(AA113="aktif",MAX($A$1:A106)+1,"")</f>
        <v>85</v>
      </c>
      <c r="B113" s="25"/>
      <c r="C113" s="15" t="s">
        <v>526</v>
      </c>
      <c r="D113" s="139" t="s">
        <v>54</v>
      </c>
      <c r="E113" s="12" t="s">
        <v>527</v>
      </c>
      <c r="F113" s="5" t="s">
        <v>2226</v>
      </c>
      <c r="G113" s="7" t="s">
        <v>527</v>
      </c>
      <c r="I113" s="116"/>
      <c r="J113" s="5" t="s">
        <v>30</v>
      </c>
      <c r="K113" s="5"/>
      <c r="L113" s="26"/>
      <c r="M113" s="26" t="str">
        <f t="shared" ca="1" si="6"/>
        <v/>
      </c>
      <c r="N113" s="5" t="s">
        <v>31</v>
      </c>
      <c r="O113" s="26">
        <v>30585</v>
      </c>
      <c r="P113" s="26" t="str">
        <f t="shared" ca="1" si="5"/>
        <v>42 tahun</v>
      </c>
      <c r="Q113" s="5" t="s">
        <v>72</v>
      </c>
      <c r="R113" s="6"/>
      <c r="S113" s="6"/>
      <c r="T113" s="5" t="s">
        <v>528</v>
      </c>
      <c r="V113" s="6"/>
      <c r="W113" s="6"/>
      <c r="X113" s="6"/>
      <c r="Y113" s="6"/>
      <c r="Z113" s="6"/>
      <c r="AA113" s="9" t="s">
        <v>41</v>
      </c>
      <c r="AB113" s="6"/>
    </row>
    <row r="114" spans="1:33" hidden="1">
      <c r="A114" s="5" t="str">
        <f>IF(AA114="aktif",MAX($A$1:A113)+1,"")</f>
        <v/>
      </c>
      <c r="B114" s="25"/>
      <c r="C114" s="15" t="s">
        <v>529</v>
      </c>
      <c r="D114" s="139" t="s">
        <v>54</v>
      </c>
      <c r="E114" s="12" t="s">
        <v>527</v>
      </c>
      <c r="F114" s="5" t="s">
        <v>530</v>
      </c>
      <c r="G114" s="7" t="s">
        <v>527</v>
      </c>
      <c r="I114" s="116"/>
      <c r="J114" s="5" t="s">
        <v>45</v>
      </c>
      <c r="K114" s="5"/>
      <c r="L114" s="26">
        <v>45926</v>
      </c>
      <c r="M114" s="26" t="str">
        <f t="shared" ca="1" si="6"/>
        <v>0 tahun 10 bulan</v>
      </c>
      <c r="N114" s="5" t="s">
        <v>31</v>
      </c>
      <c r="O114" s="26">
        <v>33844</v>
      </c>
      <c r="P114" s="26" t="str">
        <f t="shared" ca="1" si="5"/>
        <v>33 tahun</v>
      </c>
      <c r="Q114" s="5" t="s">
        <v>72</v>
      </c>
      <c r="R114" s="6"/>
      <c r="S114" s="6"/>
      <c r="T114" s="5" t="s">
        <v>531</v>
      </c>
      <c r="V114" s="6"/>
      <c r="W114" s="6"/>
      <c r="X114" s="6"/>
      <c r="Y114" s="6"/>
      <c r="Z114" s="6"/>
      <c r="AA114" s="9" t="s">
        <v>372</v>
      </c>
      <c r="AB114" s="6"/>
    </row>
    <row r="115" spans="1:33">
      <c r="A115" s="5">
        <f>IF(AA115="aktif",MAX($A$1:A114)+1,"")</f>
        <v>86</v>
      </c>
      <c r="B115" s="25"/>
      <c r="C115" s="142" t="s">
        <v>532</v>
      </c>
      <c r="D115" s="139" t="s">
        <v>54</v>
      </c>
      <c r="E115" s="12" t="s">
        <v>527</v>
      </c>
      <c r="F115" s="5" t="s">
        <v>557</v>
      </c>
      <c r="G115" s="7" t="s">
        <v>527</v>
      </c>
      <c r="H115" s="133"/>
      <c r="I115" s="6"/>
      <c r="J115" s="5" t="s">
        <v>45</v>
      </c>
      <c r="K115" s="13"/>
      <c r="L115" s="36">
        <v>45714</v>
      </c>
      <c r="M115" s="26" t="str">
        <f t="shared" ca="1" si="6"/>
        <v>1 tahun 5 bulan</v>
      </c>
      <c r="N115" s="5" t="s">
        <v>31</v>
      </c>
      <c r="O115" s="26">
        <v>36409</v>
      </c>
      <c r="P115" s="26" t="str">
        <f t="shared" ca="1" si="5"/>
        <v>26 tahun</v>
      </c>
      <c r="Q115" s="5" t="s">
        <v>72</v>
      </c>
      <c r="R115" s="6"/>
      <c r="S115" s="6"/>
      <c r="T115" s="5" t="s">
        <v>533</v>
      </c>
      <c r="U115" s="5" t="s">
        <v>81</v>
      </c>
      <c r="V115" s="6"/>
      <c r="W115" s="6"/>
      <c r="X115" s="6"/>
      <c r="Y115" s="6"/>
      <c r="Z115" s="6"/>
      <c r="AA115" s="9" t="s">
        <v>41</v>
      </c>
      <c r="AB115" s="6" t="s">
        <v>534</v>
      </c>
    </row>
    <row r="116" spans="1:33">
      <c r="A116" s="5">
        <f>IF(AA116="aktif",MAX($A$1:A115)+1,"")</f>
        <v>87</v>
      </c>
      <c r="B116" s="37"/>
      <c r="C116" s="145" t="s">
        <v>535</v>
      </c>
      <c r="D116" s="139" t="s">
        <v>391</v>
      </c>
      <c r="E116" s="12" t="s">
        <v>536</v>
      </c>
      <c r="F116" s="5" t="s">
        <v>557</v>
      </c>
      <c r="G116" s="12" t="s">
        <v>536</v>
      </c>
      <c r="I116" s="116"/>
      <c r="J116" s="15" t="s">
        <v>30</v>
      </c>
      <c r="K116" s="101"/>
      <c r="L116" s="84">
        <v>37218</v>
      </c>
      <c r="M116" s="26" t="str">
        <f t="shared" ca="1" si="6"/>
        <v>24 tahun 8 bulan</v>
      </c>
      <c r="N116" s="5" t="s">
        <v>55</v>
      </c>
      <c r="O116" s="85">
        <v>26600</v>
      </c>
      <c r="P116" s="26" t="str">
        <f t="shared" ca="1" si="5"/>
        <v>53 tahun</v>
      </c>
      <c r="Q116" s="5" t="s">
        <v>32</v>
      </c>
      <c r="R116" s="6"/>
      <c r="S116" s="6"/>
      <c r="T116" s="86" t="s">
        <v>537</v>
      </c>
      <c r="V116" s="6"/>
      <c r="W116" s="6"/>
      <c r="X116" s="6"/>
      <c r="Y116" s="6"/>
      <c r="Z116" s="6"/>
      <c r="AA116" s="9" t="s">
        <v>41</v>
      </c>
      <c r="AB116" s="6"/>
    </row>
    <row r="117" spans="1:33">
      <c r="A117" s="5">
        <f>IF(AA117="aktif",MAX($A$1:A116)+1,"")</f>
        <v>88</v>
      </c>
      <c r="B117" s="37"/>
      <c r="C117" s="145" t="s">
        <v>538</v>
      </c>
      <c r="D117" s="139" t="s">
        <v>63</v>
      </c>
      <c r="E117" s="12" t="s">
        <v>536</v>
      </c>
      <c r="F117" s="5" t="s">
        <v>557</v>
      </c>
      <c r="G117" s="12" t="s">
        <v>536</v>
      </c>
      <c r="I117" s="116"/>
      <c r="J117" s="15" t="s">
        <v>45</v>
      </c>
      <c r="K117" s="101"/>
      <c r="L117" s="84">
        <v>41548</v>
      </c>
      <c r="M117" s="26" t="str">
        <f t="shared" ca="1" si="6"/>
        <v>12 tahun 10 bulan</v>
      </c>
      <c r="N117" s="5" t="s">
        <v>55</v>
      </c>
      <c r="O117" s="87">
        <v>34903</v>
      </c>
      <c r="P117" s="26" t="str">
        <f t="shared" ca="1" si="5"/>
        <v>31 tahun</v>
      </c>
      <c r="Q117" s="5" t="s">
        <v>72</v>
      </c>
      <c r="R117" s="6"/>
      <c r="S117" s="6"/>
      <c r="T117" s="88" t="s">
        <v>539</v>
      </c>
      <c r="V117" s="6"/>
      <c r="W117" s="6"/>
      <c r="X117" s="6"/>
      <c r="Y117" s="6"/>
      <c r="Z117" s="6"/>
      <c r="AA117" s="9" t="s">
        <v>41</v>
      </c>
      <c r="AB117" s="6"/>
    </row>
    <row r="118" spans="1:33">
      <c r="A118" s="5">
        <f>IF(AA118="aktif",MAX($A$1:A117)+1,"")</f>
        <v>89</v>
      </c>
      <c r="B118" s="37"/>
      <c r="C118" s="145" t="s">
        <v>540</v>
      </c>
      <c r="D118" s="139" t="s">
        <v>54</v>
      </c>
      <c r="E118" s="12" t="s">
        <v>536</v>
      </c>
      <c r="F118" s="5" t="s">
        <v>557</v>
      </c>
      <c r="G118" s="12" t="s">
        <v>536</v>
      </c>
      <c r="I118" s="116"/>
      <c r="J118" s="15" t="s">
        <v>45</v>
      </c>
      <c r="K118" s="101"/>
      <c r="L118" s="84">
        <v>45971</v>
      </c>
      <c r="M118" s="26" t="str">
        <f t="shared" ca="1" si="6"/>
        <v>0 tahun 9 bulan</v>
      </c>
      <c r="N118" s="5" t="s">
        <v>55</v>
      </c>
      <c r="O118" s="89">
        <v>36941</v>
      </c>
      <c r="P118" s="26" t="str">
        <f t="shared" ca="1" si="5"/>
        <v>25 tahun</v>
      </c>
      <c r="Q118" s="5" t="s">
        <v>72</v>
      </c>
      <c r="R118" s="6"/>
      <c r="S118" s="6"/>
      <c r="T118" s="90" t="s">
        <v>541</v>
      </c>
      <c r="V118" s="6"/>
      <c r="W118" s="6"/>
      <c r="X118" s="6"/>
      <c r="Y118" s="6"/>
      <c r="Z118" s="6"/>
      <c r="AA118" s="9" t="s">
        <v>41</v>
      </c>
      <c r="AB118" s="6"/>
    </row>
    <row r="119" spans="1:33">
      <c r="A119" s="5">
        <f>IF(AA119="aktif",MAX($A$1:A118)+1,"")</f>
        <v>90</v>
      </c>
      <c r="B119" s="25"/>
      <c r="C119" s="146" t="s">
        <v>542</v>
      </c>
      <c r="D119" s="139" t="s">
        <v>54</v>
      </c>
      <c r="E119" s="18" t="s">
        <v>543</v>
      </c>
      <c r="F119" s="16" t="s">
        <v>557</v>
      </c>
      <c r="G119" s="5" t="s">
        <v>543</v>
      </c>
      <c r="H119" s="16"/>
      <c r="I119" s="18"/>
      <c r="J119" s="5" t="s">
        <v>45</v>
      </c>
      <c r="K119" s="14"/>
      <c r="L119" s="38">
        <v>45712</v>
      </c>
      <c r="M119" s="26" t="str">
        <f t="shared" ref="M119:M140" ca="1" si="9">DATEDIF(L119,TODAY(),"Y") &amp;" tahun " &amp; DATEDIF(L119,TODAY(),"YM")&amp;" bulan"</f>
        <v>1 tahun 5 bulan</v>
      </c>
      <c r="N119" s="5" t="s">
        <v>31</v>
      </c>
      <c r="O119" s="26"/>
      <c r="P119" s="26" t="str">
        <f t="shared" ca="1" si="5"/>
        <v/>
      </c>
      <c r="Q119" s="5" t="s">
        <v>72</v>
      </c>
      <c r="R119" s="9"/>
      <c r="S119" s="27"/>
      <c r="U119" s="5" t="s">
        <v>302</v>
      </c>
      <c r="V119" s="27"/>
      <c r="W119" s="27"/>
      <c r="X119" s="9"/>
      <c r="Y119" s="27"/>
      <c r="Z119" s="9"/>
      <c r="AA119" s="9" t="s">
        <v>41</v>
      </c>
      <c r="AB119" s="6" t="s">
        <v>544</v>
      </c>
    </row>
    <row r="120" spans="1:33">
      <c r="A120" s="5">
        <f>IF(AA120="aktif",MAX($A$1:A119)+1,"")</f>
        <v>91</v>
      </c>
      <c r="B120" s="25"/>
      <c r="C120" s="15" t="s">
        <v>545</v>
      </c>
      <c r="D120" s="139" t="s">
        <v>54</v>
      </c>
      <c r="E120" s="18" t="s">
        <v>543</v>
      </c>
      <c r="F120" s="91" t="s">
        <v>584</v>
      </c>
      <c r="G120" s="5" t="s">
        <v>543</v>
      </c>
      <c r="H120" s="16"/>
      <c r="I120" s="18"/>
      <c r="J120" s="5" t="s">
        <v>45</v>
      </c>
      <c r="K120" s="5"/>
      <c r="L120" s="26">
        <v>45958</v>
      </c>
      <c r="M120" s="26" t="str">
        <f t="shared" ca="1" si="9"/>
        <v>0 tahun 9 bulan</v>
      </c>
      <c r="N120" s="5" t="s">
        <v>55</v>
      </c>
      <c r="O120" s="26">
        <v>37504</v>
      </c>
      <c r="P120" s="26" t="str">
        <f t="shared" ca="1" si="5"/>
        <v>23 tahun</v>
      </c>
      <c r="Q120" s="5" t="s">
        <v>72</v>
      </c>
      <c r="R120" s="9"/>
      <c r="S120" s="27" t="s">
        <v>546</v>
      </c>
      <c r="T120" s="5" t="s">
        <v>547</v>
      </c>
      <c r="U120" s="5" t="s">
        <v>81</v>
      </c>
      <c r="V120" s="27" t="s">
        <v>548</v>
      </c>
      <c r="W120" s="27" t="s">
        <v>549</v>
      </c>
      <c r="X120" s="9"/>
      <c r="Y120" s="27"/>
      <c r="Z120" s="9"/>
      <c r="AA120" s="9" t="s">
        <v>41</v>
      </c>
      <c r="AB120" s="6"/>
    </row>
    <row r="121" spans="1:33">
      <c r="A121" s="5">
        <f>IF(AA121="aktif",MAX($A$1:A120)+1,"")</f>
        <v>92</v>
      </c>
      <c r="B121" s="25"/>
      <c r="C121" s="15" t="s">
        <v>550</v>
      </c>
      <c r="D121" s="139" t="s">
        <v>54</v>
      </c>
      <c r="E121" s="18" t="s">
        <v>543</v>
      </c>
      <c r="F121" s="91" t="s">
        <v>584</v>
      </c>
      <c r="G121" s="5" t="s">
        <v>543</v>
      </c>
      <c r="H121" s="16"/>
      <c r="I121" s="18"/>
      <c r="J121" s="5" t="s">
        <v>45</v>
      </c>
      <c r="K121" s="5"/>
      <c r="L121" s="26">
        <v>45810</v>
      </c>
      <c r="M121" s="26" t="str">
        <f t="shared" ca="1" si="9"/>
        <v>1 tahun 2 bulan</v>
      </c>
      <c r="N121" s="5" t="s">
        <v>31</v>
      </c>
      <c r="O121" s="26"/>
      <c r="P121" s="26" t="str">
        <f t="shared" ca="1" si="5"/>
        <v/>
      </c>
      <c r="Q121" s="5" t="s">
        <v>72</v>
      </c>
      <c r="R121" s="9"/>
      <c r="S121" s="27"/>
      <c r="U121" s="5" t="s">
        <v>302</v>
      </c>
      <c r="V121" s="27"/>
      <c r="W121" s="27"/>
      <c r="X121" s="9"/>
      <c r="Y121" s="27"/>
      <c r="Z121" s="9"/>
      <c r="AA121" s="9" t="s">
        <v>41</v>
      </c>
      <c r="AB121" s="6" t="s">
        <v>551</v>
      </c>
    </row>
    <row r="122" spans="1:33">
      <c r="A122" s="5" t="str">
        <f>IF(AA122="aktif",MAX($A$1:A121)+1,"")</f>
        <v/>
      </c>
      <c r="B122" s="25"/>
      <c r="C122" s="15" t="s">
        <v>552</v>
      </c>
      <c r="D122" s="139" t="s">
        <v>391</v>
      </c>
      <c r="E122" s="18" t="s">
        <v>553</v>
      </c>
      <c r="F122" s="5" t="s">
        <v>2227</v>
      </c>
      <c r="G122" s="91"/>
      <c r="H122" s="132"/>
      <c r="I122" s="5"/>
      <c r="J122" s="5" t="s">
        <v>45</v>
      </c>
      <c r="K122" s="5"/>
      <c r="L122" s="26" t="e">
        <f ca="1">DATEDIF(J122,TODAY(),"Y") &amp;" tahun " &amp; DATEDIF(J122,TODAY(),"YM")&amp;" bulan"</f>
        <v>#VALUE!</v>
      </c>
      <c r="M122" s="5" t="s">
        <v>31</v>
      </c>
      <c r="N122" s="39">
        <v>34805</v>
      </c>
      <c r="O122" s="92" t="s">
        <v>554</v>
      </c>
      <c r="P122" s="5" t="s">
        <v>72</v>
      </c>
      <c r="Q122" s="40"/>
      <c r="R122" s="93">
        <v>3603121604950000</v>
      </c>
      <c r="S122" s="92" t="s">
        <v>555</v>
      </c>
      <c r="T122" s="94" t="s">
        <v>217</v>
      </c>
      <c r="U122" s="41"/>
      <c r="V122" s="41"/>
      <c r="W122" s="40"/>
      <c r="X122" s="41"/>
      <c r="Y122" s="40"/>
      <c r="Z122" s="9" t="s">
        <v>41</v>
      </c>
      <c r="AA122" s="45"/>
      <c r="AB122" s="137"/>
      <c r="AC122" s="137"/>
      <c r="AD122" s="137"/>
      <c r="AE122" s="137"/>
      <c r="AF122" s="137"/>
      <c r="AG122" s="137"/>
    </row>
    <row r="123" spans="1:33">
      <c r="A123" s="5">
        <f>IF(AA123="aktif",MAX($A$1:A121)+1,"")</f>
        <v>93</v>
      </c>
      <c r="B123" s="25"/>
      <c r="C123" s="15" t="s">
        <v>556</v>
      </c>
      <c r="D123" s="139" t="s">
        <v>564</v>
      </c>
      <c r="E123" s="18" t="s">
        <v>553</v>
      </c>
      <c r="F123" s="91" t="s">
        <v>584</v>
      </c>
      <c r="G123" s="5" t="s">
        <v>557</v>
      </c>
      <c r="H123" s="16" t="s">
        <v>557</v>
      </c>
      <c r="I123" s="18"/>
      <c r="J123" s="5" t="s">
        <v>45</v>
      </c>
      <c r="K123" s="5"/>
      <c r="L123" s="26">
        <v>41426</v>
      </c>
      <c r="M123" s="26" t="str">
        <f ca="1">IF(L123="","",DATEDIF(L123,TODAY(),"Y") &amp;" tahun " &amp; DATEDIF(L123,TODAY(),"YM")&amp;" bulan")</f>
        <v>13 tahun 2 bulan</v>
      </c>
      <c r="N123" s="5" t="s">
        <v>31</v>
      </c>
      <c r="O123" s="26">
        <v>34053</v>
      </c>
      <c r="P123" s="26" t="str">
        <f t="shared" ref="P123:P139" ca="1" si="10">IF(O123="","",DATEDIF(O123,TODAY(),"Y")&amp;" tahun")</f>
        <v>33 tahun</v>
      </c>
      <c r="Q123" s="5" t="s">
        <v>46</v>
      </c>
      <c r="R123" s="35"/>
      <c r="S123" s="25" t="s">
        <v>558</v>
      </c>
      <c r="T123" s="5" t="s">
        <v>559</v>
      </c>
      <c r="U123" s="5" t="s">
        <v>35</v>
      </c>
      <c r="V123" s="25" t="s">
        <v>560</v>
      </c>
      <c r="W123" s="25" t="s">
        <v>561</v>
      </c>
      <c r="X123" s="5"/>
      <c r="Y123" s="25" t="s">
        <v>562</v>
      </c>
      <c r="Z123" s="5"/>
      <c r="AA123" s="9" t="s">
        <v>41</v>
      </c>
      <c r="AB123" s="6"/>
    </row>
    <row r="124" spans="1:33">
      <c r="A124" s="5">
        <f>IF(AA124="aktif",MAX($A$1:A123)+1,"")</f>
        <v>94</v>
      </c>
      <c r="B124" s="25"/>
      <c r="C124" s="15" t="s">
        <v>563</v>
      </c>
      <c r="D124" s="139" t="s">
        <v>564</v>
      </c>
      <c r="E124" s="18" t="s">
        <v>553</v>
      </c>
      <c r="F124" s="91" t="s">
        <v>584</v>
      </c>
      <c r="G124" s="5" t="s">
        <v>557</v>
      </c>
      <c r="H124" s="16" t="s">
        <v>557</v>
      </c>
      <c r="I124" s="18"/>
      <c r="J124" s="5" t="s">
        <v>45</v>
      </c>
      <c r="K124" s="5"/>
      <c r="L124" s="26">
        <v>45200</v>
      </c>
      <c r="M124" s="26" t="str">
        <f ca="1">IF(L124="","",DATEDIF(L124,TODAY(),"Y") &amp;" tahun " &amp; DATEDIF(L124,TODAY(),"YM")&amp;" bulan")</f>
        <v>2 tahun 10 bulan</v>
      </c>
      <c r="N124" s="5" t="s">
        <v>31</v>
      </c>
      <c r="O124" s="26">
        <v>38084</v>
      </c>
      <c r="P124" s="26" t="str">
        <f t="shared" ca="1" si="10"/>
        <v>22 tahun</v>
      </c>
      <c r="Q124" s="5" t="s">
        <v>46</v>
      </c>
      <c r="R124" s="35">
        <v>4856026</v>
      </c>
      <c r="S124" s="25" t="s">
        <v>565</v>
      </c>
      <c r="T124" s="5" t="s">
        <v>566</v>
      </c>
      <c r="U124" s="5" t="s">
        <v>165</v>
      </c>
      <c r="V124" s="25" t="s">
        <v>567</v>
      </c>
      <c r="W124" s="25" t="s">
        <v>568</v>
      </c>
      <c r="X124" s="5"/>
      <c r="Y124" s="25"/>
      <c r="Z124" s="5"/>
      <c r="AA124" s="9" t="s">
        <v>41</v>
      </c>
      <c r="AB124" s="6"/>
    </row>
    <row r="125" spans="1:33">
      <c r="A125" s="5">
        <f>IF(AA125="aktif",MAX($A$1:A124)+1,"")</f>
        <v>95</v>
      </c>
      <c r="B125" s="25"/>
      <c r="C125" s="15" t="s">
        <v>569</v>
      </c>
      <c r="D125" s="139" t="s">
        <v>564</v>
      </c>
      <c r="E125" s="18" t="s">
        <v>553</v>
      </c>
      <c r="F125" s="91" t="s">
        <v>584</v>
      </c>
      <c r="G125" s="5" t="s">
        <v>557</v>
      </c>
      <c r="H125" s="16" t="s">
        <v>557</v>
      </c>
      <c r="I125" s="18"/>
      <c r="J125" s="5" t="s">
        <v>45</v>
      </c>
      <c r="K125" s="5"/>
      <c r="L125" s="26">
        <v>41856</v>
      </c>
      <c r="M125" s="26" t="str">
        <f ca="1">IF(L125="","",DATEDIF(L125,TODAY(),"Y") &amp;" tahun " &amp; DATEDIF(L125,TODAY(),"YM")&amp;" bulan")</f>
        <v>12 tahun 0 bulan</v>
      </c>
      <c r="N125" s="5" t="s">
        <v>31</v>
      </c>
      <c r="O125" s="26">
        <v>35042</v>
      </c>
      <c r="P125" s="26" t="str">
        <f t="shared" ca="1" si="10"/>
        <v>30 tahun</v>
      </c>
      <c r="Q125" s="5" t="s">
        <v>46</v>
      </c>
      <c r="R125" s="35">
        <v>4856026</v>
      </c>
      <c r="S125" s="25" t="s">
        <v>570</v>
      </c>
      <c r="T125" s="5" t="s">
        <v>571</v>
      </c>
      <c r="U125" s="5" t="s">
        <v>35</v>
      </c>
      <c r="V125" s="25" t="s">
        <v>572</v>
      </c>
      <c r="W125" s="25" t="s">
        <v>573</v>
      </c>
      <c r="X125" s="5">
        <v>86502874062300</v>
      </c>
      <c r="Y125" s="25" t="s">
        <v>574</v>
      </c>
      <c r="Z125" s="5"/>
      <c r="AA125" s="9" t="s">
        <v>41</v>
      </c>
      <c r="AB125" s="6"/>
    </row>
    <row r="126" spans="1:33">
      <c r="A126" s="5">
        <f>IF(AA126="aktif",MAX($A$1:A125)+1,"")</f>
        <v>96</v>
      </c>
      <c r="B126" s="25" t="s">
        <v>575</v>
      </c>
      <c r="C126" s="15" t="s">
        <v>576</v>
      </c>
      <c r="D126" s="139" t="s">
        <v>564</v>
      </c>
      <c r="E126" s="18" t="s">
        <v>553</v>
      </c>
      <c r="F126" s="91" t="s">
        <v>584</v>
      </c>
      <c r="G126" s="5" t="s">
        <v>557</v>
      </c>
      <c r="H126" s="16" t="s">
        <v>557</v>
      </c>
      <c r="I126" s="18"/>
      <c r="J126" s="5" t="s">
        <v>30</v>
      </c>
      <c r="K126" s="5"/>
      <c r="L126" s="26">
        <v>37090</v>
      </c>
      <c r="M126" s="26" t="str">
        <f ca="1">IF(L126="","",DATEDIF(L126,TODAY(),"Y") &amp;" tahun " &amp; DATEDIF(L126,TODAY(),"YM")&amp;" bulan")</f>
        <v>25 tahun 0 bulan</v>
      </c>
      <c r="N126" s="5" t="s">
        <v>31</v>
      </c>
      <c r="O126" s="26">
        <v>28882</v>
      </c>
      <c r="P126" s="26" t="str">
        <f t="shared" ca="1" si="10"/>
        <v>47 tahun</v>
      </c>
      <c r="Q126" s="5" t="s">
        <v>46</v>
      </c>
      <c r="R126" s="35"/>
      <c r="S126" s="25" t="s">
        <v>577</v>
      </c>
      <c r="T126" s="5" t="s">
        <v>578</v>
      </c>
      <c r="U126" s="5" t="s">
        <v>35</v>
      </c>
      <c r="V126" s="25" t="s">
        <v>579</v>
      </c>
      <c r="W126" s="25" t="s">
        <v>580</v>
      </c>
      <c r="X126" s="5"/>
      <c r="Y126" s="25" t="s">
        <v>581</v>
      </c>
      <c r="Z126" s="5" t="s">
        <v>582</v>
      </c>
      <c r="AA126" s="9" t="s">
        <v>41</v>
      </c>
      <c r="AB126" s="6"/>
    </row>
    <row r="127" spans="1:33" hidden="1">
      <c r="A127" s="5" t="str">
        <f>IF(AA127="aktif",MAX($A$1:A126)+1,"")</f>
        <v/>
      </c>
      <c r="B127" s="25"/>
      <c r="C127" s="5" t="s">
        <v>583</v>
      </c>
      <c r="D127" s="152" t="s">
        <v>115</v>
      </c>
      <c r="E127" s="5" t="s">
        <v>553</v>
      </c>
      <c r="F127" s="91" t="s">
        <v>584</v>
      </c>
      <c r="G127" s="18" t="s">
        <v>557</v>
      </c>
      <c r="H127" s="132" t="s">
        <v>557</v>
      </c>
      <c r="I127" s="5"/>
      <c r="J127" s="5" t="s">
        <v>45</v>
      </c>
      <c r="K127" s="5"/>
      <c r="L127" s="26">
        <v>45887</v>
      </c>
      <c r="M127" s="26" t="str">
        <f ca="1">DATEDIF(L127,TODAY(),"Y") &amp;" tahun " &amp; DATEDIF(L127,TODAY(),"YM")&amp;" bulan"</f>
        <v>0 tahun 11 bulan</v>
      </c>
      <c r="N127" s="5" t="s">
        <v>31</v>
      </c>
      <c r="O127" s="26">
        <v>37512</v>
      </c>
      <c r="P127" s="26" t="str">
        <f t="shared" ca="1" si="10"/>
        <v>23 tahun</v>
      </c>
      <c r="Q127" s="5" t="s">
        <v>46</v>
      </c>
      <c r="R127" s="9"/>
      <c r="S127" s="27" t="s">
        <v>585</v>
      </c>
      <c r="T127" s="5" t="s">
        <v>586</v>
      </c>
      <c r="U127" s="5" t="s">
        <v>81</v>
      </c>
      <c r="V127" s="27" t="s">
        <v>587</v>
      </c>
      <c r="W127" s="27" t="s">
        <v>588</v>
      </c>
      <c r="X127" s="9"/>
      <c r="Y127" s="27"/>
      <c r="Z127" s="9"/>
      <c r="AA127" s="9" t="s">
        <v>372</v>
      </c>
      <c r="AB127" s="6"/>
    </row>
    <row r="128" spans="1:33">
      <c r="A128" s="5">
        <f>IF(AA128="aktif",MAX($A$1:A127)+1,"")</f>
        <v>97</v>
      </c>
      <c r="B128" s="25"/>
      <c r="C128" s="15" t="s">
        <v>589</v>
      </c>
      <c r="D128" s="139" t="s">
        <v>564</v>
      </c>
      <c r="E128" s="18" t="s">
        <v>553</v>
      </c>
      <c r="F128" s="91" t="s">
        <v>584</v>
      </c>
      <c r="G128" s="5" t="s">
        <v>557</v>
      </c>
      <c r="H128" s="16" t="s">
        <v>557</v>
      </c>
      <c r="I128" s="18"/>
      <c r="J128" s="5" t="s">
        <v>71</v>
      </c>
      <c r="K128" s="5"/>
      <c r="L128" s="26">
        <v>45957</v>
      </c>
      <c r="M128" s="26" t="str">
        <f ca="1">DATEDIF(L128,TODAY(),"Y") &amp;" tahun " &amp; DATEDIF(L128,TODAY(),"YM")&amp;" bulan"</f>
        <v>0 tahun 9 bulan</v>
      </c>
      <c r="N128" s="5" t="s">
        <v>31</v>
      </c>
      <c r="O128" s="26">
        <v>39191</v>
      </c>
      <c r="P128" s="26" t="str">
        <f t="shared" ca="1" si="10"/>
        <v>19 tahun</v>
      </c>
      <c r="Q128" s="5" t="s">
        <v>46</v>
      </c>
      <c r="R128" s="9"/>
      <c r="S128" s="27" t="s">
        <v>590</v>
      </c>
      <c r="T128" s="5" t="s">
        <v>591</v>
      </c>
      <c r="U128" s="5" t="s">
        <v>81</v>
      </c>
      <c r="V128" s="27" t="s">
        <v>592</v>
      </c>
      <c r="W128" s="27" t="s">
        <v>593</v>
      </c>
      <c r="X128" s="9"/>
      <c r="Y128" s="27"/>
      <c r="Z128" s="9"/>
      <c r="AA128" s="9" t="s">
        <v>41</v>
      </c>
      <c r="AB128" s="6"/>
    </row>
    <row r="129" spans="1:28">
      <c r="A129" s="5">
        <f>IF(AA129="aktif",MAX($A$1:A128)+1,"")</f>
        <v>98</v>
      </c>
      <c r="B129" s="25"/>
      <c r="C129" s="15" t="s">
        <v>594</v>
      </c>
      <c r="D129" s="139" t="s">
        <v>564</v>
      </c>
      <c r="E129" s="18" t="s">
        <v>553</v>
      </c>
      <c r="F129" s="91" t="s">
        <v>584</v>
      </c>
      <c r="G129" s="91" t="s">
        <v>584</v>
      </c>
      <c r="H129" s="16" t="s">
        <v>595</v>
      </c>
      <c r="I129" s="18"/>
      <c r="J129" s="5" t="s">
        <v>30</v>
      </c>
      <c r="K129" s="5"/>
      <c r="L129" s="26">
        <v>37013</v>
      </c>
      <c r="M129" s="26" t="str">
        <f t="shared" ref="M129:M139" ca="1" si="11">IF(L129="","",DATEDIF(L129,TODAY(),"Y") &amp;" tahun " &amp; DATEDIF(L129,TODAY(),"YM")&amp;" bulan")</f>
        <v>25 tahun 3 bulan</v>
      </c>
      <c r="N129" s="5" t="s">
        <v>31</v>
      </c>
      <c r="O129" s="26">
        <v>25039</v>
      </c>
      <c r="P129" s="26" t="str">
        <f t="shared" ca="1" si="10"/>
        <v>58 tahun</v>
      </c>
      <c r="Q129" s="5" t="s">
        <v>46</v>
      </c>
      <c r="R129" s="35">
        <v>4856026</v>
      </c>
      <c r="S129" s="25" t="s">
        <v>596</v>
      </c>
      <c r="T129" s="5" t="s">
        <v>597</v>
      </c>
      <c r="U129" s="5" t="s">
        <v>35</v>
      </c>
      <c r="V129" s="25" t="s">
        <v>598</v>
      </c>
      <c r="W129" s="25" t="s">
        <v>599</v>
      </c>
      <c r="X129" s="5">
        <v>955035928602000</v>
      </c>
      <c r="Y129" s="25" t="s">
        <v>600</v>
      </c>
      <c r="Z129" s="5"/>
      <c r="AA129" s="9" t="s">
        <v>41</v>
      </c>
      <c r="AB129" s="6"/>
    </row>
    <row r="130" spans="1:28">
      <c r="A130" s="5">
        <f>IF(AA130="aktif",MAX($A$1:A129)+1,"")</f>
        <v>99</v>
      </c>
      <c r="B130" s="25"/>
      <c r="C130" s="15" t="s">
        <v>601</v>
      </c>
      <c r="D130" s="139" t="s">
        <v>564</v>
      </c>
      <c r="E130" s="18" t="s">
        <v>553</v>
      </c>
      <c r="F130" s="91" t="s">
        <v>584</v>
      </c>
      <c r="G130" s="91" t="s">
        <v>584</v>
      </c>
      <c r="H130" s="16" t="s">
        <v>602</v>
      </c>
      <c r="I130" s="18"/>
      <c r="J130" s="5" t="s">
        <v>30</v>
      </c>
      <c r="K130" s="5"/>
      <c r="L130" s="26">
        <v>37408</v>
      </c>
      <c r="M130" s="26" t="str">
        <f t="shared" ca="1" si="11"/>
        <v>24 tahun 2 bulan</v>
      </c>
      <c r="N130" s="5" t="s">
        <v>31</v>
      </c>
      <c r="O130" s="26">
        <v>27210</v>
      </c>
      <c r="P130" s="26" t="str">
        <f t="shared" ca="1" si="10"/>
        <v>52 tahun</v>
      </c>
      <c r="Q130" s="5" t="s">
        <v>32</v>
      </c>
      <c r="R130" s="35"/>
      <c r="S130" s="25" t="s">
        <v>603</v>
      </c>
      <c r="T130" s="5" t="s">
        <v>604</v>
      </c>
      <c r="U130" s="5" t="s">
        <v>35</v>
      </c>
      <c r="V130" s="25" t="s">
        <v>605</v>
      </c>
      <c r="W130" s="25" t="s">
        <v>606</v>
      </c>
      <c r="X130" s="5"/>
      <c r="Y130" s="25"/>
      <c r="Z130" s="5"/>
      <c r="AA130" s="9" t="s">
        <v>41</v>
      </c>
      <c r="AB130" s="6"/>
    </row>
    <row r="131" spans="1:28">
      <c r="A131" s="5"/>
      <c r="B131" s="25"/>
      <c r="C131" s="15" t="s">
        <v>607</v>
      </c>
      <c r="D131" s="139" t="s">
        <v>564</v>
      </c>
      <c r="E131" s="18" t="s">
        <v>553</v>
      </c>
      <c r="F131" s="91" t="s">
        <v>584</v>
      </c>
      <c r="G131" s="91" t="s">
        <v>584</v>
      </c>
      <c r="H131" s="134"/>
      <c r="I131" s="5"/>
      <c r="J131" s="5" t="s">
        <v>30</v>
      </c>
      <c r="K131" s="5"/>
      <c r="L131" s="26"/>
      <c r="M131" s="26"/>
      <c r="N131" s="5"/>
      <c r="O131" s="26"/>
      <c r="P131" s="26"/>
      <c r="Q131" s="5"/>
      <c r="R131" s="35"/>
      <c r="S131" s="25"/>
      <c r="V131" s="25"/>
      <c r="W131" s="25"/>
      <c r="X131" s="5"/>
      <c r="Y131" s="25"/>
      <c r="Z131" s="5"/>
      <c r="AA131" s="9"/>
      <c r="AB131" s="6"/>
    </row>
    <row r="132" spans="1:28">
      <c r="A132" s="5">
        <f>IF(AA132="aktif",MAX($A$1:A130)+1,"")</f>
        <v>100</v>
      </c>
      <c r="B132" s="25" t="s">
        <v>608</v>
      </c>
      <c r="C132" s="15" t="s">
        <v>609</v>
      </c>
      <c r="D132" s="139" t="s">
        <v>564</v>
      </c>
      <c r="E132" s="18" t="s">
        <v>553</v>
      </c>
      <c r="F132" s="91" t="s">
        <v>584</v>
      </c>
      <c r="G132" s="91" t="s">
        <v>584</v>
      </c>
      <c r="H132" s="16" t="s">
        <v>595</v>
      </c>
      <c r="I132" s="18"/>
      <c r="J132" s="5" t="s">
        <v>45</v>
      </c>
      <c r="K132" s="5"/>
      <c r="L132" s="26"/>
      <c r="M132" s="26" t="str">
        <f t="shared" ca="1" si="11"/>
        <v/>
      </c>
      <c r="N132" s="5" t="s">
        <v>31</v>
      </c>
      <c r="O132" s="26">
        <v>30387</v>
      </c>
      <c r="P132" s="26" t="str">
        <f t="shared" ca="1" si="10"/>
        <v>43 tahun</v>
      </c>
      <c r="Q132" s="5" t="s">
        <v>46</v>
      </c>
      <c r="R132" s="35">
        <v>4856026</v>
      </c>
      <c r="S132" s="25" t="s">
        <v>610</v>
      </c>
      <c r="T132" s="5" t="s">
        <v>611</v>
      </c>
      <c r="U132" s="5" t="s">
        <v>35</v>
      </c>
      <c r="V132" s="25" t="s">
        <v>612</v>
      </c>
      <c r="W132" s="25" t="s">
        <v>613</v>
      </c>
      <c r="X132" s="5"/>
      <c r="Y132" s="25" t="s">
        <v>614</v>
      </c>
      <c r="Z132" s="5">
        <v>18089051355</v>
      </c>
      <c r="AA132" s="9" t="s">
        <v>41</v>
      </c>
      <c r="AB132" s="6"/>
    </row>
    <row r="133" spans="1:28">
      <c r="A133" s="5">
        <f>IF(AA133="aktif",MAX($A$1:A132)+1,"")</f>
        <v>101</v>
      </c>
      <c r="B133" s="25"/>
      <c r="C133" s="15" t="s">
        <v>615</v>
      </c>
      <c r="D133" s="139" t="s">
        <v>564</v>
      </c>
      <c r="E133" s="18" t="s">
        <v>553</v>
      </c>
      <c r="F133" s="91" t="s">
        <v>584</v>
      </c>
      <c r="G133" s="91" t="s">
        <v>584</v>
      </c>
      <c r="H133" s="16" t="s">
        <v>595</v>
      </c>
      <c r="I133" s="18"/>
      <c r="J133" s="5" t="s">
        <v>45</v>
      </c>
      <c r="K133" s="5"/>
      <c r="L133" s="26">
        <v>37043</v>
      </c>
      <c r="M133" s="26" t="str">
        <f t="shared" ca="1" si="11"/>
        <v>25 tahun 2 bulan</v>
      </c>
      <c r="N133" s="5" t="s">
        <v>31</v>
      </c>
      <c r="O133" s="26">
        <v>29008</v>
      </c>
      <c r="P133" s="26" t="str">
        <f t="shared" ca="1" si="10"/>
        <v>47 tahun</v>
      </c>
      <c r="Q133" s="5" t="s">
        <v>46</v>
      </c>
      <c r="R133" s="35">
        <v>4856026</v>
      </c>
      <c r="S133" s="25" t="s">
        <v>616</v>
      </c>
      <c r="T133" s="5" t="s">
        <v>617</v>
      </c>
      <c r="U133" s="5" t="s">
        <v>35</v>
      </c>
      <c r="V133" s="25" t="s">
        <v>618</v>
      </c>
      <c r="W133" s="25" t="s">
        <v>619</v>
      </c>
      <c r="X133" s="5"/>
      <c r="Y133" s="25" t="s">
        <v>620</v>
      </c>
      <c r="Z133" s="5">
        <v>1102334561</v>
      </c>
      <c r="AA133" s="9" t="s">
        <v>41</v>
      </c>
      <c r="AB133" s="6"/>
    </row>
    <row r="134" spans="1:28">
      <c r="A134" s="5">
        <f>IF(AA134="aktif",MAX($A$1:A133)+1,"")</f>
        <v>102</v>
      </c>
      <c r="B134" s="25"/>
      <c r="C134" s="15" t="s">
        <v>621</v>
      </c>
      <c r="D134" s="139" t="s">
        <v>564</v>
      </c>
      <c r="E134" s="18" t="s">
        <v>553</v>
      </c>
      <c r="F134" s="91" t="s">
        <v>584</v>
      </c>
      <c r="G134" s="91" t="s">
        <v>584</v>
      </c>
      <c r="H134" s="16"/>
      <c r="I134" s="18"/>
      <c r="J134" s="5" t="s">
        <v>45</v>
      </c>
      <c r="K134" s="5"/>
      <c r="L134" s="26">
        <v>41791</v>
      </c>
      <c r="M134" s="26" t="str">
        <f t="shared" ca="1" si="11"/>
        <v>12 tahun 2 bulan</v>
      </c>
      <c r="N134" s="5" t="s">
        <v>31</v>
      </c>
      <c r="O134" s="26">
        <v>27471</v>
      </c>
      <c r="P134" s="26" t="str">
        <f t="shared" ca="1" si="10"/>
        <v>51 tahun</v>
      </c>
      <c r="Q134" s="5" t="s">
        <v>32</v>
      </c>
      <c r="R134" s="35"/>
      <c r="S134" s="25" t="s">
        <v>622</v>
      </c>
      <c r="T134" s="5" t="s">
        <v>623</v>
      </c>
      <c r="U134" s="5" t="s">
        <v>35</v>
      </c>
      <c r="V134" s="25" t="s">
        <v>624</v>
      </c>
      <c r="W134" s="25" t="s">
        <v>625</v>
      </c>
      <c r="X134" s="5"/>
      <c r="Y134" s="25"/>
      <c r="Z134" s="5">
        <v>15047449242</v>
      </c>
      <c r="AA134" s="9" t="s">
        <v>41</v>
      </c>
      <c r="AB134" s="6"/>
    </row>
    <row r="135" spans="1:28">
      <c r="A135" s="5">
        <f>IF(AA135="aktif",MAX($A$1:A134)+1,"")</f>
        <v>103</v>
      </c>
      <c r="B135" s="25"/>
      <c r="C135" s="15" t="s">
        <v>626</v>
      </c>
      <c r="D135" s="139" t="s">
        <v>564</v>
      </c>
      <c r="E135" s="18" t="s">
        <v>553</v>
      </c>
      <c r="F135" s="91" t="s">
        <v>584</v>
      </c>
      <c r="G135" s="91" t="s">
        <v>584</v>
      </c>
      <c r="H135" s="16"/>
      <c r="I135" s="18"/>
      <c r="J135" s="5" t="s">
        <v>45</v>
      </c>
      <c r="K135" s="5"/>
      <c r="L135" s="26">
        <v>45078</v>
      </c>
      <c r="M135" s="26" t="str">
        <f t="shared" ca="1" si="11"/>
        <v>3 tahun 2 bulan</v>
      </c>
      <c r="N135" s="5" t="s">
        <v>31</v>
      </c>
      <c r="O135" s="26">
        <v>31287</v>
      </c>
      <c r="P135" s="26" t="str">
        <f t="shared" ca="1" si="10"/>
        <v>40 tahun</v>
      </c>
      <c r="Q135" s="5" t="s">
        <v>46</v>
      </c>
      <c r="R135" s="35">
        <v>4856026</v>
      </c>
      <c r="S135" s="25" t="s">
        <v>627</v>
      </c>
      <c r="T135" s="5" t="s">
        <v>628</v>
      </c>
      <c r="U135" s="5" t="s">
        <v>35</v>
      </c>
      <c r="V135" s="25" t="s">
        <v>629</v>
      </c>
      <c r="W135" s="25" t="s">
        <v>630</v>
      </c>
      <c r="X135" s="5"/>
      <c r="Y135" s="25"/>
      <c r="Z135" s="5"/>
      <c r="AA135" s="9" t="s">
        <v>41</v>
      </c>
      <c r="AB135" s="6"/>
    </row>
    <row r="136" spans="1:28">
      <c r="A136" s="5">
        <f>IF(AA136="aktif",MAX($A$1:A135)+1,"")</f>
        <v>104</v>
      </c>
      <c r="B136" s="25" t="s">
        <v>631</v>
      </c>
      <c r="C136" s="15" t="s">
        <v>632</v>
      </c>
      <c r="D136" s="139" t="s">
        <v>564</v>
      </c>
      <c r="E136" s="18" t="s">
        <v>553</v>
      </c>
      <c r="F136" s="91" t="s">
        <v>584</v>
      </c>
      <c r="G136" s="91" t="s">
        <v>584</v>
      </c>
      <c r="H136" s="16"/>
      <c r="I136" s="18"/>
      <c r="J136" s="5" t="s">
        <v>45</v>
      </c>
      <c r="K136" s="5"/>
      <c r="L136" s="26"/>
      <c r="M136" s="26" t="str">
        <f t="shared" ca="1" si="11"/>
        <v/>
      </c>
      <c r="N136" s="5" t="s">
        <v>31</v>
      </c>
      <c r="O136" s="26">
        <v>26772</v>
      </c>
      <c r="P136" s="26" t="str">
        <f t="shared" ca="1" si="10"/>
        <v>53 tahun</v>
      </c>
      <c r="Q136" s="5" t="s">
        <v>46</v>
      </c>
      <c r="R136" s="35">
        <v>4856026</v>
      </c>
      <c r="S136" s="25" t="s">
        <v>633</v>
      </c>
      <c r="T136" s="5" t="s">
        <v>634</v>
      </c>
      <c r="U136" s="5" t="s">
        <v>35</v>
      </c>
      <c r="V136" s="25" t="s">
        <v>635</v>
      </c>
      <c r="W136" s="25" t="s">
        <v>636</v>
      </c>
      <c r="X136" s="5"/>
      <c r="Y136" s="25" t="s">
        <v>637</v>
      </c>
      <c r="Z136" s="5">
        <v>14005523650000</v>
      </c>
      <c r="AA136" s="9" t="s">
        <v>41</v>
      </c>
      <c r="AB136" s="6"/>
    </row>
    <row r="137" spans="1:28">
      <c r="A137" s="5">
        <f>IF(AA137="aktif",MAX($A$1:A136)+1,"")</f>
        <v>105</v>
      </c>
      <c r="B137" s="25"/>
      <c r="C137" s="15" t="s">
        <v>638</v>
      </c>
      <c r="D137" s="139" t="s">
        <v>564</v>
      </c>
      <c r="E137" s="18" t="s">
        <v>553</v>
      </c>
      <c r="F137" s="91" t="s">
        <v>584</v>
      </c>
      <c r="G137" s="91" t="s">
        <v>584</v>
      </c>
      <c r="H137" s="16" t="s">
        <v>639</v>
      </c>
      <c r="I137" s="18"/>
      <c r="J137" s="5" t="s">
        <v>45</v>
      </c>
      <c r="K137" s="5"/>
      <c r="L137" s="26">
        <v>42522</v>
      </c>
      <c r="M137" s="26" t="str">
        <f t="shared" ca="1" si="11"/>
        <v>10 tahun 2 bulan</v>
      </c>
      <c r="N137" s="5" t="s">
        <v>31</v>
      </c>
      <c r="O137" s="26">
        <v>33843</v>
      </c>
      <c r="P137" s="26" t="str">
        <f t="shared" ca="1" si="10"/>
        <v>33 tahun</v>
      </c>
      <c r="Q137" s="5" t="s">
        <v>46</v>
      </c>
      <c r="R137" s="35">
        <v>4856026</v>
      </c>
      <c r="S137" s="25" t="s">
        <v>640</v>
      </c>
      <c r="T137" s="5" t="s">
        <v>641</v>
      </c>
      <c r="U137" s="5" t="s">
        <v>35</v>
      </c>
      <c r="V137" s="25" t="s">
        <v>642</v>
      </c>
      <c r="W137" s="25" t="s">
        <v>643</v>
      </c>
      <c r="X137" s="5"/>
      <c r="Y137" s="25"/>
      <c r="Z137" s="5">
        <v>18089051405</v>
      </c>
      <c r="AA137" s="9" t="s">
        <v>41</v>
      </c>
      <c r="AB137" s="6"/>
    </row>
    <row r="138" spans="1:28">
      <c r="A138" s="5">
        <f>IF(AA138="aktif",MAX($A$1:A137)+1,"")</f>
        <v>106</v>
      </c>
      <c r="B138" s="25" t="s">
        <v>644</v>
      </c>
      <c r="C138" s="15" t="s">
        <v>645</v>
      </c>
      <c r="D138" s="139" t="s">
        <v>564</v>
      </c>
      <c r="E138" s="18" t="s">
        <v>553</v>
      </c>
      <c r="F138" s="91" t="s">
        <v>584</v>
      </c>
      <c r="G138" s="91" t="s">
        <v>584</v>
      </c>
      <c r="H138" s="16"/>
      <c r="I138" s="18"/>
      <c r="J138" s="5" t="s">
        <v>45</v>
      </c>
      <c r="K138" s="5"/>
      <c r="L138" s="26">
        <v>40695</v>
      </c>
      <c r="M138" s="26" t="str">
        <f t="shared" ca="1" si="11"/>
        <v>15 tahun 2 bulan</v>
      </c>
      <c r="N138" s="5" t="s">
        <v>31</v>
      </c>
      <c r="O138" s="26">
        <v>29838</v>
      </c>
      <c r="P138" s="26" t="str">
        <f t="shared" ca="1" si="10"/>
        <v>44 tahun</v>
      </c>
      <c r="Q138" s="5" t="s">
        <v>46</v>
      </c>
      <c r="R138" s="35">
        <v>4856026</v>
      </c>
      <c r="S138" s="25" t="s">
        <v>646</v>
      </c>
      <c r="T138" s="5" t="s">
        <v>647</v>
      </c>
      <c r="U138" s="5" t="s">
        <v>35</v>
      </c>
      <c r="V138" s="25" t="s">
        <v>648</v>
      </c>
      <c r="W138" s="25" t="s">
        <v>649</v>
      </c>
      <c r="X138" s="5"/>
      <c r="Y138" s="25" t="s">
        <v>650</v>
      </c>
      <c r="Z138" s="5">
        <v>1123400744</v>
      </c>
      <c r="AA138" s="9" t="s">
        <v>41</v>
      </c>
      <c r="AB138" s="6"/>
    </row>
    <row r="139" spans="1:28">
      <c r="A139" s="5">
        <f>IF(AA139="aktif",MAX($A$1:A138)+1,"")</f>
        <v>107</v>
      </c>
      <c r="B139" s="25"/>
      <c r="C139" s="15" t="s">
        <v>651</v>
      </c>
      <c r="D139" s="139" t="s">
        <v>564</v>
      </c>
      <c r="E139" s="18" t="s">
        <v>553</v>
      </c>
      <c r="F139" s="14" t="s">
        <v>2227</v>
      </c>
      <c r="G139" s="91" t="s">
        <v>584</v>
      </c>
      <c r="H139" s="16"/>
      <c r="I139" s="18"/>
      <c r="J139" s="5" t="s">
        <v>45</v>
      </c>
      <c r="K139" s="5"/>
      <c r="L139" s="26">
        <v>44348</v>
      </c>
      <c r="M139" s="26" t="str">
        <f t="shared" ca="1" si="11"/>
        <v>5 tahun 2 bulan</v>
      </c>
      <c r="N139" s="5" t="s">
        <v>31</v>
      </c>
      <c r="O139" s="26">
        <v>34624</v>
      </c>
      <c r="P139" s="26" t="str">
        <f t="shared" ca="1" si="10"/>
        <v>31 tahun</v>
      </c>
      <c r="Q139" s="5" t="s">
        <v>72</v>
      </c>
      <c r="R139" s="35">
        <v>4856026</v>
      </c>
      <c r="S139" s="32" t="s">
        <v>652</v>
      </c>
      <c r="T139" s="5" t="s">
        <v>653</v>
      </c>
      <c r="U139" s="5" t="s">
        <v>35</v>
      </c>
      <c r="V139" s="25" t="s">
        <v>654</v>
      </c>
      <c r="W139" s="25" t="s">
        <v>655</v>
      </c>
      <c r="X139" s="5"/>
      <c r="Y139" s="25"/>
      <c r="Z139" s="5"/>
      <c r="AA139" s="9" t="s">
        <v>41</v>
      </c>
      <c r="AB139" s="6"/>
    </row>
    <row r="140" spans="1:28">
      <c r="A140" s="5">
        <f>IF(AA140="aktif",MAX($A$1:A139)+1,"")</f>
        <v>108</v>
      </c>
      <c r="B140" s="25"/>
      <c r="C140" s="15" t="s">
        <v>656</v>
      </c>
      <c r="D140" s="139" t="s">
        <v>564</v>
      </c>
      <c r="E140" s="18" t="s">
        <v>553</v>
      </c>
      <c r="F140" s="5" t="s">
        <v>2227</v>
      </c>
      <c r="G140" s="91" t="s">
        <v>584</v>
      </c>
      <c r="H140" s="16"/>
      <c r="I140" s="18"/>
      <c r="J140" s="5" t="s">
        <v>45</v>
      </c>
      <c r="K140" s="5"/>
      <c r="L140" s="26">
        <v>45754</v>
      </c>
      <c r="M140" s="26" t="str">
        <f t="shared" ca="1" si="9"/>
        <v>1 tahun 4 bulan</v>
      </c>
      <c r="N140" s="5"/>
      <c r="O140" s="26"/>
      <c r="P140" s="26" t="str">
        <f t="shared" ca="1" si="5"/>
        <v/>
      </c>
      <c r="Q140" s="5" t="s">
        <v>72</v>
      </c>
      <c r="R140" s="9"/>
      <c r="S140" s="27"/>
      <c r="U140" s="5" t="s">
        <v>81</v>
      </c>
      <c r="V140" s="27"/>
      <c r="W140" s="27"/>
      <c r="X140" s="9"/>
      <c r="Y140" s="27"/>
      <c r="Z140" s="9"/>
      <c r="AA140" s="9" t="s">
        <v>41</v>
      </c>
      <c r="AB140" s="6" t="s">
        <v>657</v>
      </c>
    </row>
    <row r="141" spans="1:28">
      <c r="A141" s="5"/>
      <c r="B141" s="25"/>
      <c r="C141" s="15" t="s">
        <v>658</v>
      </c>
      <c r="D141" s="139" t="s">
        <v>564</v>
      </c>
      <c r="E141" s="18" t="s">
        <v>553</v>
      </c>
      <c r="F141" s="5" t="s">
        <v>2227</v>
      </c>
      <c r="G141" s="91" t="s">
        <v>584</v>
      </c>
      <c r="H141" s="134" t="s">
        <v>595</v>
      </c>
      <c r="I141" s="5"/>
      <c r="J141" s="5" t="s">
        <v>45</v>
      </c>
      <c r="K141" s="5"/>
      <c r="L141" s="26"/>
      <c r="M141" s="26"/>
      <c r="N141" s="5"/>
      <c r="O141" s="26"/>
      <c r="P141" s="26"/>
      <c r="Q141" s="5"/>
      <c r="R141" s="9"/>
      <c r="S141" s="27"/>
      <c r="V141" s="27"/>
      <c r="W141" s="27"/>
      <c r="X141" s="9"/>
      <c r="Y141" s="27"/>
      <c r="Z141" s="9"/>
      <c r="AA141" s="9"/>
      <c r="AB141" s="6"/>
    </row>
    <row r="142" spans="1:28">
      <c r="A142" s="5">
        <f>IF(AA142="aktif",MAX($A$1:A140)+1,"")</f>
        <v>109</v>
      </c>
      <c r="B142" s="25"/>
      <c r="C142" s="15" t="s">
        <v>659</v>
      </c>
      <c r="D142" s="139" t="s">
        <v>564</v>
      </c>
      <c r="E142" s="18" t="s">
        <v>553</v>
      </c>
      <c r="F142" s="5" t="s">
        <v>2227</v>
      </c>
      <c r="G142" s="91" t="s">
        <v>584</v>
      </c>
      <c r="H142" s="16" t="s">
        <v>595</v>
      </c>
      <c r="I142" s="18"/>
      <c r="J142" s="5" t="s">
        <v>71</v>
      </c>
      <c r="K142" s="5"/>
      <c r="L142" s="26">
        <v>45478</v>
      </c>
      <c r="M142" s="26" t="str">
        <f t="shared" ref="M142:M145" ca="1" si="12">IF(L142="","",DATEDIF(L142,TODAY(),"Y") &amp;" tahun " &amp; DATEDIF(L142,TODAY(),"YM")&amp;" bulan")</f>
        <v>2 tahun 1 bulan</v>
      </c>
      <c r="N142" s="5" t="s">
        <v>31</v>
      </c>
      <c r="O142" s="26">
        <v>35364</v>
      </c>
      <c r="P142" s="26" t="str">
        <f t="shared" ca="1" si="5"/>
        <v>29 tahun</v>
      </c>
      <c r="Q142" s="5" t="s">
        <v>32</v>
      </c>
      <c r="R142" s="35">
        <v>4500000</v>
      </c>
      <c r="S142" s="25" t="s">
        <v>660</v>
      </c>
      <c r="T142" s="5" t="s">
        <v>661</v>
      </c>
      <c r="U142" s="5" t="s">
        <v>35</v>
      </c>
      <c r="V142" s="25" t="s">
        <v>662</v>
      </c>
      <c r="W142" s="25" t="s">
        <v>663</v>
      </c>
      <c r="X142" s="5"/>
      <c r="Y142" s="25"/>
      <c r="Z142" s="5"/>
      <c r="AA142" s="9" t="s">
        <v>41</v>
      </c>
      <c r="AB142" s="6"/>
    </row>
    <row r="143" spans="1:28">
      <c r="A143" s="5">
        <f>IF(AA143="aktif",MAX($A$1:A142)+1,"")</f>
        <v>110</v>
      </c>
      <c r="B143" s="25"/>
      <c r="C143" s="15" t="s">
        <v>664</v>
      </c>
      <c r="D143" s="139" t="s">
        <v>564</v>
      </c>
      <c r="E143" s="18" t="s">
        <v>553</v>
      </c>
      <c r="F143" s="5" t="s">
        <v>2227</v>
      </c>
      <c r="G143" s="91" t="s">
        <v>584</v>
      </c>
      <c r="H143" s="16" t="s">
        <v>595</v>
      </c>
      <c r="I143" s="18"/>
      <c r="J143" s="5" t="s">
        <v>71</v>
      </c>
      <c r="K143" s="5"/>
      <c r="L143" s="26">
        <v>42887</v>
      </c>
      <c r="M143" s="26" t="str">
        <f t="shared" ca="1" si="12"/>
        <v>9 tahun 2 bulan</v>
      </c>
      <c r="N143" s="5" t="s">
        <v>31</v>
      </c>
      <c r="O143" s="26">
        <v>34516</v>
      </c>
      <c r="P143" s="26" t="str">
        <f t="shared" ca="1" si="5"/>
        <v>32 tahun</v>
      </c>
      <c r="Q143" s="5" t="s">
        <v>46</v>
      </c>
      <c r="R143" s="35">
        <v>4782924</v>
      </c>
      <c r="S143" s="25" t="s">
        <v>665</v>
      </c>
      <c r="T143" s="5" t="s">
        <v>141</v>
      </c>
      <c r="U143" s="5" t="s">
        <v>165</v>
      </c>
      <c r="V143" s="25" t="s">
        <v>666</v>
      </c>
      <c r="W143" s="25"/>
      <c r="X143" s="5">
        <v>841676125602000</v>
      </c>
      <c r="Y143" s="25"/>
      <c r="Z143" s="5"/>
      <c r="AA143" s="9" t="s">
        <v>41</v>
      </c>
      <c r="AB143" s="6"/>
    </row>
    <row r="144" spans="1:28">
      <c r="A144" s="5">
        <f>IF(AA144="aktif",MAX($A$1:A143)+1,"")</f>
        <v>111</v>
      </c>
      <c r="B144" s="25"/>
      <c r="C144" s="15" t="s">
        <v>667</v>
      </c>
      <c r="D144" s="139" t="s">
        <v>564</v>
      </c>
      <c r="E144" s="18" t="s">
        <v>553</v>
      </c>
      <c r="F144" s="5" t="s">
        <v>2227</v>
      </c>
      <c r="G144" s="91" t="s">
        <v>584</v>
      </c>
      <c r="H144" s="16" t="s">
        <v>595</v>
      </c>
      <c r="I144" s="18"/>
      <c r="J144" s="5" t="s">
        <v>71</v>
      </c>
      <c r="K144" s="5"/>
      <c r="L144" s="26">
        <v>39330</v>
      </c>
      <c r="M144" s="26" t="str">
        <f t="shared" ca="1" si="12"/>
        <v>18 tahun 11 bulan</v>
      </c>
      <c r="N144" s="5" t="s">
        <v>31</v>
      </c>
      <c r="O144" s="26">
        <v>31391</v>
      </c>
      <c r="P144" s="26" t="str">
        <f t="shared" ca="1" si="5"/>
        <v>40 tahun</v>
      </c>
      <c r="Q144" s="5" t="s">
        <v>158</v>
      </c>
      <c r="R144" s="35">
        <v>4700000</v>
      </c>
      <c r="S144" s="25" t="s">
        <v>668</v>
      </c>
      <c r="T144" s="5" t="s">
        <v>669</v>
      </c>
      <c r="U144" s="5" t="s">
        <v>35</v>
      </c>
      <c r="V144" s="25" t="s">
        <v>670</v>
      </c>
      <c r="W144" s="25" t="s">
        <v>671</v>
      </c>
      <c r="X144" s="5"/>
      <c r="Y144" s="25"/>
      <c r="Z144" s="5"/>
      <c r="AA144" s="9" t="s">
        <v>41</v>
      </c>
      <c r="AB144" s="6"/>
    </row>
    <row r="145" spans="1:28">
      <c r="A145" s="5">
        <f>IF(AA145="aktif",MAX($A$1:A144)+1,"")</f>
        <v>112</v>
      </c>
      <c r="B145" s="25"/>
      <c r="C145" s="15" t="s">
        <v>672</v>
      </c>
      <c r="D145" s="139" t="s">
        <v>564</v>
      </c>
      <c r="E145" s="18" t="s">
        <v>553</v>
      </c>
      <c r="F145" s="5" t="s">
        <v>2227</v>
      </c>
      <c r="G145" s="91" t="s">
        <v>584</v>
      </c>
      <c r="H145" s="16"/>
      <c r="I145" s="18"/>
      <c r="J145" s="5" t="s">
        <v>71</v>
      </c>
      <c r="K145" s="5"/>
      <c r="L145" s="26">
        <v>45444</v>
      </c>
      <c r="M145" s="26" t="str">
        <f t="shared" ca="1" si="12"/>
        <v>2 tahun 2 bulan</v>
      </c>
      <c r="N145" s="5" t="s">
        <v>31</v>
      </c>
      <c r="O145" s="26">
        <v>35663</v>
      </c>
      <c r="P145" s="26" t="str">
        <f t="shared" ca="1" si="5"/>
        <v>28 tahun</v>
      </c>
      <c r="Q145" s="5" t="s">
        <v>299</v>
      </c>
      <c r="R145" s="35">
        <v>4494537</v>
      </c>
      <c r="S145" s="25" t="s">
        <v>673</v>
      </c>
      <c r="T145" s="5" t="s">
        <v>674</v>
      </c>
      <c r="U145" s="5" t="s">
        <v>35</v>
      </c>
      <c r="V145" s="25" t="s">
        <v>675</v>
      </c>
      <c r="W145" s="25" t="s">
        <v>676</v>
      </c>
      <c r="X145" s="5"/>
      <c r="Y145" s="25"/>
      <c r="Z145" s="5">
        <v>22092697576</v>
      </c>
      <c r="AA145" s="9" t="s">
        <v>41</v>
      </c>
      <c r="AB145" s="6"/>
    </row>
    <row r="146" spans="1:28">
      <c r="A146" s="5">
        <f>IF(AA146="aktif",MAX($A$1:A145)+1,"")</f>
        <v>113</v>
      </c>
      <c r="B146" s="25"/>
      <c r="C146" s="15" t="s">
        <v>677</v>
      </c>
      <c r="D146" s="139" t="s">
        <v>564</v>
      </c>
      <c r="E146" s="18" t="s">
        <v>553</v>
      </c>
      <c r="F146" s="5" t="s">
        <v>2227</v>
      </c>
      <c r="G146" s="91" t="s">
        <v>584</v>
      </c>
      <c r="H146" s="16" t="s">
        <v>639</v>
      </c>
      <c r="I146" s="18"/>
      <c r="J146" s="5" t="s">
        <v>71</v>
      </c>
      <c r="K146" s="5"/>
      <c r="L146" s="26">
        <v>45975</v>
      </c>
      <c r="M146" s="26" t="str">
        <f ca="1">DATEDIF(L146,TODAY(),"Y") &amp;" tahun " &amp; DATEDIF(L146,TODAY(),"YM")&amp;" bulan"</f>
        <v>0 tahun 8 bulan</v>
      </c>
      <c r="N146" s="5" t="s">
        <v>31</v>
      </c>
      <c r="O146" s="26">
        <v>37817</v>
      </c>
      <c r="P146" s="26" t="str">
        <f t="shared" ca="1" si="5"/>
        <v>23 tahun</v>
      </c>
      <c r="Q146" s="5" t="s">
        <v>299</v>
      </c>
      <c r="R146" s="9"/>
      <c r="S146" s="27" t="s">
        <v>678</v>
      </c>
      <c r="T146" s="5" t="s">
        <v>679</v>
      </c>
      <c r="U146" s="5" t="s">
        <v>81</v>
      </c>
      <c r="V146" s="27" t="s">
        <v>680</v>
      </c>
      <c r="W146" s="27" t="s">
        <v>681</v>
      </c>
      <c r="X146" s="9"/>
      <c r="Y146" s="27"/>
      <c r="Z146" s="9"/>
      <c r="AA146" s="9" t="s">
        <v>41</v>
      </c>
      <c r="AB146" s="6"/>
    </row>
    <row r="147" spans="1:28">
      <c r="A147" s="5">
        <f>IF(AA147="aktif",MAX($A$1:A146)+1,"")</f>
        <v>114</v>
      </c>
      <c r="B147" s="25"/>
      <c r="C147" s="15" t="s">
        <v>732</v>
      </c>
      <c r="D147" s="139" t="s">
        <v>78</v>
      </c>
      <c r="E147" s="12" t="s">
        <v>684</v>
      </c>
      <c r="F147" s="5"/>
      <c r="G147" s="5"/>
      <c r="H147" s="22"/>
      <c r="I147" s="18"/>
      <c r="J147" s="5" t="s">
        <v>30</v>
      </c>
      <c r="K147" s="5"/>
      <c r="L147" s="26">
        <v>37043</v>
      </c>
      <c r="M147" s="26" t="str">
        <f t="shared" ref="M147:M197" ca="1" si="13">IF(L147="","",DATEDIF(L147,TODAY(),"Y") &amp;" tahun " &amp; DATEDIF(L147,TODAY(),"YM")&amp;" bulan")</f>
        <v>25 tahun 2 bulan</v>
      </c>
      <c r="N147" s="5" t="s">
        <v>31</v>
      </c>
      <c r="O147" s="26">
        <v>26962</v>
      </c>
      <c r="P147" s="26" t="str">
        <f t="shared" ca="1" si="5"/>
        <v>52 tahun</v>
      </c>
      <c r="Q147" s="5" t="s">
        <v>46</v>
      </c>
      <c r="R147" s="5"/>
      <c r="S147" s="25" t="s">
        <v>735</v>
      </c>
      <c r="T147" s="5" t="s">
        <v>736</v>
      </c>
      <c r="U147" s="5" t="s">
        <v>35</v>
      </c>
      <c r="V147" s="25" t="s">
        <v>737</v>
      </c>
      <c r="W147" s="25"/>
      <c r="X147" s="5"/>
      <c r="Y147" s="25"/>
      <c r="Z147" s="5"/>
      <c r="AA147" s="9" t="s">
        <v>41</v>
      </c>
      <c r="AB147" s="6"/>
    </row>
    <row r="148" spans="1:28">
      <c r="A148" s="5">
        <f>IF(AA148="aktif",MAX($A$1:A147)+1,"")</f>
        <v>115</v>
      </c>
      <c r="B148" s="25"/>
      <c r="C148" s="15" t="s">
        <v>228</v>
      </c>
      <c r="D148" s="139" t="s">
        <v>78</v>
      </c>
      <c r="E148" s="12" t="s">
        <v>684</v>
      </c>
      <c r="F148" s="5"/>
      <c r="G148" s="5"/>
      <c r="H148" s="22" t="s">
        <v>727</v>
      </c>
      <c r="I148" s="18"/>
      <c r="J148" s="5" t="s">
        <v>30</v>
      </c>
      <c r="K148" s="5"/>
      <c r="L148" s="26">
        <v>37043</v>
      </c>
      <c r="M148" s="26" t="str">
        <f t="shared" ca="1" si="13"/>
        <v>25 tahun 2 bulan</v>
      </c>
      <c r="N148" s="5" t="s">
        <v>31</v>
      </c>
      <c r="O148" s="26">
        <v>37012</v>
      </c>
      <c r="P148" s="26" t="str">
        <f t="shared" ca="1" si="5"/>
        <v>25 tahun</v>
      </c>
      <c r="Q148" s="5" t="s">
        <v>46</v>
      </c>
      <c r="R148" s="5"/>
      <c r="S148" s="25" t="s">
        <v>230</v>
      </c>
      <c r="T148" s="5" t="s">
        <v>231</v>
      </c>
      <c r="U148" s="5" t="s">
        <v>35</v>
      </c>
      <c r="V148" s="25" t="s">
        <v>232</v>
      </c>
      <c r="W148" s="25" t="s">
        <v>233</v>
      </c>
      <c r="X148" s="5"/>
      <c r="Y148" s="25"/>
      <c r="Z148" s="5" t="s">
        <v>234</v>
      </c>
      <c r="AA148" s="9" t="s">
        <v>41</v>
      </c>
      <c r="AB148" s="6"/>
    </row>
    <row r="149" spans="1:28">
      <c r="A149" s="5">
        <f>IF(AA149="aktif",MAX($A$1:A148)+1,"")</f>
        <v>116</v>
      </c>
      <c r="B149" s="25" t="s">
        <v>705</v>
      </c>
      <c r="C149" s="15" t="s">
        <v>706</v>
      </c>
      <c r="D149" s="139" t="s">
        <v>78</v>
      </c>
      <c r="E149" s="12" t="s">
        <v>684</v>
      </c>
      <c r="F149" s="5"/>
      <c r="G149" s="5"/>
      <c r="H149" s="16" t="s">
        <v>2228</v>
      </c>
      <c r="I149" s="18"/>
      <c r="J149" s="5" t="s">
        <v>45</v>
      </c>
      <c r="K149" s="5"/>
      <c r="L149" s="26">
        <v>39600</v>
      </c>
      <c r="M149" s="26" t="str">
        <f t="shared" ca="1" si="13"/>
        <v>18 tahun 2 bulan</v>
      </c>
      <c r="N149" s="5" t="s">
        <v>31</v>
      </c>
      <c r="O149" s="26">
        <v>30424</v>
      </c>
      <c r="P149" s="26" t="str">
        <f t="shared" ca="1" si="5"/>
        <v>43 tahun</v>
      </c>
      <c r="Q149" s="5" t="s">
        <v>32</v>
      </c>
      <c r="R149" s="28">
        <v>4856026</v>
      </c>
      <c r="S149" s="25" t="s">
        <v>707</v>
      </c>
      <c r="T149" s="5" t="s">
        <v>708</v>
      </c>
      <c r="U149" s="5" t="s">
        <v>35</v>
      </c>
      <c r="V149" s="25" t="s">
        <v>709</v>
      </c>
      <c r="W149" s="25" t="s">
        <v>710</v>
      </c>
      <c r="X149" s="5"/>
      <c r="Y149" s="25"/>
      <c r="Z149" s="5" t="s">
        <v>707</v>
      </c>
      <c r="AA149" s="9" t="s">
        <v>41</v>
      </c>
      <c r="AB149" s="6"/>
    </row>
    <row r="150" spans="1:28">
      <c r="A150" s="5">
        <f>IF(AA150="aktif",MAX($A$1:A149)+1,"")</f>
        <v>117</v>
      </c>
      <c r="B150" s="25"/>
      <c r="C150" s="15" t="s">
        <v>726</v>
      </c>
      <c r="D150" s="139" t="s">
        <v>78</v>
      </c>
      <c r="E150" s="12" t="s">
        <v>684</v>
      </c>
      <c r="F150" s="5"/>
      <c r="G150" s="5"/>
      <c r="H150" s="22" t="s">
        <v>727</v>
      </c>
      <c r="I150" s="18"/>
      <c r="J150" s="5" t="s">
        <v>45</v>
      </c>
      <c r="K150" s="5"/>
      <c r="L150" s="26">
        <v>36918</v>
      </c>
      <c r="M150" s="26" t="str">
        <f t="shared" ca="1" si="13"/>
        <v>25 tahun 6 bulan</v>
      </c>
      <c r="N150" s="5" t="s">
        <v>31</v>
      </c>
      <c r="O150" s="26">
        <v>30013</v>
      </c>
      <c r="P150" s="26" t="str">
        <f t="shared" ca="1" si="5"/>
        <v>44 tahun</v>
      </c>
      <c r="Q150" s="5" t="s">
        <v>46</v>
      </c>
      <c r="R150" s="28">
        <v>4856026</v>
      </c>
      <c r="S150" s="25" t="s">
        <v>728</v>
      </c>
      <c r="T150" s="5" t="s">
        <v>729</v>
      </c>
      <c r="U150" s="5" t="s">
        <v>35</v>
      </c>
      <c r="V150" s="25" t="s">
        <v>730</v>
      </c>
      <c r="W150" s="25"/>
      <c r="X150" s="5"/>
      <c r="Y150" s="25" t="s">
        <v>731</v>
      </c>
      <c r="Z150" s="5" t="s">
        <v>728</v>
      </c>
      <c r="AA150" s="9" t="s">
        <v>41</v>
      </c>
      <c r="AB150" s="6"/>
    </row>
    <row r="151" spans="1:28">
      <c r="A151" s="5">
        <f>IF(AA151="aktif",MAX($A$1:A150)+1,"")</f>
        <v>118</v>
      </c>
      <c r="B151" s="25" t="s">
        <v>711</v>
      </c>
      <c r="C151" s="15" t="s">
        <v>712</v>
      </c>
      <c r="D151" s="139" t="s">
        <v>78</v>
      </c>
      <c r="E151" s="12" t="s">
        <v>684</v>
      </c>
      <c r="F151" s="5"/>
      <c r="G151" s="5"/>
      <c r="H151" s="22" t="s">
        <v>2228</v>
      </c>
      <c r="I151" s="18"/>
      <c r="J151" s="5" t="s">
        <v>45</v>
      </c>
      <c r="K151" s="5"/>
      <c r="L151" s="26">
        <v>39234</v>
      </c>
      <c r="M151" s="26" t="str">
        <f t="shared" ca="1" si="13"/>
        <v>19 tahun 2 bulan</v>
      </c>
      <c r="N151" s="5" t="s">
        <v>31</v>
      </c>
      <c r="O151" s="26">
        <v>31209</v>
      </c>
      <c r="P151" s="26" t="str">
        <f t="shared" ca="1" si="5"/>
        <v>41 tahun</v>
      </c>
      <c r="Q151" s="5" t="s">
        <v>46</v>
      </c>
      <c r="R151" s="28">
        <v>4856026</v>
      </c>
      <c r="S151" s="25" t="s">
        <v>713</v>
      </c>
      <c r="T151" s="5" t="s">
        <v>714</v>
      </c>
      <c r="U151" s="5" t="s">
        <v>35</v>
      </c>
      <c r="V151" s="25" t="s">
        <v>715</v>
      </c>
      <c r="W151" s="25" t="s">
        <v>716</v>
      </c>
      <c r="X151" s="5"/>
      <c r="Y151" s="10">
        <v>1895064489</v>
      </c>
      <c r="Z151" s="25" t="s">
        <v>717</v>
      </c>
      <c r="AA151" s="9" t="s">
        <v>41</v>
      </c>
      <c r="AB151" s="6"/>
    </row>
    <row r="152" spans="1:28">
      <c r="A152" s="5">
        <f>IF(AA152="aktif",MAX($A$1:A151)+1,"")</f>
        <v>119</v>
      </c>
      <c r="B152" s="25" t="s">
        <v>738</v>
      </c>
      <c r="C152" s="15" t="s">
        <v>739</v>
      </c>
      <c r="D152" s="139" t="s">
        <v>78</v>
      </c>
      <c r="E152" s="12" t="s">
        <v>684</v>
      </c>
      <c r="F152" s="5"/>
      <c r="G152" s="5"/>
      <c r="H152" s="22" t="s">
        <v>740</v>
      </c>
      <c r="I152" s="18"/>
      <c r="J152" s="5" t="s">
        <v>45</v>
      </c>
      <c r="K152" s="5"/>
      <c r="L152" s="26">
        <v>38504</v>
      </c>
      <c r="M152" s="26" t="str">
        <f t="shared" ca="1" si="13"/>
        <v>21 tahun 2 bulan</v>
      </c>
      <c r="N152" s="5" t="s">
        <v>31</v>
      </c>
      <c r="O152" s="26">
        <v>30274</v>
      </c>
      <c r="P152" s="26" t="str">
        <f t="shared" ca="1" si="5"/>
        <v>43 tahun</v>
      </c>
      <c r="Q152" s="5" t="s">
        <v>121</v>
      </c>
      <c r="R152" s="28">
        <v>4856026</v>
      </c>
      <c r="S152" s="25" t="s">
        <v>741</v>
      </c>
      <c r="T152" s="5" t="s">
        <v>742</v>
      </c>
      <c r="U152" s="5" t="s">
        <v>35</v>
      </c>
      <c r="V152" s="25" t="s">
        <v>743</v>
      </c>
      <c r="W152" s="25" t="s">
        <v>744</v>
      </c>
      <c r="X152" s="5"/>
      <c r="Y152" s="25"/>
      <c r="Z152" s="5">
        <v>15047449739</v>
      </c>
      <c r="AA152" s="9" t="s">
        <v>41</v>
      </c>
      <c r="AB152" s="6"/>
    </row>
    <row r="153" spans="1:28">
      <c r="A153" s="5">
        <f>IF(AA153="aktif",MAX($A$1:A152)+1,"")</f>
        <v>120</v>
      </c>
      <c r="B153" s="25" t="s">
        <v>751</v>
      </c>
      <c r="C153" s="15" t="s">
        <v>752</v>
      </c>
      <c r="D153" s="139" t="s">
        <v>78</v>
      </c>
      <c r="E153" s="12" t="s">
        <v>684</v>
      </c>
      <c r="F153" s="5"/>
      <c r="G153" s="5"/>
      <c r="H153" s="22" t="s">
        <v>753</v>
      </c>
      <c r="I153" s="18"/>
      <c r="J153" s="5" t="s">
        <v>45</v>
      </c>
      <c r="K153" s="5"/>
      <c r="L153" s="26">
        <v>39600</v>
      </c>
      <c r="M153" s="26" t="str">
        <f t="shared" ca="1" si="13"/>
        <v>18 tahun 2 bulan</v>
      </c>
      <c r="N153" s="5" t="s">
        <v>31</v>
      </c>
      <c r="O153" s="26">
        <v>30895</v>
      </c>
      <c r="P153" s="26" t="str">
        <f t="shared" ca="1" si="5"/>
        <v>42 tahun</v>
      </c>
      <c r="Q153" s="5" t="s">
        <v>46</v>
      </c>
      <c r="R153" s="28">
        <v>4856026</v>
      </c>
      <c r="S153" s="25" t="s">
        <v>754</v>
      </c>
      <c r="T153" s="5" t="s">
        <v>755</v>
      </c>
      <c r="U153" s="5" t="s">
        <v>35</v>
      </c>
      <c r="V153" s="25" t="s">
        <v>756</v>
      </c>
      <c r="W153" s="25" t="s">
        <v>757</v>
      </c>
      <c r="X153" s="5"/>
      <c r="Y153" s="25" t="s">
        <v>758</v>
      </c>
      <c r="Z153" s="5">
        <v>15047449705</v>
      </c>
      <c r="AA153" s="9" t="s">
        <v>41</v>
      </c>
      <c r="AB153" s="6"/>
    </row>
    <row r="154" spans="1:28">
      <c r="A154" s="5">
        <f>IF(AA154="aktif",MAX($A$1:A153)+1,"")</f>
        <v>121</v>
      </c>
      <c r="B154" s="25"/>
      <c r="C154" s="15" t="s">
        <v>759</v>
      </c>
      <c r="D154" s="139" t="s">
        <v>78</v>
      </c>
      <c r="E154" s="12" t="s">
        <v>684</v>
      </c>
      <c r="F154" s="5"/>
      <c r="G154" s="5"/>
      <c r="H154" s="22" t="s">
        <v>753</v>
      </c>
      <c r="I154" s="18"/>
      <c r="J154" s="5" t="s">
        <v>71</v>
      </c>
      <c r="K154" s="5"/>
      <c r="L154" s="26">
        <v>45078</v>
      </c>
      <c r="M154" s="26" t="str">
        <f t="shared" ca="1" si="13"/>
        <v>3 tahun 2 bulan</v>
      </c>
      <c r="N154" s="5" t="s">
        <v>31</v>
      </c>
      <c r="O154" s="26">
        <v>37298</v>
      </c>
      <c r="P154" s="26" t="str">
        <f t="shared" ca="1" si="5"/>
        <v>24 tahun</v>
      </c>
      <c r="Q154" s="5" t="s">
        <v>46</v>
      </c>
      <c r="R154" s="28">
        <v>4300000</v>
      </c>
      <c r="S154" s="25" t="s">
        <v>760</v>
      </c>
      <c r="T154" s="5" t="s">
        <v>761</v>
      </c>
      <c r="U154" s="5" t="s">
        <v>165</v>
      </c>
      <c r="V154" s="25" t="s">
        <v>762</v>
      </c>
      <c r="W154" s="25"/>
      <c r="X154" s="5"/>
      <c r="Y154" s="25"/>
      <c r="Z154" s="5"/>
      <c r="AA154" s="9" t="s">
        <v>41</v>
      </c>
      <c r="AB154" s="6"/>
    </row>
    <row r="155" spans="1:28">
      <c r="A155" s="5">
        <f>IF(AA155="aktif",MAX($A$1:A154)+1,"")</f>
        <v>122</v>
      </c>
      <c r="B155" s="25"/>
      <c r="C155" s="15" t="s">
        <v>718</v>
      </c>
      <c r="D155" s="139" t="s">
        <v>78</v>
      </c>
      <c r="E155" s="12" t="s">
        <v>684</v>
      </c>
      <c r="F155" s="5"/>
      <c r="G155" s="5"/>
      <c r="I155" s="116"/>
      <c r="J155" s="5" t="s">
        <v>71</v>
      </c>
      <c r="K155" s="5"/>
      <c r="L155" s="26">
        <v>45838</v>
      </c>
      <c r="M155" s="26" t="str">
        <f t="shared" ca="1" si="13"/>
        <v>1 tahun 1 bulan</v>
      </c>
      <c r="N155" s="5" t="s">
        <v>31</v>
      </c>
      <c r="O155" s="26">
        <v>36446</v>
      </c>
      <c r="P155" s="26" t="str">
        <f t="shared" ca="1" si="5"/>
        <v>26 tahun</v>
      </c>
      <c r="Q155" s="5" t="s">
        <v>46</v>
      </c>
      <c r="R155" s="6"/>
      <c r="S155" s="3" t="s">
        <v>719</v>
      </c>
      <c r="T155" s="5" t="s">
        <v>720</v>
      </c>
      <c r="U155" s="5" t="s">
        <v>81</v>
      </c>
      <c r="V155" s="30"/>
      <c r="W155" s="30"/>
      <c r="X155" s="6"/>
      <c r="Y155" s="6"/>
      <c r="Z155" s="6"/>
      <c r="AA155" s="9" t="s">
        <v>41</v>
      </c>
      <c r="AB155" s="6" t="s">
        <v>721</v>
      </c>
    </row>
    <row r="156" spans="1:28">
      <c r="A156" s="5">
        <f>IF(AA156="aktif",MAX($A$1:A155)+1,"")</f>
        <v>123</v>
      </c>
      <c r="B156" s="25"/>
      <c r="C156" s="15" t="s">
        <v>722</v>
      </c>
      <c r="D156" s="139" t="s">
        <v>78</v>
      </c>
      <c r="E156" s="12" t="s">
        <v>684</v>
      </c>
      <c r="F156" s="5"/>
      <c r="G156" s="5"/>
      <c r="I156" s="116"/>
      <c r="J156" s="5" t="s">
        <v>71</v>
      </c>
      <c r="K156" s="5"/>
      <c r="L156" s="26">
        <v>45824</v>
      </c>
      <c r="M156" s="26" t="str">
        <f t="shared" ca="1" si="13"/>
        <v>1 tahun 1 bulan</v>
      </c>
      <c r="N156" s="5" t="s">
        <v>31</v>
      </c>
      <c r="O156" s="26">
        <v>36123</v>
      </c>
      <c r="P156" s="26" t="str">
        <f t="shared" ca="1" si="5"/>
        <v>27 tahun</v>
      </c>
      <c r="Q156" s="5" t="s">
        <v>46</v>
      </c>
      <c r="R156" s="6"/>
      <c r="S156" s="3" t="s">
        <v>723</v>
      </c>
      <c r="T156" s="5" t="s">
        <v>724</v>
      </c>
      <c r="U156" s="5" t="s">
        <v>81</v>
      </c>
      <c r="V156" s="30"/>
      <c r="W156" s="30"/>
      <c r="X156" s="6"/>
      <c r="Y156" s="6"/>
      <c r="Z156" s="6"/>
      <c r="AA156" s="9" t="s">
        <v>41</v>
      </c>
      <c r="AB156" s="6" t="s">
        <v>725</v>
      </c>
    </row>
    <row r="157" spans="1:28">
      <c r="A157" s="5">
        <f>IF(AA157="aktif",MAX($A$1:A156)+1,"")</f>
        <v>124</v>
      </c>
      <c r="B157" s="25"/>
      <c r="C157" s="15" t="s">
        <v>767</v>
      </c>
      <c r="D157" s="139" t="s">
        <v>54</v>
      </c>
      <c r="E157" s="12" t="s">
        <v>684</v>
      </c>
      <c r="F157" s="5" t="s">
        <v>787</v>
      </c>
      <c r="G157" s="5"/>
      <c r="I157" s="116"/>
      <c r="J157" s="5" t="s">
        <v>30</v>
      </c>
      <c r="K157" s="5"/>
      <c r="L157" s="26">
        <v>41088</v>
      </c>
      <c r="M157" s="26" t="str">
        <f ca="1">IF(L157="","",DATEDIF(L157,TODAY(),"Y") &amp;" tahun " &amp; DATEDIF(L157,TODAY(),"YM")&amp;" bulan")</f>
        <v>14 tahun 1 bulan</v>
      </c>
      <c r="N157" s="5" t="s">
        <v>31</v>
      </c>
      <c r="O157" s="26"/>
      <c r="P157" s="26" t="str">
        <f ca="1">IF(O157="","",DATEDIF(O157,TODAY(),"Y")&amp;" tahun")</f>
        <v/>
      </c>
      <c r="Q157" s="5" t="s">
        <v>46</v>
      </c>
      <c r="R157" s="6"/>
      <c r="S157" s="3"/>
      <c r="V157" s="30"/>
      <c r="W157" s="30"/>
      <c r="X157" s="6"/>
      <c r="Y157" s="6"/>
      <c r="Z157" s="6"/>
      <c r="AA157" s="9" t="s">
        <v>41</v>
      </c>
      <c r="AB157" s="3"/>
    </row>
    <row r="158" spans="1:28">
      <c r="A158" s="5">
        <f>IF(AA158="aktif",MAX($A$1:A157)+1,"")</f>
        <v>125</v>
      </c>
      <c r="B158" s="25"/>
      <c r="C158" s="15" t="s">
        <v>770</v>
      </c>
      <c r="D158" s="139" t="s">
        <v>54</v>
      </c>
      <c r="E158" s="12" t="s">
        <v>684</v>
      </c>
      <c r="F158" s="5" t="s">
        <v>787</v>
      </c>
      <c r="G158" s="5"/>
      <c r="H158" s="110"/>
      <c r="I158" s="120"/>
      <c r="J158" s="5" t="s">
        <v>30</v>
      </c>
      <c r="K158" s="5"/>
      <c r="L158" s="26">
        <v>37782</v>
      </c>
      <c r="M158" s="26" t="str">
        <f ca="1">IF(L158="","",DATEDIF(L158,TODAY(),"Y") &amp;" tahun " &amp; DATEDIF(L158,TODAY(),"YM")&amp;" bulan")</f>
        <v>23 tahun 2 bulan</v>
      </c>
      <c r="N158" s="5" t="s">
        <v>55</v>
      </c>
      <c r="O158" s="26">
        <v>27375</v>
      </c>
      <c r="P158" s="26" t="str">
        <f ca="1">IF(O158="","",DATEDIF(O158,TODAY(),"Y")&amp;" tahun")</f>
        <v>51 tahun</v>
      </c>
      <c r="Q158" s="5" t="s">
        <v>72</v>
      </c>
      <c r="R158" s="6"/>
      <c r="S158" s="6"/>
      <c r="T158" s="5" t="s">
        <v>771</v>
      </c>
      <c r="V158" s="6"/>
      <c r="W158" s="6"/>
      <c r="X158" s="6"/>
      <c r="Y158" s="6"/>
      <c r="Z158" s="6"/>
      <c r="AA158" s="9" t="s">
        <v>41</v>
      </c>
      <c r="AB158" s="6"/>
    </row>
    <row r="159" spans="1:28">
      <c r="A159" s="5">
        <f>IF(AA159="aktif",MAX($A$1:A158)+1,"")</f>
        <v>126</v>
      </c>
      <c r="B159" s="25"/>
      <c r="C159" s="15" t="s">
        <v>776</v>
      </c>
      <c r="D159" s="139" t="s">
        <v>54</v>
      </c>
      <c r="E159" s="12" t="s">
        <v>684</v>
      </c>
      <c r="F159" s="5" t="s">
        <v>787</v>
      </c>
      <c r="G159" s="5"/>
      <c r="I159" s="116"/>
      <c r="J159" s="5" t="s">
        <v>30</v>
      </c>
      <c r="K159" s="5"/>
      <c r="L159" s="26"/>
      <c r="M159" s="26" t="str">
        <f ca="1">IF(L159="","",DATEDIF(L159,TODAY(),"Y") &amp;" tahun " &amp; DATEDIF(L159,TODAY(),"YM")&amp;" bulan")</f>
        <v/>
      </c>
      <c r="N159" s="5" t="s">
        <v>55</v>
      </c>
      <c r="O159" s="26">
        <v>30405</v>
      </c>
      <c r="P159" s="26" t="str">
        <f ca="1">IF(O159="","",DATEDIF(O159,TODAY(),"Y")&amp;" tahun")</f>
        <v>43 tahun</v>
      </c>
      <c r="Q159" s="5" t="s">
        <v>46</v>
      </c>
      <c r="R159" s="6"/>
      <c r="S159" s="6"/>
      <c r="T159" s="5" t="s">
        <v>777</v>
      </c>
      <c r="V159" s="6"/>
      <c r="W159" s="6"/>
      <c r="X159" s="6"/>
      <c r="Y159" s="6"/>
      <c r="Z159" s="6"/>
      <c r="AA159" s="9" t="s">
        <v>41</v>
      </c>
      <c r="AB159" s="6"/>
    </row>
    <row r="160" spans="1:28">
      <c r="A160" s="5">
        <f>IF(AA160="aktif",MAX($A$1:A159)+1,"")</f>
        <v>127</v>
      </c>
      <c r="B160" s="25"/>
      <c r="C160" s="15" t="s">
        <v>768</v>
      </c>
      <c r="D160" s="139" t="s">
        <v>54</v>
      </c>
      <c r="E160" s="12" t="s">
        <v>684</v>
      </c>
      <c r="F160" s="5" t="s">
        <v>787</v>
      </c>
      <c r="G160" s="5"/>
      <c r="H160" s="110"/>
      <c r="I160" s="120"/>
      <c r="J160" s="5" t="s">
        <v>45</v>
      </c>
      <c r="K160" s="5"/>
      <c r="L160" s="26">
        <v>45590</v>
      </c>
      <c r="M160" s="26" t="str">
        <f t="shared" ca="1" si="13"/>
        <v>1 tahun 9 bulan</v>
      </c>
      <c r="N160" s="5" t="s">
        <v>31</v>
      </c>
      <c r="O160" s="26">
        <v>34625</v>
      </c>
      <c r="P160" s="26" t="str">
        <f t="shared" ca="1" si="5"/>
        <v>31 tahun</v>
      </c>
      <c r="Q160" s="5" t="s">
        <v>46</v>
      </c>
      <c r="R160" s="4"/>
      <c r="S160" s="42"/>
      <c r="T160" s="5" t="s">
        <v>769</v>
      </c>
      <c r="V160" s="42"/>
      <c r="W160" s="42"/>
      <c r="X160" s="4"/>
      <c r="Y160" s="42"/>
      <c r="Z160" s="4"/>
      <c r="AA160" s="9" t="s">
        <v>41</v>
      </c>
      <c r="AB160" s="6"/>
    </row>
    <row r="161" spans="1:28">
      <c r="A161" s="5">
        <f>IF(AA161="aktif",MAX($A$1:A160)+1,"")</f>
        <v>128</v>
      </c>
      <c r="B161" s="25"/>
      <c r="C161" s="15" t="s">
        <v>778</v>
      </c>
      <c r="D161" s="139" t="s">
        <v>54</v>
      </c>
      <c r="E161" s="12" t="s">
        <v>684</v>
      </c>
      <c r="F161" s="5" t="s">
        <v>787</v>
      </c>
      <c r="G161" s="5"/>
      <c r="H161" s="110"/>
      <c r="I161" s="120"/>
      <c r="J161" s="5" t="s">
        <v>71</v>
      </c>
      <c r="K161" s="5"/>
      <c r="L161" s="26">
        <v>44365</v>
      </c>
      <c r="M161" s="26" t="str">
        <f t="shared" ca="1" si="13"/>
        <v>5 tahun 1 bulan</v>
      </c>
      <c r="N161" s="5" t="s">
        <v>55</v>
      </c>
      <c r="O161" s="26">
        <v>35908</v>
      </c>
      <c r="P161" s="26" t="str">
        <f t="shared" ca="1" si="5"/>
        <v>28 tahun</v>
      </c>
      <c r="Q161" s="5" t="s">
        <v>72</v>
      </c>
      <c r="R161" s="4"/>
      <c r="S161" s="42"/>
      <c r="T161" s="5" t="s">
        <v>779</v>
      </c>
      <c r="V161" s="42"/>
      <c r="W161" s="42"/>
      <c r="X161" s="4"/>
      <c r="Y161" s="42"/>
      <c r="Z161" s="4"/>
      <c r="AA161" s="9" t="s">
        <v>41</v>
      </c>
      <c r="AB161" s="6"/>
    </row>
    <row r="162" spans="1:28">
      <c r="A162" s="5">
        <f>IF(AA162="aktif",MAX($A$1:A161)+1,"")</f>
        <v>129</v>
      </c>
      <c r="B162" s="25"/>
      <c r="C162" s="15" t="s">
        <v>780</v>
      </c>
      <c r="D162" s="139" t="s">
        <v>54</v>
      </c>
      <c r="E162" s="12" t="s">
        <v>684</v>
      </c>
      <c r="F162" s="5" t="s">
        <v>787</v>
      </c>
      <c r="G162" s="5"/>
      <c r="I162" s="116"/>
      <c r="J162" s="5" t="s">
        <v>45</v>
      </c>
      <c r="K162" s="5"/>
      <c r="L162" s="26">
        <v>45659</v>
      </c>
      <c r="M162" s="26" t="str">
        <f t="shared" ca="1" si="13"/>
        <v>1 tahun 7 bulan</v>
      </c>
      <c r="N162" s="5" t="s">
        <v>31</v>
      </c>
      <c r="O162" s="26">
        <v>36610</v>
      </c>
      <c r="P162" s="26" t="str">
        <f t="shared" ca="1" si="5"/>
        <v>26 tahun</v>
      </c>
      <c r="Q162" s="5" t="s">
        <v>72</v>
      </c>
      <c r="R162" s="6"/>
      <c r="S162" s="3"/>
      <c r="U162" s="5" t="s">
        <v>81</v>
      </c>
      <c r="V162" s="6"/>
      <c r="W162" s="6"/>
      <c r="X162" s="6"/>
      <c r="Y162" s="6"/>
      <c r="Z162" s="6"/>
      <c r="AA162" s="9" t="s">
        <v>41</v>
      </c>
      <c r="AB162" s="6"/>
    </row>
    <row r="163" spans="1:28">
      <c r="A163" s="5">
        <f>IF(AA163="aktif",MAX($A$1:A162)+1,"")</f>
        <v>130</v>
      </c>
      <c r="B163" s="25"/>
      <c r="C163" s="15" t="s">
        <v>781</v>
      </c>
      <c r="D163" s="139" t="s">
        <v>54</v>
      </c>
      <c r="E163" s="12" t="s">
        <v>684</v>
      </c>
      <c r="F163" s="5" t="s">
        <v>787</v>
      </c>
      <c r="G163" s="5"/>
      <c r="I163" s="116"/>
      <c r="J163" s="5" t="s">
        <v>45</v>
      </c>
      <c r="K163" s="5"/>
      <c r="L163" s="26">
        <v>45782</v>
      </c>
      <c r="M163" s="26" t="str">
        <f t="shared" ca="1" si="13"/>
        <v>1 tahun 3 bulan</v>
      </c>
      <c r="N163" s="5" t="s">
        <v>31</v>
      </c>
      <c r="O163" s="26"/>
      <c r="P163" s="26" t="str">
        <f t="shared" ref="P163:P198" ca="1" si="14">IF(O163="","",DATEDIF(O163,TODAY(),"Y")&amp;" tahun")</f>
        <v/>
      </c>
      <c r="Q163" s="5" t="s">
        <v>72</v>
      </c>
      <c r="R163" s="6"/>
      <c r="S163" s="6"/>
      <c r="U163" s="5" t="s">
        <v>81</v>
      </c>
      <c r="V163" s="6"/>
      <c r="W163" s="6"/>
      <c r="X163" s="6"/>
      <c r="Y163" s="6"/>
      <c r="Z163" s="6"/>
      <c r="AA163" s="9" t="s">
        <v>41</v>
      </c>
      <c r="AB163" s="6" t="s">
        <v>782</v>
      </c>
    </row>
    <row r="164" spans="1:28">
      <c r="A164" s="5">
        <f>IF(AA164="aktif",MAX($A$1:A163)+1,"")</f>
        <v>131</v>
      </c>
      <c r="B164" s="25"/>
      <c r="C164" s="15" t="s">
        <v>783</v>
      </c>
      <c r="D164" s="139" t="s">
        <v>54</v>
      </c>
      <c r="E164" s="12" t="s">
        <v>684</v>
      </c>
      <c r="F164" s="5" t="s">
        <v>787</v>
      </c>
      <c r="G164" s="5"/>
      <c r="I164" s="116"/>
      <c r="J164" s="5" t="s">
        <v>45</v>
      </c>
      <c r="K164" s="5"/>
      <c r="L164" s="26">
        <v>45754</v>
      </c>
      <c r="M164" s="26" t="str">
        <f t="shared" ca="1" si="13"/>
        <v>1 tahun 4 bulan</v>
      </c>
      <c r="N164" s="5" t="s">
        <v>55</v>
      </c>
      <c r="O164" s="26">
        <v>37644</v>
      </c>
      <c r="P164" s="26" t="str">
        <f t="shared" ca="1" si="14"/>
        <v>23 tahun</v>
      </c>
      <c r="Q164" s="5" t="s">
        <v>72</v>
      </c>
      <c r="R164" s="6"/>
      <c r="S164" s="3"/>
      <c r="U164" s="5" t="s">
        <v>81</v>
      </c>
      <c r="V164" s="6"/>
      <c r="W164" s="6"/>
      <c r="X164" s="6"/>
      <c r="Y164" s="6"/>
      <c r="Z164" s="6"/>
      <c r="AA164" s="9" t="s">
        <v>41</v>
      </c>
      <c r="AB164" s="6" t="s">
        <v>784</v>
      </c>
    </row>
    <row r="165" spans="1:28" hidden="1">
      <c r="A165" s="5" t="str">
        <f>IF(AA165="aktif",MAX($A$1:A164)+1,"")</f>
        <v/>
      </c>
      <c r="B165" s="25"/>
      <c r="C165" s="5" t="s">
        <v>772</v>
      </c>
      <c r="D165" s="152" t="s">
        <v>115</v>
      </c>
      <c r="E165" s="7" t="s">
        <v>684</v>
      </c>
      <c r="F165" s="5" t="s">
        <v>787</v>
      </c>
      <c r="G165" s="5" t="s">
        <v>787</v>
      </c>
      <c r="H165" s="133"/>
      <c r="I165" s="6"/>
      <c r="J165" s="5" t="s">
        <v>45</v>
      </c>
      <c r="K165" s="5"/>
      <c r="L165" s="26">
        <v>45932</v>
      </c>
      <c r="M165" s="26" t="str">
        <f t="shared" ca="1" si="13"/>
        <v>0 tahun 10 bulan</v>
      </c>
      <c r="N165" s="5" t="s">
        <v>31</v>
      </c>
      <c r="O165" s="26">
        <v>37721</v>
      </c>
      <c r="P165" s="26" t="str">
        <f t="shared" ca="1" si="14"/>
        <v>23 tahun</v>
      </c>
      <c r="Q165" s="5" t="s">
        <v>72</v>
      </c>
      <c r="R165" s="6"/>
      <c r="S165" s="3" t="s">
        <v>773</v>
      </c>
      <c r="T165" s="5" t="s">
        <v>774</v>
      </c>
      <c r="U165" s="5" t="s">
        <v>81</v>
      </c>
      <c r="V165" s="27" t="s">
        <v>775</v>
      </c>
      <c r="W165" s="27" t="s">
        <v>775</v>
      </c>
      <c r="X165" s="6"/>
      <c r="Y165" s="6"/>
      <c r="Z165" s="6"/>
      <c r="AA165" s="9" t="s">
        <v>372</v>
      </c>
      <c r="AB165" s="6"/>
    </row>
    <row r="166" spans="1:28">
      <c r="A166" s="5">
        <f>IF(AA166="aktif",MAX($A$1:A165)+1,"")</f>
        <v>132</v>
      </c>
      <c r="B166" s="25" t="s">
        <v>805</v>
      </c>
      <c r="C166" s="15" t="s">
        <v>806</v>
      </c>
      <c r="D166" s="139" t="s">
        <v>391</v>
      </c>
      <c r="E166" s="18" t="s">
        <v>786</v>
      </c>
      <c r="F166" s="5" t="s">
        <v>787</v>
      </c>
      <c r="G166" s="5" t="s">
        <v>787</v>
      </c>
      <c r="H166" s="16"/>
      <c r="I166" s="18"/>
      <c r="J166" s="5" t="s">
        <v>30</v>
      </c>
      <c r="K166" s="5"/>
      <c r="L166" s="26">
        <v>37043</v>
      </c>
      <c r="M166" s="26" t="str">
        <f t="shared" ca="1" si="13"/>
        <v>25 tahun 2 bulan</v>
      </c>
      <c r="N166" s="5" t="s">
        <v>31</v>
      </c>
      <c r="O166" s="26">
        <v>28636</v>
      </c>
      <c r="P166" s="26" t="str">
        <f t="shared" ca="1" si="14"/>
        <v>48 tahun</v>
      </c>
      <c r="Q166" s="5" t="s">
        <v>46</v>
      </c>
      <c r="R166" s="5"/>
      <c r="S166" s="25" t="s">
        <v>807</v>
      </c>
      <c r="T166" s="5" t="s">
        <v>808</v>
      </c>
      <c r="U166" s="5" t="s">
        <v>35</v>
      </c>
      <c r="V166" s="25" t="s">
        <v>809</v>
      </c>
      <c r="W166" s="25" t="s">
        <v>810</v>
      </c>
      <c r="X166" s="5"/>
      <c r="Y166" s="25" t="s">
        <v>811</v>
      </c>
      <c r="Z166" s="5"/>
      <c r="AA166" s="9" t="s">
        <v>41</v>
      </c>
      <c r="AB166" s="6"/>
    </row>
    <row r="167" spans="1:28">
      <c r="A167" s="5">
        <f>IF(AA167="aktif",MAX($A$1:A166)+1,"")</f>
        <v>133</v>
      </c>
      <c r="B167" s="25" t="s">
        <v>812</v>
      </c>
      <c r="C167" s="15" t="s">
        <v>813</v>
      </c>
      <c r="D167" s="139" t="s">
        <v>814</v>
      </c>
      <c r="E167" s="18" t="s">
        <v>786</v>
      </c>
      <c r="F167" s="5" t="s">
        <v>787</v>
      </c>
      <c r="G167" s="5" t="s">
        <v>787</v>
      </c>
      <c r="H167" s="16"/>
      <c r="I167" s="18"/>
      <c r="J167" s="5" t="s">
        <v>45</v>
      </c>
      <c r="K167" s="5"/>
      <c r="L167" s="26">
        <v>37270</v>
      </c>
      <c r="M167" s="26" t="str">
        <f t="shared" ca="1" si="13"/>
        <v>24 tahun 6 bulan</v>
      </c>
      <c r="N167" s="5" t="s">
        <v>31</v>
      </c>
      <c r="O167" s="26">
        <v>30094</v>
      </c>
      <c r="P167" s="26" t="str">
        <f t="shared" ca="1" si="14"/>
        <v>44 tahun</v>
      </c>
      <c r="Q167" s="5" t="s">
        <v>695</v>
      </c>
      <c r="R167" s="28">
        <v>4856026</v>
      </c>
      <c r="S167" s="25" t="s">
        <v>815</v>
      </c>
      <c r="T167" s="5" t="s">
        <v>816</v>
      </c>
      <c r="U167" s="5" t="s">
        <v>35</v>
      </c>
      <c r="V167" s="25" t="s">
        <v>817</v>
      </c>
      <c r="W167" s="25" t="s">
        <v>818</v>
      </c>
      <c r="X167" s="5">
        <v>415447952602000</v>
      </c>
      <c r="Y167" s="25"/>
      <c r="Z167" s="5" t="s">
        <v>815</v>
      </c>
      <c r="AA167" s="9" t="s">
        <v>41</v>
      </c>
      <c r="AB167" s="6"/>
    </row>
    <row r="168" spans="1:28">
      <c r="A168" s="5">
        <f>IF(AA168="aktif",MAX($A$1:A167)+1,"")</f>
        <v>134</v>
      </c>
      <c r="B168" s="25" t="s">
        <v>819</v>
      </c>
      <c r="C168" s="15" t="s">
        <v>820</v>
      </c>
      <c r="D168" s="139" t="s">
        <v>814</v>
      </c>
      <c r="E168" s="18" t="s">
        <v>786</v>
      </c>
      <c r="F168" s="5" t="s">
        <v>787</v>
      </c>
      <c r="G168" s="5" t="s">
        <v>787</v>
      </c>
      <c r="H168" s="16"/>
      <c r="I168" s="18"/>
      <c r="J168" s="5" t="s">
        <v>45</v>
      </c>
      <c r="K168" s="5"/>
      <c r="L168" s="26">
        <v>37272</v>
      </c>
      <c r="M168" s="26" t="str">
        <f t="shared" ca="1" si="13"/>
        <v>24 tahun 6 bulan</v>
      </c>
      <c r="N168" s="5" t="s">
        <v>31</v>
      </c>
      <c r="O168" s="26">
        <v>29848</v>
      </c>
      <c r="P168" s="26" t="str">
        <f t="shared" ca="1" si="14"/>
        <v>44 tahun</v>
      </c>
      <c r="Q168" s="5" t="s">
        <v>32</v>
      </c>
      <c r="R168" s="35"/>
      <c r="S168" s="25" t="s">
        <v>821</v>
      </c>
      <c r="T168" s="5" t="s">
        <v>755</v>
      </c>
      <c r="U168" s="5" t="s">
        <v>35</v>
      </c>
      <c r="V168" s="25" t="s">
        <v>822</v>
      </c>
      <c r="W168" s="25" t="s">
        <v>823</v>
      </c>
      <c r="X168" s="5"/>
      <c r="Y168" s="25" t="s">
        <v>824</v>
      </c>
      <c r="Z168" s="5"/>
      <c r="AA168" s="9" t="s">
        <v>41</v>
      </c>
      <c r="AB168" s="6"/>
    </row>
    <row r="169" spans="1:28">
      <c r="A169" s="5">
        <f>IF(AA169="aktif",MAX($A$1:A168)+1,"")</f>
        <v>135</v>
      </c>
      <c r="B169" s="25"/>
      <c r="C169" s="15" t="s">
        <v>825</v>
      </c>
      <c r="D169" s="139" t="s">
        <v>814</v>
      </c>
      <c r="E169" s="18" t="s">
        <v>786</v>
      </c>
      <c r="F169" s="5" t="s">
        <v>787</v>
      </c>
      <c r="G169" s="5" t="s">
        <v>787</v>
      </c>
      <c r="H169" s="16"/>
      <c r="I169" s="18"/>
      <c r="J169" s="5" t="s">
        <v>30</v>
      </c>
      <c r="K169" s="5"/>
      <c r="L169" s="26">
        <v>37043</v>
      </c>
      <c r="M169" s="26" t="str">
        <f t="shared" ca="1" si="13"/>
        <v>25 tahun 2 bulan</v>
      </c>
      <c r="N169" s="5" t="s">
        <v>31</v>
      </c>
      <c r="O169" s="26">
        <v>27496</v>
      </c>
      <c r="P169" s="26" t="str">
        <f t="shared" ca="1" si="14"/>
        <v>51 tahun</v>
      </c>
      <c r="Q169" s="5" t="s">
        <v>121</v>
      </c>
      <c r="R169" s="35">
        <v>4856026</v>
      </c>
      <c r="S169" s="25" t="s">
        <v>826</v>
      </c>
      <c r="T169" s="5" t="s">
        <v>263</v>
      </c>
      <c r="U169" s="5" t="s">
        <v>35</v>
      </c>
      <c r="V169" s="25" t="s">
        <v>827</v>
      </c>
      <c r="W169" s="25" t="s">
        <v>828</v>
      </c>
      <c r="X169" s="5">
        <v>399305465602000</v>
      </c>
      <c r="Y169" s="25" t="s">
        <v>829</v>
      </c>
      <c r="Z169" s="5"/>
      <c r="AA169" s="9" t="s">
        <v>41</v>
      </c>
      <c r="AB169" s="6"/>
    </row>
    <row r="170" spans="1:28">
      <c r="A170" s="5">
        <f>IF(AA170="aktif",MAX($A$1:A169)+1,"")</f>
        <v>136</v>
      </c>
      <c r="B170" s="25" t="s">
        <v>830</v>
      </c>
      <c r="C170" s="15" t="s">
        <v>831</v>
      </c>
      <c r="D170" s="139" t="s">
        <v>78</v>
      </c>
      <c r="E170" s="18" t="s">
        <v>786</v>
      </c>
      <c r="F170" s="5" t="s">
        <v>787</v>
      </c>
      <c r="G170" s="5" t="s">
        <v>787</v>
      </c>
      <c r="H170" s="16" t="s">
        <v>832</v>
      </c>
      <c r="I170" s="18" t="s">
        <v>833</v>
      </c>
      <c r="J170" s="5" t="s">
        <v>45</v>
      </c>
      <c r="K170" s="5"/>
      <c r="L170" s="26">
        <v>37043</v>
      </c>
      <c r="M170" s="26" t="str">
        <f t="shared" ca="1" si="13"/>
        <v>25 tahun 2 bulan</v>
      </c>
      <c r="N170" s="5" t="s">
        <v>31</v>
      </c>
      <c r="O170" s="26">
        <v>29050</v>
      </c>
      <c r="P170" s="26" t="str">
        <f t="shared" ca="1" si="14"/>
        <v>47 tahun</v>
      </c>
      <c r="Q170" s="5" t="s">
        <v>32</v>
      </c>
      <c r="R170" s="35">
        <v>4856026</v>
      </c>
      <c r="S170" s="25" t="s">
        <v>834</v>
      </c>
      <c r="T170" s="5" t="s">
        <v>835</v>
      </c>
      <c r="U170" s="5" t="s">
        <v>35</v>
      </c>
      <c r="V170" s="25" t="s">
        <v>836</v>
      </c>
      <c r="W170" s="25" t="s">
        <v>837</v>
      </c>
      <c r="X170" s="5"/>
      <c r="Y170" s="25" t="s">
        <v>838</v>
      </c>
      <c r="Z170" s="5">
        <v>12018377742000</v>
      </c>
      <c r="AA170" s="9" t="s">
        <v>41</v>
      </c>
      <c r="AB170" s="6"/>
    </row>
    <row r="171" spans="1:28">
      <c r="A171" s="5">
        <f>IF(AA171="aktif",MAX($A$1:A170)+1,"")</f>
        <v>137</v>
      </c>
      <c r="B171" s="25" t="s">
        <v>839</v>
      </c>
      <c r="C171" s="15" t="s">
        <v>840</v>
      </c>
      <c r="D171" s="139" t="s">
        <v>78</v>
      </c>
      <c r="E171" s="18" t="s">
        <v>786</v>
      </c>
      <c r="F171" s="5" t="s">
        <v>787</v>
      </c>
      <c r="G171" s="5" t="s">
        <v>787</v>
      </c>
      <c r="H171" s="16" t="s">
        <v>832</v>
      </c>
      <c r="I171" s="18" t="s">
        <v>841</v>
      </c>
      <c r="J171" s="5" t="s">
        <v>45</v>
      </c>
      <c r="K171" s="5"/>
      <c r="L171" s="26">
        <v>37263</v>
      </c>
      <c r="M171" s="26" t="str">
        <f t="shared" ca="1" si="13"/>
        <v>24 tahun 7 bulan</v>
      </c>
      <c r="N171" s="5" t="s">
        <v>31</v>
      </c>
      <c r="O171" s="26">
        <v>29307</v>
      </c>
      <c r="P171" s="26" t="str">
        <f t="shared" ca="1" si="14"/>
        <v>46 tahun</v>
      </c>
      <c r="Q171" s="5" t="s">
        <v>46</v>
      </c>
      <c r="R171" s="35">
        <v>4856026</v>
      </c>
      <c r="S171" s="25" t="s">
        <v>842</v>
      </c>
      <c r="T171" s="5" t="s">
        <v>843</v>
      </c>
      <c r="U171" s="5" t="s">
        <v>35</v>
      </c>
      <c r="V171" s="25" t="s">
        <v>844</v>
      </c>
      <c r="W171" s="25" t="s">
        <v>845</v>
      </c>
      <c r="X171" s="5"/>
      <c r="Y171" s="25" t="s">
        <v>846</v>
      </c>
      <c r="Z171" s="5"/>
      <c r="AA171" s="9" t="s">
        <v>41</v>
      </c>
      <c r="AB171" s="6"/>
    </row>
    <row r="172" spans="1:28">
      <c r="A172" s="5">
        <f>IF(AA172="aktif",MAX($A$1:A171)+1,"")</f>
        <v>138</v>
      </c>
      <c r="B172" s="25" t="s">
        <v>847</v>
      </c>
      <c r="C172" s="15" t="s">
        <v>848</v>
      </c>
      <c r="D172" s="139" t="s">
        <v>78</v>
      </c>
      <c r="E172" s="18" t="s">
        <v>786</v>
      </c>
      <c r="F172" s="5" t="s">
        <v>787</v>
      </c>
      <c r="G172" s="5" t="s">
        <v>787</v>
      </c>
      <c r="H172" s="16" t="s">
        <v>832</v>
      </c>
      <c r="I172" s="18" t="s">
        <v>833</v>
      </c>
      <c r="J172" s="5" t="s">
        <v>45</v>
      </c>
      <c r="K172" s="5"/>
      <c r="L172" s="26">
        <v>41426</v>
      </c>
      <c r="M172" s="26" t="str">
        <f t="shared" ca="1" si="13"/>
        <v>13 tahun 2 bulan</v>
      </c>
      <c r="N172" s="5" t="s">
        <v>31</v>
      </c>
      <c r="O172" s="26">
        <v>33110</v>
      </c>
      <c r="P172" s="26" t="str">
        <f t="shared" ca="1" si="14"/>
        <v>35 tahun</v>
      </c>
      <c r="Q172" s="5" t="s">
        <v>32</v>
      </c>
      <c r="R172" s="35">
        <v>4856026</v>
      </c>
      <c r="S172" s="25" t="s">
        <v>849</v>
      </c>
      <c r="T172" s="5" t="s">
        <v>850</v>
      </c>
      <c r="U172" s="5" t="s">
        <v>35</v>
      </c>
      <c r="V172" s="25" t="s">
        <v>851</v>
      </c>
      <c r="W172" s="25" t="s">
        <v>852</v>
      </c>
      <c r="X172" s="5"/>
      <c r="Y172" s="25"/>
      <c r="Z172" s="5">
        <v>15047449440</v>
      </c>
      <c r="AA172" s="9" t="s">
        <v>41</v>
      </c>
      <c r="AB172" s="6"/>
    </row>
    <row r="173" spans="1:28">
      <c r="A173" s="5">
        <f>IF(AA173="aktif",MAX($A$1:A172)+1,"")</f>
        <v>139</v>
      </c>
      <c r="B173" s="25" t="s">
        <v>853</v>
      </c>
      <c r="C173" s="15" t="s">
        <v>854</v>
      </c>
      <c r="D173" s="139" t="s">
        <v>78</v>
      </c>
      <c r="E173" s="18" t="s">
        <v>786</v>
      </c>
      <c r="F173" s="5" t="s">
        <v>787</v>
      </c>
      <c r="G173" s="5" t="s">
        <v>787</v>
      </c>
      <c r="H173" s="16" t="s">
        <v>832</v>
      </c>
      <c r="I173" s="18" t="s">
        <v>855</v>
      </c>
      <c r="J173" s="5" t="s">
        <v>45</v>
      </c>
      <c r="K173" s="5"/>
      <c r="L173" s="26">
        <v>41699</v>
      </c>
      <c r="M173" s="26" t="str">
        <f t="shared" ca="1" si="13"/>
        <v>12 tahun 5 bulan</v>
      </c>
      <c r="N173" s="5" t="s">
        <v>31</v>
      </c>
      <c r="O173" s="26">
        <v>30256</v>
      </c>
      <c r="P173" s="26" t="str">
        <f t="shared" ca="1" si="14"/>
        <v>43 tahun</v>
      </c>
      <c r="Q173" s="5" t="s">
        <v>32</v>
      </c>
      <c r="R173" s="35">
        <v>4856026</v>
      </c>
      <c r="S173" s="25" t="s">
        <v>856</v>
      </c>
      <c r="T173" s="5" t="s">
        <v>857</v>
      </c>
      <c r="U173" s="5" t="s">
        <v>35</v>
      </c>
      <c r="V173" s="25" t="s">
        <v>858</v>
      </c>
      <c r="W173" s="25" t="s">
        <v>858</v>
      </c>
      <c r="X173" s="5"/>
      <c r="Y173" s="25" t="s">
        <v>859</v>
      </c>
      <c r="Z173" s="5">
        <v>15047449259000</v>
      </c>
      <c r="AA173" s="9" t="s">
        <v>41</v>
      </c>
      <c r="AB173" s="6"/>
    </row>
    <row r="174" spans="1:28">
      <c r="A174" s="5">
        <f>IF(AA174="aktif",MAX($A$1:A173)+1,"")</f>
        <v>140</v>
      </c>
      <c r="B174" s="25" t="s">
        <v>860</v>
      </c>
      <c r="C174" s="15" t="s">
        <v>861</v>
      </c>
      <c r="D174" s="139" t="s">
        <v>78</v>
      </c>
      <c r="E174" s="18" t="s">
        <v>786</v>
      </c>
      <c r="F174" s="5" t="s">
        <v>787</v>
      </c>
      <c r="G174" s="5" t="s">
        <v>787</v>
      </c>
      <c r="H174" s="16" t="s">
        <v>862</v>
      </c>
      <c r="I174" s="18" t="s">
        <v>855</v>
      </c>
      <c r="J174" s="5" t="s">
        <v>45</v>
      </c>
      <c r="K174" s="5"/>
      <c r="L174" s="26">
        <v>37408</v>
      </c>
      <c r="M174" s="26" t="str">
        <f t="shared" ca="1" si="13"/>
        <v>24 tahun 2 bulan</v>
      </c>
      <c r="N174" s="5" t="s">
        <v>31</v>
      </c>
      <c r="O174" s="26">
        <v>30692</v>
      </c>
      <c r="P174" s="26" t="str">
        <f t="shared" ca="1" si="14"/>
        <v>42 tahun</v>
      </c>
      <c r="Q174" s="5" t="s">
        <v>32</v>
      </c>
      <c r="R174" s="35">
        <v>4856026</v>
      </c>
      <c r="S174" s="25" t="s">
        <v>863</v>
      </c>
      <c r="T174" s="5" t="s">
        <v>864</v>
      </c>
      <c r="U174" s="5" t="s">
        <v>35</v>
      </c>
      <c r="V174" s="25" t="s">
        <v>865</v>
      </c>
      <c r="W174" s="25" t="s">
        <v>866</v>
      </c>
      <c r="X174" s="5"/>
      <c r="Y174" s="25" t="s">
        <v>867</v>
      </c>
      <c r="Z174" s="5">
        <v>11024228667</v>
      </c>
      <c r="AA174" s="9" t="s">
        <v>41</v>
      </c>
      <c r="AB174" s="6"/>
    </row>
    <row r="175" spans="1:28">
      <c r="A175" s="5">
        <f>IF(AA175="aktif",MAX($A$1:A174)+1,"")</f>
        <v>141</v>
      </c>
      <c r="B175" s="25" t="s">
        <v>868</v>
      </c>
      <c r="C175" s="15" t="s">
        <v>869</v>
      </c>
      <c r="D175" s="139" t="s">
        <v>78</v>
      </c>
      <c r="E175" s="18" t="s">
        <v>786</v>
      </c>
      <c r="F175" s="5" t="s">
        <v>787</v>
      </c>
      <c r="G175" s="5" t="s">
        <v>787</v>
      </c>
      <c r="H175" s="16" t="s">
        <v>862</v>
      </c>
      <c r="I175" s="18" t="s">
        <v>841</v>
      </c>
      <c r="J175" s="5" t="s">
        <v>45</v>
      </c>
      <c r="K175" s="5"/>
      <c r="L175" s="26">
        <v>40330</v>
      </c>
      <c r="M175" s="26" t="str">
        <f t="shared" ca="1" si="13"/>
        <v>16 tahun 2 bulan</v>
      </c>
      <c r="N175" s="5" t="s">
        <v>31</v>
      </c>
      <c r="O175" s="26">
        <v>33885</v>
      </c>
      <c r="P175" s="26" t="str">
        <f t="shared" ca="1" si="14"/>
        <v>33 tahun</v>
      </c>
      <c r="Q175" s="5" t="s">
        <v>32</v>
      </c>
      <c r="R175" s="35">
        <v>4870288</v>
      </c>
      <c r="S175" s="25" t="s">
        <v>870</v>
      </c>
      <c r="T175" s="5" t="s">
        <v>871</v>
      </c>
      <c r="U175" s="5" t="s">
        <v>35</v>
      </c>
      <c r="V175" s="25" t="s">
        <v>872</v>
      </c>
      <c r="W175" s="25" t="s">
        <v>873</v>
      </c>
      <c r="X175" s="5"/>
      <c r="Y175" s="10"/>
      <c r="Z175" s="25" t="s">
        <v>874</v>
      </c>
      <c r="AA175" s="9" t="s">
        <v>41</v>
      </c>
      <c r="AB175" s="6"/>
    </row>
    <row r="176" spans="1:28">
      <c r="A176" s="5">
        <f>IF(AA176="aktif",MAX($A$1:A175)+1,"")</f>
        <v>142</v>
      </c>
      <c r="B176" s="25" t="s">
        <v>875</v>
      </c>
      <c r="C176" s="15" t="s">
        <v>876</v>
      </c>
      <c r="D176" s="139" t="s">
        <v>78</v>
      </c>
      <c r="E176" s="18" t="s">
        <v>786</v>
      </c>
      <c r="F176" s="5" t="s">
        <v>787</v>
      </c>
      <c r="G176" s="5" t="s">
        <v>787</v>
      </c>
      <c r="H176" s="16" t="s">
        <v>862</v>
      </c>
      <c r="I176" s="18" t="s">
        <v>833</v>
      </c>
      <c r="J176" s="5" t="s">
        <v>45</v>
      </c>
      <c r="K176" s="5"/>
      <c r="L176" s="26">
        <v>40330</v>
      </c>
      <c r="M176" s="26" t="str">
        <f t="shared" ca="1" si="13"/>
        <v>16 tahun 2 bulan</v>
      </c>
      <c r="N176" s="5" t="s">
        <v>31</v>
      </c>
      <c r="O176" s="26">
        <v>29430</v>
      </c>
      <c r="P176" s="26" t="str">
        <f t="shared" ca="1" si="14"/>
        <v>46 tahun</v>
      </c>
      <c r="Q176" s="5" t="s">
        <v>46</v>
      </c>
      <c r="R176" s="35">
        <v>4856026</v>
      </c>
      <c r="S176" s="25" t="s">
        <v>877</v>
      </c>
      <c r="T176" s="5" t="s">
        <v>878</v>
      </c>
      <c r="U176" s="5" t="s">
        <v>35</v>
      </c>
      <c r="V176" s="25" t="s">
        <v>879</v>
      </c>
      <c r="W176" s="25" t="s">
        <v>880</v>
      </c>
      <c r="X176" s="5"/>
      <c r="Y176" s="25"/>
      <c r="Z176" s="5"/>
      <c r="AA176" s="9" t="s">
        <v>41</v>
      </c>
      <c r="AB176" s="6"/>
    </row>
    <row r="177" spans="1:28">
      <c r="A177" s="5">
        <f>IF(AA177="aktif",MAX($A$1:A176)+1,"")</f>
        <v>143</v>
      </c>
      <c r="B177" s="25" t="s">
        <v>881</v>
      </c>
      <c r="C177" s="15" t="s">
        <v>882</v>
      </c>
      <c r="D177" s="139" t="s">
        <v>78</v>
      </c>
      <c r="E177" s="18" t="s">
        <v>786</v>
      </c>
      <c r="F177" s="5" t="s">
        <v>787</v>
      </c>
      <c r="G177" s="5" t="s">
        <v>787</v>
      </c>
      <c r="H177" s="16" t="s">
        <v>883</v>
      </c>
      <c r="I177" s="18" t="s">
        <v>833</v>
      </c>
      <c r="J177" s="5" t="s">
        <v>45</v>
      </c>
      <c r="K177" s="5"/>
      <c r="L177" s="26">
        <v>38504</v>
      </c>
      <c r="M177" s="26" t="str">
        <f t="shared" ca="1" si="13"/>
        <v>21 tahun 2 bulan</v>
      </c>
      <c r="N177" s="5" t="s">
        <v>31</v>
      </c>
      <c r="O177" s="26">
        <v>30237</v>
      </c>
      <c r="P177" s="26" t="str">
        <f t="shared" ca="1" si="14"/>
        <v>43 tahun</v>
      </c>
      <c r="Q177" s="5" t="s">
        <v>46</v>
      </c>
      <c r="R177" s="35">
        <v>4856026</v>
      </c>
      <c r="S177" s="25" t="s">
        <v>884</v>
      </c>
      <c r="T177" s="5" t="s">
        <v>885</v>
      </c>
      <c r="U177" s="5" t="s">
        <v>35</v>
      </c>
      <c r="V177" s="25" t="s">
        <v>886</v>
      </c>
      <c r="W177" s="25" t="s">
        <v>887</v>
      </c>
      <c r="X177" s="5">
        <v>801129594602000</v>
      </c>
      <c r="Y177" s="25"/>
      <c r="Z177" s="5">
        <v>12018377759000</v>
      </c>
      <c r="AA177" s="9" t="s">
        <v>41</v>
      </c>
      <c r="AB177" s="6"/>
    </row>
    <row r="178" spans="1:28">
      <c r="A178" s="5">
        <f>IF(AA178="aktif",MAX($A$1:A177)+1,"")</f>
        <v>144</v>
      </c>
      <c r="B178" s="25" t="s">
        <v>888</v>
      </c>
      <c r="C178" s="15" t="s">
        <v>889</v>
      </c>
      <c r="D178" s="139" t="s">
        <v>78</v>
      </c>
      <c r="E178" s="18" t="s">
        <v>786</v>
      </c>
      <c r="F178" s="5" t="s">
        <v>787</v>
      </c>
      <c r="G178" s="5" t="s">
        <v>787</v>
      </c>
      <c r="H178" s="16" t="s">
        <v>883</v>
      </c>
      <c r="I178" s="18" t="s">
        <v>855</v>
      </c>
      <c r="J178" s="5" t="s">
        <v>45</v>
      </c>
      <c r="K178" s="5"/>
      <c r="L178" s="26">
        <v>39022</v>
      </c>
      <c r="M178" s="26" t="str">
        <f t="shared" ca="1" si="13"/>
        <v>19 tahun 9 bulan</v>
      </c>
      <c r="N178" s="5" t="s">
        <v>31</v>
      </c>
      <c r="O178" s="26">
        <v>32205</v>
      </c>
      <c r="P178" s="26" t="str">
        <f t="shared" ca="1" si="14"/>
        <v>38 tahun</v>
      </c>
      <c r="Q178" s="5" t="s">
        <v>46</v>
      </c>
      <c r="R178" s="35">
        <v>4856026</v>
      </c>
      <c r="S178" s="25" t="s">
        <v>890</v>
      </c>
      <c r="T178" s="5" t="s">
        <v>891</v>
      </c>
      <c r="U178" s="5" t="s">
        <v>35</v>
      </c>
      <c r="V178" s="25" t="s">
        <v>892</v>
      </c>
      <c r="W178" s="25"/>
      <c r="X178" s="5"/>
      <c r="Y178" s="25"/>
      <c r="Z178" s="5">
        <v>18089051223</v>
      </c>
      <c r="AA178" s="9" t="s">
        <v>41</v>
      </c>
      <c r="AB178" s="6"/>
    </row>
    <row r="179" spans="1:28">
      <c r="A179" s="5">
        <f>IF(AA179="aktif",MAX($A$1:A178)+1,"")</f>
        <v>145</v>
      </c>
      <c r="B179" s="25" t="s">
        <v>893</v>
      </c>
      <c r="C179" s="15" t="s">
        <v>894</v>
      </c>
      <c r="D179" s="139" t="s">
        <v>78</v>
      </c>
      <c r="E179" s="18" t="s">
        <v>786</v>
      </c>
      <c r="F179" s="5" t="s">
        <v>787</v>
      </c>
      <c r="G179" s="5" t="s">
        <v>787</v>
      </c>
      <c r="H179" s="16" t="s">
        <v>883</v>
      </c>
      <c r="I179" s="18" t="s">
        <v>841</v>
      </c>
      <c r="J179" s="5" t="s">
        <v>45</v>
      </c>
      <c r="K179" s="5"/>
      <c r="L179" s="26">
        <v>39600</v>
      </c>
      <c r="M179" s="26" t="str">
        <f t="shared" ca="1" si="13"/>
        <v>18 tahun 2 bulan</v>
      </c>
      <c r="N179" s="5" t="s">
        <v>31</v>
      </c>
      <c r="O179" s="26">
        <v>31060</v>
      </c>
      <c r="P179" s="26" t="str">
        <f t="shared" ca="1" si="14"/>
        <v>41 tahun</v>
      </c>
      <c r="Q179" s="5" t="s">
        <v>121</v>
      </c>
      <c r="R179" s="35">
        <v>4856026</v>
      </c>
      <c r="S179" s="25" t="s">
        <v>895</v>
      </c>
      <c r="T179" s="5" t="s">
        <v>238</v>
      </c>
      <c r="U179" s="5" t="s">
        <v>35</v>
      </c>
      <c r="V179" s="25" t="s">
        <v>896</v>
      </c>
      <c r="W179" s="25" t="s">
        <v>897</v>
      </c>
      <c r="X179" s="5"/>
      <c r="Y179" s="25"/>
      <c r="Z179" s="5">
        <v>15047449457</v>
      </c>
      <c r="AA179" s="9" t="s">
        <v>41</v>
      </c>
      <c r="AB179" s="6"/>
    </row>
    <row r="180" spans="1:28">
      <c r="A180" s="5">
        <f>IF(AA180="aktif",MAX($A$1:A179)+1,"")</f>
        <v>146</v>
      </c>
      <c r="B180" s="25" t="s">
        <v>898</v>
      </c>
      <c r="C180" s="15" t="s">
        <v>899</v>
      </c>
      <c r="D180" s="139" t="s">
        <v>78</v>
      </c>
      <c r="E180" s="18" t="s">
        <v>786</v>
      </c>
      <c r="F180" s="5" t="s">
        <v>787</v>
      </c>
      <c r="G180" s="5" t="s">
        <v>787</v>
      </c>
      <c r="H180" s="16" t="s">
        <v>900</v>
      </c>
      <c r="I180" s="18" t="s">
        <v>833</v>
      </c>
      <c r="J180" s="5" t="s">
        <v>45</v>
      </c>
      <c r="K180" s="5"/>
      <c r="L180" s="26">
        <v>38504</v>
      </c>
      <c r="M180" s="26" t="str">
        <f t="shared" ca="1" si="13"/>
        <v>21 tahun 2 bulan</v>
      </c>
      <c r="N180" s="5" t="s">
        <v>31</v>
      </c>
      <c r="O180" s="26">
        <v>28134</v>
      </c>
      <c r="P180" s="26" t="str">
        <f t="shared" ca="1" si="14"/>
        <v>49 tahun</v>
      </c>
      <c r="Q180" s="5" t="s">
        <v>32</v>
      </c>
      <c r="R180" s="35">
        <v>4856026</v>
      </c>
      <c r="S180" s="25" t="s">
        <v>901</v>
      </c>
      <c r="T180" s="5" t="s">
        <v>902</v>
      </c>
      <c r="U180" s="5" t="s">
        <v>35</v>
      </c>
      <c r="V180" s="25" t="s">
        <v>903</v>
      </c>
      <c r="W180" s="25" t="s">
        <v>904</v>
      </c>
      <c r="X180" s="5"/>
      <c r="Y180" s="25"/>
      <c r="Z180" s="5"/>
      <c r="AA180" s="9" t="s">
        <v>41</v>
      </c>
      <c r="AB180" s="6"/>
    </row>
    <row r="181" spans="1:28">
      <c r="A181" s="5">
        <f>IF(AA181="aktif",MAX($A$1:A180)+1,"")</f>
        <v>147</v>
      </c>
      <c r="B181" s="25" t="s">
        <v>905</v>
      </c>
      <c r="C181" s="15" t="s">
        <v>906</v>
      </c>
      <c r="D181" s="139" t="s">
        <v>78</v>
      </c>
      <c r="E181" s="18" t="s">
        <v>786</v>
      </c>
      <c r="F181" s="5" t="s">
        <v>787</v>
      </c>
      <c r="G181" s="5" t="s">
        <v>787</v>
      </c>
      <c r="H181" s="16" t="s">
        <v>900</v>
      </c>
      <c r="I181" s="18" t="s">
        <v>841</v>
      </c>
      <c r="J181" s="5" t="s">
        <v>45</v>
      </c>
      <c r="K181" s="5"/>
      <c r="L181" s="26">
        <v>39611</v>
      </c>
      <c r="M181" s="26" t="str">
        <f t="shared" ca="1" si="13"/>
        <v>18 tahun 1 bulan</v>
      </c>
      <c r="N181" s="5" t="s">
        <v>31</v>
      </c>
      <c r="O181" s="26">
        <v>31116</v>
      </c>
      <c r="P181" s="26" t="str">
        <f t="shared" ca="1" si="14"/>
        <v>41 tahun</v>
      </c>
      <c r="Q181" s="5" t="s">
        <v>46</v>
      </c>
      <c r="R181" s="35">
        <v>4870288</v>
      </c>
      <c r="S181" s="25" t="s">
        <v>907</v>
      </c>
      <c r="T181" s="5" t="s">
        <v>908</v>
      </c>
      <c r="U181" s="5" t="s">
        <v>35</v>
      </c>
      <c r="V181" s="25" t="s">
        <v>909</v>
      </c>
      <c r="W181" s="25" t="s">
        <v>909</v>
      </c>
      <c r="X181" s="5"/>
      <c r="Y181" s="25"/>
      <c r="Z181" s="5">
        <v>18089051447</v>
      </c>
      <c r="AA181" s="9" t="s">
        <v>41</v>
      </c>
      <c r="AB181" s="6"/>
    </row>
    <row r="182" spans="1:28">
      <c r="A182" s="5">
        <f>IF(AA182="aktif",MAX($A$1:A181)+1,"")</f>
        <v>148</v>
      </c>
      <c r="B182" s="25" t="s">
        <v>910</v>
      </c>
      <c r="C182" s="15" t="s">
        <v>911</v>
      </c>
      <c r="D182" s="139" t="s">
        <v>78</v>
      </c>
      <c r="E182" s="18" t="s">
        <v>786</v>
      </c>
      <c r="F182" s="5" t="s">
        <v>787</v>
      </c>
      <c r="G182" s="5" t="s">
        <v>787</v>
      </c>
      <c r="H182" s="16" t="s">
        <v>900</v>
      </c>
      <c r="I182" s="18" t="s">
        <v>855</v>
      </c>
      <c r="J182" s="5" t="s">
        <v>45</v>
      </c>
      <c r="K182" s="5"/>
      <c r="L182" s="26"/>
      <c r="M182" s="26" t="str">
        <f t="shared" ca="1" si="13"/>
        <v/>
      </c>
      <c r="N182" s="5" t="s">
        <v>31</v>
      </c>
      <c r="O182" s="26">
        <v>29221</v>
      </c>
      <c r="P182" s="26" t="str">
        <f t="shared" ca="1" si="14"/>
        <v>46 tahun</v>
      </c>
      <c r="Q182" s="5" t="s">
        <v>46</v>
      </c>
      <c r="R182" s="35">
        <v>4856026</v>
      </c>
      <c r="S182" s="25" t="s">
        <v>912</v>
      </c>
      <c r="T182" s="5" t="s">
        <v>913</v>
      </c>
      <c r="U182" s="5" t="s">
        <v>35</v>
      </c>
      <c r="V182" s="25" t="s">
        <v>914</v>
      </c>
      <c r="W182" s="25" t="s">
        <v>915</v>
      </c>
      <c r="X182" s="5"/>
      <c r="Y182" s="25" t="s">
        <v>916</v>
      </c>
      <c r="Z182" s="5">
        <v>11032939081000</v>
      </c>
      <c r="AA182" s="9" t="s">
        <v>41</v>
      </c>
      <c r="AB182" s="6"/>
    </row>
    <row r="183" spans="1:28">
      <c r="A183" s="5">
        <f>IF(AA183="aktif",MAX($A$1:A182)+1,"")</f>
        <v>149</v>
      </c>
      <c r="B183" s="25"/>
      <c r="C183" s="15" t="s">
        <v>917</v>
      </c>
      <c r="D183" s="139" t="s">
        <v>78</v>
      </c>
      <c r="E183" s="18" t="s">
        <v>786</v>
      </c>
      <c r="F183" s="5" t="s">
        <v>787</v>
      </c>
      <c r="G183" s="5" t="s">
        <v>787</v>
      </c>
      <c r="H183" s="16" t="s">
        <v>918</v>
      </c>
      <c r="I183" s="18" t="s">
        <v>841</v>
      </c>
      <c r="J183" s="5" t="s">
        <v>30</v>
      </c>
      <c r="K183" s="5"/>
      <c r="L183" s="26">
        <v>36678</v>
      </c>
      <c r="M183" s="26" t="str">
        <f t="shared" ca="1" si="13"/>
        <v>26 tahun 2 bulan</v>
      </c>
      <c r="N183" s="5" t="s">
        <v>31</v>
      </c>
      <c r="O183" s="26">
        <v>30086</v>
      </c>
      <c r="P183" s="26" t="str">
        <f t="shared" ca="1" si="14"/>
        <v>44 tahun</v>
      </c>
      <c r="Q183" s="5" t="s">
        <v>121</v>
      </c>
      <c r="R183" s="35">
        <v>4856026</v>
      </c>
      <c r="S183" s="25" t="s">
        <v>919</v>
      </c>
      <c r="T183" s="5" t="s">
        <v>920</v>
      </c>
      <c r="U183" s="5" t="s">
        <v>35</v>
      </c>
      <c r="V183" s="25" t="s">
        <v>921</v>
      </c>
      <c r="W183" s="25" t="s">
        <v>922</v>
      </c>
      <c r="X183" s="5"/>
      <c r="Y183" s="25"/>
      <c r="Z183" s="5" t="s">
        <v>923</v>
      </c>
      <c r="AA183" s="9" t="s">
        <v>41</v>
      </c>
      <c r="AB183" s="6"/>
    </row>
    <row r="184" spans="1:28">
      <c r="A184" s="5">
        <f>IF(AA184="aktif",MAX($A$1:A183)+1,"")</f>
        <v>150</v>
      </c>
      <c r="B184" s="25" t="s">
        <v>924</v>
      </c>
      <c r="C184" s="15" t="s">
        <v>925</v>
      </c>
      <c r="D184" s="139" t="s">
        <v>78</v>
      </c>
      <c r="E184" s="18" t="s">
        <v>786</v>
      </c>
      <c r="F184" s="5" t="s">
        <v>787</v>
      </c>
      <c r="G184" s="5" t="s">
        <v>787</v>
      </c>
      <c r="H184" s="16" t="s">
        <v>918</v>
      </c>
      <c r="I184" s="18" t="s">
        <v>855</v>
      </c>
      <c r="J184" s="5" t="s">
        <v>45</v>
      </c>
      <c r="K184" s="5"/>
      <c r="L184" s="26">
        <v>37408</v>
      </c>
      <c r="M184" s="26" t="str">
        <f t="shared" ca="1" si="13"/>
        <v>24 tahun 2 bulan</v>
      </c>
      <c r="N184" s="5" t="s">
        <v>31</v>
      </c>
      <c r="O184" s="26">
        <v>37530</v>
      </c>
      <c r="P184" s="26" t="str">
        <f t="shared" ca="1" si="14"/>
        <v>23 tahun</v>
      </c>
      <c r="Q184" s="5" t="s">
        <v>32</v>
      </c>
      <c r="R184" s="35">
        <v>4856026</v>
      </c>
      <c r="S184" s="25" t="s">
        <v>926</v>
      </c>
      <c r="T184" s="5" t="s">
        <v>927</v>
      </c>
      <c r="U184" s="5" t="s">
        <v>35</v>
      </c>
      <c r="V184" s="25" t="s">
        <v>928</v>
      </c>
      <c r="W184" s="25" t="s">
        <v>929</v>
      </c>
      <c r="X184" s="5"/>
      <c r="Y184" s="25"/>
      <c r="Z184" s="5">
        <v>11023345603</v>
      </c>
      <c r="AA184" s="9" t="s">
        <v>41</v>
      </c>
      <c r="AB184" s="6"/>
    </row>
    <row r="185" spans="1:28">
      <c r="A185" s="5">
        <f>IF(AA185="aktif",MAX($A$1:A184)+1,"")</f>
        <v>151</v>
      </c>
      <c r="B185" s="25"/>
      <c r="C185" s="15" t="s">
        <v>930</v>
      </c>
      <c r="D185" s="139" t="s">
        <v>78</v>
      </c>
      <c r="E185" s="18" t="s">
        <v>786</v>
      </c>
      <c r="F185" s="5" t="s">
        <v>787</v>
      </c>
      <c r="G185" s="5" t="s">
        <v>787</v>
      </c>
      <c r="H185" s="16" t="s">
        <v>918</v>
      </c>
      <c r="I185" s="18" t="s">
        <v>833</v>
      </c>
      <c r="J185" s="5" t="s">
        <v>71</v>
      </c>
      <c r="K185" s="5"/>
      <c r="L185" s="26">
        <v>43252</v>
      </c>
      <c r="M185" s="26" t="str">
        <f t="shared" ca="1" si="13"/>
        <v>8 tahun 2 bulan</v>
      </c>
      <c r="N185" s="5" t="s">
        <v>31</v>
      </c>
      <c r="O185" s="26">
        <v>32728</v>
      </c>
      <c r="P185" s="26" t="str">
        <f t="shared" ca="1" si="14"/>
        <v>37 tahun</v>
      </c>
      <c r="Q185" s="5" t="s">
        <v>46</v>
      </c>
      <c r="R185" s="35">
        <v>4100000</v>
      </c>
      <c r="S185" s="25" t="s">
        <v>931</v>
      </c>
      <c r="T185" s="5" t="s">
        <v>932</v>
      </c>
      <c r="U185" s="5" t="s">
        <v>35</v>
      </c>
      <c r="V185" s="32" t="s">
        <v>933</v>
      </c>
      <c r="W185" s="32" t="s">
        <v>934</v>
      </c>
      <c r="X185" s="10"/>
      <c r="Y185" s="10"/>
      <c r="Z185" s="10"/>
      <c r="AA185" s="9" t="s">
        <v>41</v>
      </c>
      <c r="AB185" s="6"/>
    </row>
    <row r="186" spans="1:28">
      <c r="A186" s="5">
        <f>IF(AA186="aktif",MAX($A$1:A185)+1,"")</f>
        <v>152</v>
      </c>
      <c r="B186" s="25" t="s">
        <v>935</v>
      </c>
      <c r="C186" s="15" t="s">
        <v>936</v>
      </c>
      <c r="D186" s="139" t="s">
        <v>937</v>
      </c>
      <c r="E186" s="18" t="s">
        <v>786</v>
      </c>
      <c r="F186" s="5" t="s">
        <v>787</v>
      </c>
      <c r="G186" s="5" t="s">
        <v>787</v>
      </c>
      <c r="H186" s="16" t="s">
        <v>862</v>
      </c>
      <c r="I186" s="18" t="s">
        <v>841</v>
      </c>
      <c r="J186" s="5" t="s">
        <v>45</v>
      </c>
      <c r="K186" s="5"/>
      <c r="L186" s="26">
        <v>43252</v>
      </c>
      <c r="M186" s="26" t="str">
        <f t="shared" ca="1" si="13"/>
        <v>8 tahun 2 bulan</v>
      </c>
      <c r="N186" s="5" t="s">
        <v>31</v>
      </c>
      <c r="O186" s="26">
        <v>35527</v>
      </c>
      <c r="P186" s="26" t="str">
        <f t="shared" ca="1" si="14"/>
        <v>29 tahun</v>
      </c>
      <c r="Q186" s="5" t="s">
        <v>46</v>
      </c>
      <c r="R186" s="35">
        <v>4856026</v>
      </c>
      <c r="S186" s="25" t="s">
        <v>938</v>
      </c>
      <c r="T186" s="5" t="s">
        <v>74</v>
      </c>
      <c r="U186" s="5" t="s">
        <v>35</v>
      </c>
      <c r="V186" s="25" t="s">
        <v>939</v>
      </c>
      <c r="W186" s="25"/>
      <c r="X186" s="5"/>
      <c r="Y186" s="25" t="s">
        <v>940</v>
      </c>
      <c r="Z186" s="5">
        <v>20068349644</v>
      </c>
      <c r="AA186" s="9" t="s">
        <v>41</v>
      </c>
      <c r="AB186" s="6"/>
    </row>
    <row r="187" spans="1:28">
      <c r="A187" s="5">
        <f>IF(AA187="aktif",MAX($A$1:A186)+1,"")</f>
        <v>153</v>
      </c>
      <c r="B187" s="25"/>
      <c r="C187" s="15" t="s">
        <v>941</v>
      </c>
      <c r="D187" s="139" t="s">
        <v>937</v>
      </c>
      <c r="E187" s="18" t="s">
        <v>786</v>
      </c>
      <c r="F187" s="5" t="s">
        <v>787</v>
      </c>
      <c r="G187" s="5" t="s">
        <v>787</v>
      </c>
      <c r="H187" s="16" t="s">
        <v>832</v>
      </c>
      <c r="I187" s="18" t="s">
        <v>855</v>
      </c>
      <c r="J187" s="5" t="s">
        <v>71</v>
      </c>
      <c r="K187" s="5"/>
      <c r="L187" s="26">
        <v>43252</v>
      </c>
      <c r="M187" s="26" t="str">
        <f t="shared" ca="1" si="13"/>
        <v>8 tahun 2 bulan</v>
      </c>
      <c r="N187" s="5" t="s">
        <v>31</v>
      </c>
      <c r="O187" s="26">
        <v>36434</v>
      </c>
      <c r="P187" s="26" t="str">
        <f t="shared" ca="1" si="14"/>
        <v>26 tahun</v>
      </c>
      <c r="Q187" s="5" t="s">
        <v>46</v>
      </c>
      <c r="R187" s="35"/>
      <c r="S187" s="25" t="s">
        <v>942</v>
      </c>
      <c r="T187" s="5" t="s">
        <v>943</v>
      </c>
      <c r="U187" s="5" t="s">
        <v>165</v>
      </c>
      <c r="V187" s="25" t="s">
        <v>944</v>
      </c>
      <c r="W187" s="25" t="s">
        <v>945</v>
      </c>
      <c r="X187" s="5"/>
      <c r="Y187" s="25"/>
      <c r="Z187" s="5"/>
      <c r="AA187" s="9" t="s">
        <v>41</v>
      </c>
      <c r="AB187" s="6"/>
    </row>
    <row r="188" spans="1:28">
      <c r="A188" s="5">
        <f>IF(AA188="aktif",MAX($A$1:A187)+1,"")</f>
        <v>154</v>
      </c>
      <c r="B188" s="25" t="s">
        <v>946</v>
      </c>
      <c r="C188" s="15" t="s">
        <v>947</v>
      </c>
      <c r="D188" s="139" t="s">
        <v>937</v>
      </c>
      <c r="E188" s="18" t="s">
        <v>786</v>
      </c>
      <c r="F188" s="5" t="s">
        <v>787</v>
      </c>
      <c r="G188" s="5" t="s">
        <v>787</v>
      </c>
      <c r="H188" s="16" t="s">
        <v>883</v>
      </c>
      <c r="I188" s="18" t="s">
        <v>833</v>
      </c>
      <c r="J188" s="5" t="s">
        <v>71</v>
      </c>
      <c r="K188" s="5"/>
      <c r="L188" s="26">
        <v>39234</v>
      </c>
      <c r="M188" s="26" t="str">
        <f t="shared" ca="1" si="13"/>
        <v>19 tahun 2 bulan</v>
      </c>
      <c r="N188" s="5" t="s">
        <v>31</v>
      </c>
      <c r="O188" s="26">
        <v>29344</v>
      </c>
      <c r="P188" s="26" t="str">
        <f t="shared" ca="1" si="14"/>
        <v>46 tahun</v>
      </c>
      <c r="Q188" s="5" t="s">
        <v>121</v>
      </c>
      <c r="R188" s="35">
        <v>5000000</v>
      </c>
      <c r="S188" s="25" t="s">
        <v>948</v>
      </c>
      <c r="T188" s="5" t="s">
        <v>808</v>
      </c>
      <c r="U188" s="5" t="s">
        <v>35</v>
      </c>
      <c r="V188" s="25"/>
      <c r="W188" s="25"/>
      <c r="X188" s="5"/>
      <c r="Y188" s="25"/>
      <c r="Z188" s="5"/>
      <c r="AA188" s="9" t="s">
        <v>41</v>
      </c>
      <c r="AB188" s="6"/>
    </row>
    <row r="189" spans="1:28">
      <c r="A189" s="5">
        <f>IF(AA189="aktif",MAX($A$1:A188)+1,"")</f>
        <v>155</v>
      </c>
      <c r="B189" s="25" t="s">
        <v>949</v>
      </c>
      <c r="C189" s="15" t="s">
        <v>950</v>
      </c>
      <c r="D189" s="139" t="s">
        <v>937</v>
      </c>
      <c r="E189" s="18" t="s">
        <v>786</v>
      </c>
      <c r="F189" s="5" t="s">
        <v>2229</v>
      </c>
      <c r="G189" s="5" t="s">
        <v>787</v>
      </c>
      <c r="H189" s="16" t="s">
        <v>883</v>
      </c>
      <c r="I189" s="18" t="s">
        <v>841</v>
      </c>
      <c r="J189" s="5" t="s">
        <v>71</v>
      </c>
      <c r="K189" s="5"/>
      <c r="L189" s="26"/>
      <c r="M189" s="26" t="str">
        <f t="shared" ca="1" si="13"/>
        <v/>
      </c>
      <c r="N189" s="5" t="s">
        <v>31</v>
      </c>
      <c r="O189" s="26">
        <v>33383</v>
      </c>
      <c r="P189" s="26" t="str">
        <f t="shared" ca="1" si="14"/>
        <v>35 tahun</v>
      </c>
      <c r="Q189" s="5" t="s">
        <v>46</v>
      </c>
      <c r="R189" s="5"/>
      <c r="S189" s="25" t="s">
        <v>951</v>
      </c>
      <c r="T189" s="5" t="s">
        <v>952</v>
      </c>
      <c r="U189" s="5" t="s">
        <v>35</v>
      </c>
      <c r="V189" s="25" t="s">
        <v>953</v>
      </c>
      <c r="W189" s="25" t="s">
        <v>954</v>
      </c>
      <c r="X189" s="5"/>
      <c r="Y189" s="25"/>
      <c r="Z189" s="5"/>
      <c r="AA189" s="9" t="s">
        <v>41</v>
      </c>
      <c r="AB189" s="6"/>
    </row>
    <row r="190" spans="1:28">
      <c r="A190" s="5" t="str">
        <f>IF(AA190="aktif",MAX($A$1:A189)+1,"")</f>
        <v/>
      </c>
      <c r="B190" s="25"/>
      <c r="C190" s="15" t="s">
        <v>955</v>
      </c>
      <c r="D190" s="139" t="s">
        <v>937</v>
      </c>
      <c r="E190" s="18" t="s">
        <v>786</v>
      </c>
      <c r="F190" s="5" t="s">
        <v>787</v>
      </c>
      <c r="G190" s="5" t="s">
        <v>787</v>
      </c>
      <c r="H190" s="132"/>
      <c r="I190" s="5" t="s">
        <v>841</v>
      </c>
      <c r="J190" s="5" t="s">
        <v>71</v>
      </c>
      <c r="K190" s="5"/>
      <c r="L190" s="26" t="e">
        <f t="shared" ref="L190" ca="1" si="15">IF(J190="","",DATEDIF(J190,TODAY(),"Y") &amp;" tahun " &amp; DATEDIF(J190,TODAY(),"YM")&amp;" bulan")</f>
        <v>#VALUE!</v>
      </c>
      <c r="M190" s="5" t="s">
        <v>31</v>
      </c>
      <c r="N190" s="26">
        <v>35871</v>
      </c>
      <c r="O190" s="26" t="str">
        <f t="shared" ref="O190" ca="1" si="16">IF(N190="","",DATEDIF(N190,TODAY(),"Y")&amp;" tahun")</f>
        <v>28 tahun</v>
      </c>
      <c r="P190" s="5" t="s">
        <v>46</v>
      </c>
      <c r="Q190" s="35">
        <v>3744490</v>
      </c>
      <c r="R190" s="25" t="s">
        <v>956</v>
      </c>
      <c r="S190" s="5" t="s">
        <v>136</v>
      </c>
      <c r="T190" s="5" t="s">
        <v>35</v>
      </c>
      <c r="U190" s="25" t="s">
        <v>957</v>
      </c>
      <c r="V190" s="25"/>
      <c r="W190" s="5"/>
      <c r="X190" s="25"/>
      <c r="Y190" s="5"/>
      <c r="Z190" s="9" t="s">
        <v>41</v>
      </c>
      <c r="AA190" s="6"/>
    </row>
    <row r="191" spans="1:28">
      <c r="A191" s="5">
        <f>IF(AA191="aktif",MAX($A$1:A189)+1,"")</f>
        <v>156</v>
      </c>
      <c r="B191" s="25"/>
      <c r="C191" s="15" t="s">
        <v>958</v>
      </c>
      <c r="D191" s="140" t="s">
        <v>115</v>
      </c>
      <c r="E191" s="18" t="s">
        <v>786</v>
      </c>
      <c r="F191" s="5" t="s">
        <v>2229</v>
      </c>
      <c r="G191" s="5" t="s">
        <v>787</v>
      </c>
      <c r="H191" s="16" t="s">
        <v>959</v>
      </c>
      <c r="I191" s="18" t="s">
        <v>833</v>
      </c>
      <c r="J191" s="5" t="s">
        <v>129</v>
      </c>
      <c r="K191" s="5"/>
      <c r="L191" s="26">
        <v>41061</v>
      </c>
      <c r="M191" s="26" t="str">
        <f t="shared" ca="1" si="13"/>
        <v>14 tahun 2 bulan</v>
      </c>
      <c r="N191" s="5" t="s">
        <v>31</v>
      </c>
      <c r="O191" s="26">
        <v>34140</v>
      </c>
      <c r="P191" s="26" t="str">
        <f t="shared" ca="1" si="14"/>
        <v>33 tahun</v>
      </c>
      <c r="Q191" s="5" t="s">
        <v>46</v>
      </c>
      <c r="R191" s="35">
        <v>4074950</v>
      </c>
      <c r="S191" s="25" t="s">
        <v>960</v>
      </c>
      <c r="T191" s="5" t="s">
        <v>263</v>
      </c>
      <c r="U191" s="5" t="s">
        <v>35</v>
      </c>
      <c r="V191" s="25" t="s">
        <v>961</v>
      </c>
      <c r="W191" s="25" t="s">
        <v>962</v>
      </c>
      <c r="X191" s="5"/>
      <c r="Y191" s="25"/>
      <c r="Z191" s="5"/>
      <c r="AA191" s="9" t="s">
        <v>41</v>
      </c>
      <c r="AB191" s="6"/>
    </row>
    <row r="192" spans="1:28">
      <c r="A192" s="5">
        <f>IF(AA192="aktif",MAX($A$1:A191)+1,"")</f>
        <v>157</v>
      </c>
      <c r="B192" s="25"/>
      <c r="C192" s="15" t="s">
        <v>968</v>
      </c>
      <c r="D192" s="140" t="s">
        <v>115</v>
      </c>
      <c r="E192" s="18" t="s">
        <v>786</v>
      </c>
      <c r="F192" s="5" t="s">
        <v>2229</v>
      </c>
      <c r="G192" s="5" t="s">
        <v>787</v>
      </c>
      <c r="H192" s="16" t="s">
        <v>959</v>
      </c>
      <c r="I192" s="18" t="s">
        <v>855</v>
      </c>
      <c r="J192" s="5" t="s">
        <v>129</v>
      </c>
      <c r="K192" s="5"/>
      <c r="L192" s="26">
        <v>45231</v>
      </c>
      <c r="M192" s="26" t="str">
        <f t="shared" ca="1" si="13"/>
        <v>2 tahun 9 bulan</v>
      </c>
      <c r="N192" s="5" t="s">
        <v>31</v>
      </c>
      <c r="O192" s="26">
        <v>38005</v>
      </c>
      <c r="P192" s="26" t="str">
        <f t="shared" ca="1" si="14"/>
        <v>22 tahun</v>
      </c>
      <c r="Q192" s="5" t="s">
        <v>46</v>
      </c>
      <c r="R192" s="35">
        <v>4048595</v>
      </c>
      <c r="S192" s="25" t="s">
        <v>969</v>
      </c>
      <c r="T192" s="5" t="s">
        <v>445</v>
      </c>
      <c r="U192" s="5" t="s">
        <v>35</v>
      </c>
      <c r="V192" s="25" t="s">
        <v>970</v>
      </c>
      <c r="W192" s="25" t="s">
        <v>971</v>
      </c>
      <c r="X192" s="5"/>
      <c r="Y192" s="25"/>
      <c r="Z192" s="5"/>
      <c r="AA192" s="9" t="s">
        <v>41</v>
      </c>
      <c r="AB192" s="6"/>
    </row>
    <row r="193" spans="1:33">
      <c r="A193" s="5">
        <f>IF(AA193="aktif",MAX($A$1:A192)+1,"")</f>
        <v>158</v>
      </c>
      <c r="B193" s="25"/>
      <c r="C193" s="15" t="s">
        <v>972</v>
      </c>
      <c r="D193" s="140" t="s">
        <v>115</v>
      </c>
      <c r="E193" s="18" t="s">
        <v>786</v>
      </c>
      <c r="F193" s="5" t="s">
        <v>2229</v>
      </c>
      <c r="G193" s="5" t="s">
        <v>787</v>
      </c>
      <c r="H193" s="16" t="s">
        <v>959</v>
      </c>
      <c r="I193" s="18" t="s">
        <v>841</v>
      </c>
      <c r="J193" s="5" t="s">
        <v>129</v>
      </c>
      <c r="K193" s="5"/>
      <c r="L193" s="26">
        <v>42522</v>
      </c>
      <c r="M193" s="26" t="str">
        <f t="shared" ca="1" si="13"/>
        <v>10 tahun 2 bulan</v>
      </c>
      <c r="N193" s="5" t="s">
        <v>31</v>
      </c>
      <c r="O193" s="26">
        <v>32180</v>
      </c>
      <c r="P193" s="26" t="str">
        <f t="shared" ca="1" si="14"/>
        <v>38 tahun</v>
      </c>
      <c r="Q193" s="5" t="s">
        <v>46</v>
      </c>
      <c r="R193" s="35">
        <v>3912910</v>
      </c>
      <c r="S193" s="25" t="s">
        <v>973</v>
      </c>
      <c r="T193" s="5" t="s">
        <v>974</v>
      </c>
      <c r="U193" s="5" t="s">
        <v>35</v>
      </c>
      <c r="V193" s="25" t="s">
        <v>975</v>
      </c>
      <c r="W193" s="25" t="s">
        <v>976</v>
      </c>
      <c r="X193" s="5">
        <v>405742206602000</v>
      </c>
      <c r="Y193" s="25"/>
      <c r="Z193" s="5">
        <v>20018219715</v>
      </c>
      <c r="AA193" s="9" t="s">
        <v>41</v>
      </c>
      <c r="AB193" s="6"/>
    </row>
    <row r="194" spans="1:33">
      <c r="A194" s="5">
        <f>IF(AA194="aktif",MAX($A$1:A193)+1,"")</f>
        <v>159</v>
      </c>
      <c r="B194" s="25"/>
      <c r="C194" s="15" t="s">
        <v>994</v>
      </c>
      <c r="D194" s="140" t="s">
        <v>115</v>
      </c>
      <c r="E194" s="18" t="s">
        <v>786</v>
      </c>
      <c r="F194" s="5" t="s">
        <v>2229</v>
      </c>
      <c r="G194" s="5" t="s">
        <v>787</v>
      </c>
      <c r="H194" s="16" t="s">
        <v>959</v>
      </c>
      <c r="I194" s="18" t="s">
        <v>833</v>
      </c>
      <c r="J194" s="5" t="s">
        <v>129</v>
      </c>
      <c r="K194" s="5"/>
      <c r="L194" s="26">
        <v>44470</v>
      </c>
      <c r="M194" s="26" t="str">
        <f t="shared" ca="1" si="13"/>
        <v>4 tahun 10 bulan</v>
      </c>
      <c r="N194" s="5" t="s">
        <v>31</v>
      </c>
      <c r="O194" s="26">
        <v>36619</v>
      </c>
      <c r="P194" s="26" t="str">
        <f t="shared" ca="1" si="14"/>
        <v>26 tahun</v>
      </c>
      <c r="Q194" s="5" t="s">
        <v>32</v>
      </c>
      <c r="R194" s="35">
        <v>3718000</v>
      </c>
      <c r="S194" s="25" t="s">
        <v>995</v>
      </c>
      <c r="T194" s="5" t="s">
        <v>996</v>
      </c>
      <c r="U194" s="5" t="s">
        <v>165</v>
      </c>
      <c r="V194" s="25" t="s">
        <v>997</v>
      </c>
      <c r="W194" s="25" t="s">
        <v>998</v>
      </c>
      <c r="X194" s="5"/>
      <c r="Y194" s="25"/>
      <c r="Z194" s="5"/>
      <c r="AA194" s="9" t="s">
        <v>41</v>
      </c>
      <c r="AB194" s="6"/>
    </row>
    <row r="195" spans="1:33">
      <c r="A195" s="5">
        <f>IF(AA195="aktif",MAX($A$1:A194)+1,"")</f>
        <v>160</v>
      </c>
      <c r="B195" s="25"/>
      <c r="C195" s="15" t="s">
        <v>977</v>
      </c>
      <c r="D195" s="140" t="s">
        <v>115</v>
      </c>
      <c r="E195" s="18" t="s">
        <v>786</v>
      </c>
      <c r="F195" s="5" t="s">
        <v>2229</v>
      </c>
      <c r="G195" s="5" t="s">
        <v>787</v>
      </c>
      <c r="H195" s="16" t="s">
        <v>959</v>
      </c>
      <c r="I195" s="18" t="s">
        <v>841</v>
      </c>
      <c r="J195" s="5" t="s">
        <v>129</v>
      </c>
      <c r="K195" s="5"/>
      <c r="L195" s="26">
        <v>45231</v>
      </c>
      <c r="M195" s="26" t="str">
        <f t="shared" ca="1" si="13"/>
        <v>2 tahun 9 bulan</v>
      </c>
      <c r="N195" s="5" t="s">
        <v>31</v>
      </c>
      <c r="O195" s="26">
        <v>34523</v>
      </c>
      <c r="P195" s="26" t="str">
        <f t="shared" ca="1" si="14"/>
        <v>32 tahun</v>
      </c>
      <c r="Q195" s="5" t="s">
        <v>32</v>
      </c>
      <c r="R195" s="35"/>
      <c r="S195" s="25" t="s">
        <v>978</v>
      </c>
      <c r="T195" s="5" t="s">
        <v>979</v>
      </c>
      <c r="U195" s="5" t="s">
        <v>165</v>
      </c>
      <c r="V195" s="25" t="s">
        <v>980</v>
      </c>
      <c r="W195" s="25" t="s">
        <v>981</v>
      </c>
      <c r="X195" s="5"/>
      <c r="Y195" s="25"/>
      <c r="Z195" s="5"/>
      <c r="AA195" s="9" t="s">
        <v>41</v>
      </c>
      <c r="AB195" s="6"/>
    </row>
    <row r="196" spans="1:33">
      <c r="A196" s="5" t="str">
        <f>IF(AA196="aktif",MAX($A$1:A195)+1,"")</f>
        <v/>
      </c>
      <c r="B196" s="25"/>
      <c r="C196" s="147" t="s">
        <v>982</v>
      </c>
      <c r="D196" s="140" t="s">
        <v>115</v>
      </c>
      <c r="E196" s="18" t="s">
        <v>786</v>
      </c>
      <c r="F196" s="5" t="s">
        <v>787</v>
      </c>
      <c r="G196" s="5" t="s">
        <v>787</v>
      </c>
      <c r="H196" s="132" t="s">
        <v>959</v>
      </c>
      <c r="I196" s="5" t="s">
        <v>855</v>
      </c>
      <c r="J196" s="5" t="s">
        <v>129</v>
      </c>
      <c r="K196" s="5"/>
      <c r="L196" s="26">
        <v>43257</v>
      </c>
      <c r="M196" s="5" t="s">
        <v>31</v>
      </c>
      <c r="N196" s="26">
        <v>33393</v>
      </c>
      <c r="O196" s="26" t="str">
        <f t="shared" ref="O196" ca="1" si="17">IF(N196="","",DATEDIF(N196,TODAY(),"Y")&amp;" tahun")</f>
        <v>35 tahun</v>
      </c>
      <c r="P196" s="5" t="s">
        <v>46</v>
      </c>
      <c r="Q196" s="35"/>
      <c r="R196" s="25" t="s">
        <v>983</v>
      </c>
      <c r="S196" s="5" t="s">
        <v>984</v>
      </c>
      <c r="T196" s="5" t="s">
        <v>35</v>
      </c>
      <c r="U196" s="25" t="s">
        <v>985</v>
      </c>
      <c r="V196" s="25"/>
      <c r="W196" s="5"/>
      <c r="X196" s="25"/>
      <c r="Y196" s="5"/>
      <c r="Z196" s="9" t="s">
        <v>41</v>
      </c>
      <c r="AA196" s="6"/>
    </row>
    <row r="197" spans="1:33">
      <c r="A197" s="5">
        <f>IF(AA197="aktif",MAX($A$1:A195)+1,"")</f>
        <v>161</v>
      </c>
      <c r="B197" s="25"/>
      <c r="C197" s="15" t="s">
        <v>986</v>
      </c>
      <c r="D197" s="139" t="s">
        <v>63</v>
      </c>
      <c r="E197" s="18" t="s">
        <v>786</v>
      </c>
      <c r="F197" s="5" t="s">
        <v>2229</v>
      </c>
      <c r="G197" s="5" t="s">
        <v>787</v>
      </c>
      <c r="H197" s="16"/>
      <c r="I197" s="18"/>
      <c r="J197" s="5" t="s">
        <v>71</v>
      </c>
      <c r="K197" s="5"/>
      <c r="L197" s="26">
        <v>43983</v>
      </c>
      <c r="M197" s="26" t="str">
        <f t="shared" ca="1" si="13"/>
        <v>6 tahun 2 bulan</v>
      </c>
      <c r="N197" s="5" t="s">
        <v>31</v>
      </c>
      <c r="O197" s="26">
        <v>34235</v>
      </c>
      <c r="P197" s="26" t="str">
        <f t="shared" ca="1" si="14"/>
        <v>32 tahun</v>
      </c>
      <c r="Q197" s="5" t="s">
        <v>299</v>
      </c>
      <c r="R197" s="28">
        <v>4272000</v>
      </c>
      <c r="S197" s="25" t="s">
        <v>988</v>
      </c>
      <c r="T197" s="5" t="s">
        <v>989</v>
      </c>
      <c r="U197" s="5" t="s">
        <v>35</v>
      </c>
      <c r="V197" s="25" t="s">
        <v>990</v>
      </c>
      <c r="W197" s="25"/>
      <c r="X197" s="5"/>
      <c r="Y197" s="25"/>
      <c r="Z197" s="5"/>
      <c r="AA197" s="9" t="s">
        <v>41</v>
      </c>
      <c r="AB197" s="6"/>
    </row>
    <row r="198" spans="1:33">
      <c r="A198" s="5">
        <f>IF(AA198="aktif",MAX($A$1:A197)+1,"")</f>
        <v>162</v>
      </c>
      <c r="B198" s="25"/>
      <c r="C198" s="15" t="s">
        <v>999</v>
      </c>
      <c r="D198" s="139" t="s">
        <v>54</v>
      </c>
      <c r="E198" s="18" t="s">
        <v>786</v>
      </c>
      <c r="F198" s="5" t="s">
        <v>2229</v>
      </c>
      <c r="G198" s="5" t="s">
        <v>787</v>
      </c>
      <c r="H198" s="16"/>
      <c r="I198" s="18"/>
      <c r="J198" s="5" t="s">
        <v>45</v>
      </c>
      <c r="K198" s="5"/>
      <c r="L198" s="26">
        <v>45754</v>
      </c>
      <c r="M198" s="26" t="str">
        <f t="shared" ref="M198" ca="1" si="18">DATEDIF(L198,TODAY(),"Y") &amp;" tahun " &amp; DATEDIF(L198,TODAY(),"YM")&amp;" bulan"</f>
        <v>1 tahun 4 bulan</v>
      </c>
      <c r="N198" s="5" t="s">
        <v>31</v>
      </c>
      <c r="O198" s="26"/>
      <c r="P198" s="26" t="str">
        <f t="shared" ca="1" si="14"/>
        <v/>
      </c>
      <c r="Q198" s="5" t="s">
        <v>72</v>
      </c>
      <c r="R198" s="9"/>
      <c r="S198" s="27"/>
      <c r="U198" s="5" t="s">
        <v>81</v>
      </c>
      <c r="V198" s="27"/>
      <c r="W198" s="27"/>
      <c r="X198" s="9"/>
      <c r="Y198" s="27"/>
      <c r="Z198" s="9"/>
      <c r="AA198" s="9" t="s">
        <v>41</v>
      </c>
      <c r="AB198" s="6" t="s">
        <v>1000</v>
      </c>
    </row>
    <row r="199" spans="1:33">
      <c r="A199" s="5">
        <f>IF(AA199="aktif",MAX($A$1:A198)+1,"")</f>
        <v>163</v>
      </c>
      <c r="B199" s="25"/>
      <c r="C199" s="15" t="s">
        <v>1001</v>
      </c>
      <c r="D199" s="139" t="s">
        <v>391</v>
      </c>
      <c r="E199" s="18" t="s">
        <v>786</v>
      </c>
      <c r="F199" s="5" t="s">
        <v>2229</v>
      </c>
      <c r="G199" s="5" t="s">
        <v>2229</v>
      </c>
      <c r="H199" s="16" t="s">
        <v>639</v>
      </c>
      <c r="I199" s="18"/>
      <c r="J199" s="5" t="s">
        <v>45</v>
      </c>
      <c r="K199" s="5"/>
      <c r="L199" s="26"/>
      <c r="M199" s="26"/>
      <c r="N199" s="5" t="s">
        <v>31</v>
      </c>
      <c r="O199" s="26"/>
      <c r="P199" s="26"/>
      <c r="Q199" s="5" t="s">
        <v>72</v>
      </c>
      <c r="R199" s="9"/>
      <c r="S199" s="27"/>
      <c r="V199" s="27"/>
      <c r="W199" s="27"/>
      <c r="X199" s="9"/>
      <c r="Y199" s="27"/>
      <c r="Z199" s="9"/>
      <c r="AA199" s="9" t="s">
        <v>41</v>
      </c>
      <c r="AB199" s="6"/>
    </row>
    <row r="200" spans="1:33">
      <c r="A200" s="5">
        <f>IF(AA200="aktif",MAX($A$1:A199)+1,"")</f>
        <v>164</v>
      </c>
      <c r="B200" s="25" t="s">
        <v>1003</v>
      </c>
      <c r="C200" s="15" t="s">
        <v>1004</v>
      </c>
      <c r="D200" s="139" t="s">
        <v>814</v>
      </c>
      <c r="E200" s="18" t="s">
        <v>786</v>
      </c>
      <c r="F200" s="5" t="s">
        <v>2229</v>
      </c>
      <c r="G200" s="5" t="s">
        <v>2229</v>
      </c>
      <c r="H200" s="16" t="s">
        <v>639</v>
      </c>
      <c r="I200" s="18"/>
      <c r="J200" s="5" t="s">
        <v>45</v>
      </c>
      <c r="K200" s="5"/>
      <c r="L200" s="26">
        <v>41791</v>
      </c>
      <c r="M200" s="26" t="str">
        <f ca="1">IF(L200="","",DATEDIF(L200,TODAY(),"Y") &amp;" tahun " &amp; DATEDIF(L200,TODAY(),"YM")&amp;" bulan")</f>
        <v>12 tahun 2 bulan</v>
      </c>
      <c r="N200" s="5" t="s">
        <v>31</v>
      </c>
      <c r="O200" s="26">
        <v>33034</v>
      </c>
      <c r="P200" s="26" t="str">
        <f t="shared" ref="P200:P249" ca="1" si="19">IF(O200="","",DATEDIF(O200,TODAY(),"Y")&amp;" tahun")</f>
        <v>36 tahun</v>
      </c>
      <c r="Q200" s="5" t="s">
        <v>32</v>
      </c>
      <c r="R200" s="35">
        <v>4856026</v>
      </c>
      <c r="S200" s="25" t="s">
        <v>1005</v>
      </c>
      <c r="T200" s="5" t="s">
        <v>1006</v>
      </c>
      <c r="U200" s="5" t="s">
        <v>35</v>
      </c>
      <c r="V200" s="25" t="s">
        <v>357</v>
      </c>
      <c r="W200" s="25" t="s">
        <v>1007</v>
      </c>
      <c r="X200" s="5"/>
      <c r="Y200" s="25"/>
      <c r="Z200" s="5">
        <v>15047449622</v>
      </c>
      <c r="AA200" s="9" t="s">
        <v>41</v>
      </c>
      <c r="AB200" s="6"/>
    </row>
    <row r="201" spans="1:33">
      <c r="A201" s="5">
        <f>IF(AA201="aktif",MAX($A$1:A200)+1,"")</f>
        <v>165</v>
      </c>
      <c r="B201" s="25"/>
      <c r="C201" s="15" t="s">
        <v>1008</v>
      </c>
      <c r="D201" s="139" t="s">
        <v>814</v>
      </c>
      <c r="E201" s="18" t="s">
        <v>786</v>
      </c>
      <c r="F201" s="5" t="s">
        <v>2229</v>
      </c>
      <c r="G201" s="5" t="s">
        <v>2229</v>
      </c>
      <c r="H201" s="22" t="s">
        <v>639</v>
      </c>
      <c r="I201" s="18"/>
      <c r="J201" s="5" t="s">
        <v>45</v>
      </c>
      <c r="K201" s="5"/>
      <c r="L201" s="26">
        <v>45628</v>
      </c>
      <c r="M201" s="26" t="str">
        <f ca="1">IF(L201="","",DATEDIF(L201,TODAY(),"Y") &amp;" tahun " &amp; DATEDIF(L201,TODAY(),"YM")&amp;" bulan")</f>
        <v>1 tahun 8 bulan</v>
      </c>
      <c r="N201" s="5" t="s">
        <v>31</v>
      </c>
      <c r="O201" s="26">
        <v>35620</v>
      </c>
      <c r="P201" s="26" t="str">
        <f t="shared" ca="1" si="19"/>
        <v>29 tahun</v>
      </c>
      <c r="Q201" s="5" t="s">
        <v>72</v>
      </c>
      <c r="R201" s="35"/>
      <c r="S201" s="25"/>
      <c r="U201" s="5" t="s">
        <v>81</v>
      </c>
      <c r="V201" s="25"/>
      <c r="W201" s="25"/>
      <c r="X201" s="5"/>
      <c r="Y201" s="25"/>
      <c r="Z201" s="5"/>
      <c r="AA201" s="9" t="s">
        <v>41</v>
      </c>
      <c r="AB201" s="6"/>
      <c r="AC201" s="43"/>
      <c r="AD201" s="43"/>
    </row>
    <row r="202" spans="1:33">
      <c r="A202" s="5">
        <f>IF(AA202="aktif",MAX($A$1:A201)+1,"")</f>
        <v>166</v>
      </c>
      <c r="B202" s="25"/>
      <c r="C202" s="15" t="s">
        <v>1009</v>
      </c>
      <c r="D202" s="139" t="s">
        <v>814</v>
      </c>
      <c r="E202" s="12" t="s">
        <v>786</v>
      </c>
      <c r="F202" s="5" t="s">
        <v>2229</v>
      </c>
      <c r="G202" s="5" t="s">
        <v>2229</v>
      </c>
      <c r="H202" s="22" t="s">
        <v>639</v>
      </c>
      <c r="I202" s="12"/>
      <c r="J202" s="5" t="s">
        <v>45</v>
      </c>
      <c r="K202" s="5"/>
      <c r="L202" s="26"/>
      <c r="M202" s="26" t="str">
        <f ca="1">IF(L202="","",DATEDIF(L202,TODAY(),"Y") &amp;" tahun " &amp; DATEDIF(L202,TODAY(),"YM")&amp;" bulan")</f>
        <v/>
      </c>
      <c r="N202" s="5" t="s">
        <v>31</v>
      </c>
      <c r="O202" s="26"/>
      <c r="P202" s="26" t="str">
        <f t="shared" ca="1" si="19"/>
        <v/>
      </c>
      <c r="Q202" s="5" t="s">
        <v>46</v>
      </c>
      <c r="R202" s="35"/>
      <c r="S202" s="6"/>
      <c r="V202" s="6"/>
      <c r="W202" s="6"/>
      <c r="X202" s="6"/>
      <c r="Y202" s="6"/>
      <c r="Z202" s="6"/>
      <c r="AA202" s="9" t="s">
        <v>41</v>
      </c>
      <c r="AB202" s="6"/>
    </row>
    <row r="203" spans="1:33">
      <c r="A203" s="5">
        <f>IF(AA203="aktif",MAX($A$1:A202)+1,"")</f>
        <v>167</v>
      </c>
      <c r="B203" s="25"/>
      <c r="C203" s="15" t="s">
        <v>1010</v>
      </c>
      <c r="D203" s="139" t="s">
        <v>814</v>
      </c>
      <c r="E203" s="18" t="s">
        <v>786</v>
      </c>
      <c r="F203" s="5" t="s">
        <v>2229</v>
      </c>
      <c r="G203" s="5" t="s">
        <v>2229</v>
      </c>
      <c r="H203" s="22" t="s">
        <v>639</v>
      </c>
      <c r="I203" s="18"/>
      <c r="J203" s="5" t="s">
        <v>45</v>
      </c>
      <c r="K203" s="5"/>
      <c r="L203" s="26">
        <v>45659</v>
      </c>
      <c r="M203" s="26" t="str">
        <f ca="1">DATEDIF(L203,TODAY(),"Y") &amp;" tahun " &amp; DATEDIF(L203,TODAY(),"YM")&amp;" bulan"</f>
        <v>1 tahun 7 bulan</v>
      </c>
      <c r="N203" s="5" t="s">
        <v>31</v>
      </c>
      <c r="O203" s="26"/>
      <c r="P203" s="26" t="str">
        <f t="shared" ca="1" si="19"/>
        <v/>
      </c>
      <c r="Q203" s="5" t="s">
        <v>72</v>
      </c>
      <c r="R203" s="9"/>
      <c r="S203" s="27"/>
      <c r="U203" s="5" t="s">
        <v>302</v>
      </c>
      <c r="V203" s="27"/>
      <c r="W203" s="27"/>
      <c r="X203" s="9"/>
      <c r="Y203" s="27"/>
      <c r="Z203" s="9"/>
      <c r="AA203" s="9" t="s">
        <v>41</v>
      </c>
      <c r="AB203" s="6"/>
    </row>
    <row r="204" spans="1:33" s="108" customFormat="1">
      <c r="A204" s="19" t="str">
        <f>IF(AA204="aktif",MAX($A$1:A203)+1,"")</f>
        <v/>
      </c>
      <c r="B204" s="103"/>
      <c r="C204" s="147" t="s">
        <v>1011</v>
      </c>
      <c r="D204" s="139" t="s">
        <v>814</v>
      </c>
      <c r="E204" s="151" t="s">
        <v>786</v>
      </c>
      <c r="F204" s="5" t="s">
        <v>2229</v>
      </c>
      <c r="G204" s="19" t="s">
        <v>2229</v>
      </c>
      <c r="H204" s="135" t="s">
        <v>639</v>
      </c>
      <c r="I204" s="19"/>
      <c r="J204" s="104" t="s">
        <v>30</v>
      </c>
      <c r="K204" s="104"/>
      <c r="L204" s="104" t="e">
        <f t="shared" ref="L204:L205" ca="1" si="20">IF(J204="","",DATEDIF(J204,TODAY(),"Y") &amp;" tahun " &amp; DATEDIF(J204,TODAY(),"YM")&amp;" bulan")</f>
        <v>#VALUE!</v>
      </c>
      <c r="M204" s="19" t="s">
        <v>31</v>
      </c>
      <c r="N204" s="104">
        <v>27645</v>
      </c>
      <c r="O204" s="104" t="str">
        <f t="shared" ref="O204:O205" ca="1" si="21">IF(N204="","",DATEDIF(N204,TODAY(),"Y")&amp;" tahun")</f>
        <v>50 tahun</v>
      </c>
      <c r="P204" s="19" t="s">
        <v>46</v>
      </c>
      <c r="Q204" s="105"/>
      <c r="R204" s="103" t="s">
        <v>1012</v>
      </c>
      <c r="S204" s="19" t="s">
        <v>1013</v>
      </c>
      <c r="T204" s="19" t="s">
        <v>35</v>
      </c>
      <c r="U204" s="103" t="s">
        <v>1014</v>
      </c>
      <c r="V204" s="103"/>
      <c r="W204" s="19"/>
      <c r="X204" s="103"/>
      <c r="Y204" s="19"/>
      <c r="Z204" s="106" t="s">
        <v>41</v>
      </c>
      <c r="AA204" s="107"/>
    </row>
    <row r="205" spans="1:33" s="108" customFormat="1">
      <c r="A205" s="5" t="str">
        <f>IF(AA205="aktif",MAX($A$1:A204)+1,"")</f>
        <v/>
      </c>
      <c r="B205" s="25" t="s">
        <v>1015</v>
      </c>
      <c r="C205" s="15" t="s">
        <v>1016</v>
      </c>
      <c r="D205" s="139" t="s">
        <v>814</v>
      </c>
      <c r="E205" s="18" t="s">
        <v>786</v>
      </c>
      <c r="F205" s="5" t="s">
        <v>2229</v>
      </c>
      <c r="G205" s="19" t="s">
        <v>2229</v>
      </c>
      <c r="H205" s="130" t="s">
        <v>639</v>
      </c>
      <c r="I205" s="5"/>
      <c r="J205" s="5" t="s">
        <v>45</v>
      </c>
      <c r="K205" s="5"/>
      <c r="L205" s="26" t="e">
        <f t="shared" ca="1" si="20"/>
        <v>#VALUE!</v>
      </c>
      <c r="M205" s="5" t="s">
        <v>31</v>
      </c>
      <c r="N205" s="26">
        <v>29256</v>
      </c>
      <c r="O205" s="26" t="str">
        <f t="shared" ca="1" si="21"/>
        <v>46 tahun</v>
      </c>
      <c r="P205" s="5" t="s">
        <v>32</v>
      </c>
      <c r="Q205" s="35">
        <v>4856026</v>
      </c>
      <c r="R205" s="25" t="s">
        <v>1017</v>
      </c>
      <c r="S205" s="5" t="s">
        <v>322</v>
      </c>
      <c r="T205" s="5" t="s">
        <v>35</v>
      </c>
      <c r="U205" s="25" t="s">
        <v>1018</v>
      </c>
      <c r="V205" s="25" t="s">
        <v>1019</v>
      </c>
      <c r="W205" s="5"/>
      <c r="X205" s="25"/>
      <c r="Y205" s="5"/>
      <c r="Z205" s="9" t="s">
        <v>41</v>
      </c>
      <c r="AA205" s="6"/>
      <c r="AB205" s="8"/>
      <c r="AC205" s="8"/>
      <c r="AD205" s="8"/>
      <c r="AE205" s="8"/>
      <c r="AF205" s="8"/>
      <c r="AG205" s="8"/>
    </row>
    <row r="206" spans="1:33">
      <c r="A206" s="5">
        <f>IF(AA206="aktif",MAX($A$1:A203)+1,"")</f>
        <v>168</v>
      </c>
      <c r="B206" s="25"/>
      <c r="C206" s="15" t="s">
        <v>1020</v>
      </c>
      <c r="D206" s="139" t="s">
        <v>54</v>
      </c>
      <c r="E206" s="18" t="s">
        <v>786</v>
      </c>
      <c r="F206" s="5" t="s">
        <v>2229</v>
      </c>
      <c r="G206" s="5" t="s">
        <v>2229</v>
      </c>
      <c r="H206" s="22"/>
      <c r="I206" s="18"/>
      <c r="J206" s="5" t="s">
        <v>45</v>
      </c>
      <c r="K206" s="5"/>
      <c r="L206" s="26">
        <v>45866</v>
      </c>
      <c r="M206" s="26" t="str">
        <f ca="1">DATEDIF(L206,TODAY(),"Y") &amp;" tahun " &amp; DATEDIF(L206,TODAY(),"YM")&amp;" bulan"</f>
        <v>1 tahun 0 bulan</v>
      </c>
      <c r="N206" s="5" t="s">
        <v>31</v>
      </c>
      <c r="O206" s="26">
        <v>36178</v>
      </c>
      <c r="P206" s="26" t="str">
        <f t="shared" ca="1" si="19"/>
        <v>27 tahun</v>
      </c>
      <c r="Q206" s="5" t="s">
        <v>72</v>
      </c>
      <c r="R206" s="9"/>
      <c r="S206" s="27" t="s">
        <v>1021</v>
      </c>
      <c r="T206" s="5" t="s">
        <v>1022</v>
      </c>
      <c r="U206" s="5" t="s">
        <v>81</v>
      </c>
      <c r="V206" s="27"/>
      <c r="W206" s="27"/>
      <c r="X206" s="9"/>
      <c r="Y206" s="27"/>
      <c r="Z206" s="9"/>
      <c r="AA206" s="9" t="s">
        <v>41</v>
      </c>
      <c r="AB206" s="6" t="s">
        <v>1023</v>
      </c>
    </row>
    <row r="207" spans="1:33">
      <c r="A207" s="5">
        <f>IF(AA207="aktif",MAX($A$1:A206)+1,"")</f>
        <v>169</v>
      </c>
      <c r="B207" s="25" t="s">
        <v>1024</v>
      </c>
      <c r="C207" s="15" t="s">
        <v>1025</v>
      </c>
      <c r="D207" s="139" t="s">
        <v>78</v>
      </c>
      <c r="E207" s="18" t="s">
        <v>786</v>
      </c>
      <c r="F207" s="5" t="s">
        <v>2229</v>
      </c>
      <c r="G207" s="5" t="s">
        <v>2229</v>
      </c>
      <c r="H207" s="16" t="s">
        <v>1026</v>
      </c>
      <c r="J207" s="5" t="s">
        <v>45</v>
      </c>
      <c r="K207" s="5"/>
      <c r="L207" s="26">
        <v>38869</v>
      </c>
      <c r="M207" s="26" t="str">
        <f t="shared" ref="M207:M249" ca="1" si="22">IF(L207="","",DATEDIF(L207,TODAY(),"Y") &amp;" tahun " &amp; DATEDIF(L207,TODAY(),"YM")&amp;" bulan")</f>
        <v>20 tahun 2 bulan</v>
      </c>
      <c r="N207" s="5" t="s">
        <v>31</v>
      </c>
      <c r="O207" s="26">
        <v>28987</v>
      </c>
      <c r="P207" s="26" t="str">
        <f t="shared" ca="1" si="19"/>
        <v>47 tahun</v>
      </c>
      <c r="Q207" s="5" t="s">
        <v>46</v>
      </c>
      <c r="R207" s="35">
        <v>4856026</v>
      </c>
      <c r="S207" s="25" t="s">
        <v>1027</v>
      </c>
      <c r="T207" s="5" t="s">
        <v>284</v>
      </c>
      <c r="U207" s="5" t="s">
        <v>35</v>
      </c>
      <c r="V207" s="25" t="s">
        <v>1028</v>
      </c>
      <c r="W207" s="25" t="s">
        <v>1029</v>
      </c>
      <c r="X207" s="5"/>
      <c r="Y207" s="25" t="s">
        <v>1030</v>
      </c>
      <c r="Z207" s="5"/>
      <c r="AA207" s="9" t="s">
        <v>41</v>
      </c>
      <c r="AB207" s="6"/>
    </row>
    <row r="208" spans="1:33">
      <c r="A208" s="5">
        <f>IF(AA208="aktif",MAX($A$1:A207)+1,"")</f>
        <v>170</v>
      </c>
      <c r="B208" s="25" t="s">
        <v>1031</v>
      </c>
      <c r="C208" s="15" t="s">
        <v>1032</v>
      </c>
      <c r="D208" s="139" t="s">
        <v>78</v>
      </c>
      <c r="E208" s="18" t="s">
        <v>786</v>
      </c>
      <c r="F208" s="5" t="s">
        <v>2229</v>
      </c>
      <c r="G208" s="5" t="s">
        <v>2229</v>
      </c>
      <c r="H208" s="16" t="s">
        <v>1033</v>
      </c>
      <c r="I208" s="18" t="s">
        <v>1034</v>
      </c>
      <c r="J208" s="5" t="s">
        <v>45</v>
      </c>
      <c r="K208" s="5"/>
      <c r="L208" s="26">
        <v>38869</v>
      </c>
      <c r="M208" s="26" t="str">
        <f t="shared" ca="1" si="22"/>
        <v>20 tahun 2 bulan</v>
      </c>
      <c r="N208" s="5" t="s">
        <v>31</v>
      </c>
      <c r="O208" s="26">
        <v>31705</v>
      </c>
      <c r="P208" s="26" t="str">
        <f t="shared" ca="1" si="19"/>
        <v>39 tahun</v>
      </c>
      <c r="Q208" s="5" t="s">
        <v>46</v>
      </c>
      <c r="R208" s="35">
        <v>4568759</v>
      </c>
      <c r="S208" s="25" t="s">
        <v>1035</v>
      </c>
      <c r="T208" s="5" t="s">
        <v>1036</v>
      </c>
      <c r="U208" s="5" t="s">
        <v>35</v>
      </c>
      <c r="V208" s="25" t="s">
        <v>1037</v>
      </c>
      <c r="W208" s="25" t="s">
        <v>1038</v>
      </c>
      <c r="X208" s="5"/>
      <c r="Y208" s="25" t="s">
        <v>1039</v>
      </c>
      <c r="Z208" s="5"/>
      <c r="AA208" s="9" t="s">
        <v>41</v>
      </c>
      <c r="AB208" s="6"/>
    </row>
    <row r="209" spans="1:28">
      <c r="A209" s="5">
        <f>IF(AA209="aktif",MAX($A$1:A208)+1,"")</f>
        <v>171</v>
      </c>
      <c r="B209" s="25" t="s">
        <v>1040</v>
      </c>
      <c r="C209" s="15" t="s">
        <v>1041</v>
      </c>
      <c r="D209" s="139" t="s">
        <v>78</v>
      </c>
      <c r="E209" s="18" t="s">
        <v>786</v>
      </c>
      <c r="F209" s="5" t="s">
        <v>2229</v>
      </c>
      <c r="G209" s="5" t="s">
        <v>2229</v>
      </c>
      <c r="H209" s="16" t="s">
        <v>1033</v>
      </c>
      <c r="I209" s="12" t="s">
        <v>1042</v>
      </c>
      <c r="J209" s="5" t="s">
        <v>45</v>
      </c>
      <c r="K209" s="5"/>
      <c r="L209" s="26">
        <v>37634</v>
      </c>
      <c r="M209" s="26" t="str">
        <f t="shared" ca="1" si="22"/>
        <v>23 tahun 6 bulan</v>
      </c>
      <c r="N209" s="5" t="s">
        <v>31</v>
      </c>
      <c r="O209" s="26">
        <v>29211</v>
      </c>
      <c r="P209" s="26" t="str">
        <f t="shared" ca="1" si="19"/>
        <v>46 tahun</v>
      </c>
      <c r="Q209" s="5" t="s">
        <v>46</v>
      </c>
      <c r="R209" s="35">
        <v>4856026</v>
      </c>
      <c r="S209" s="25" t="s">
        <v>1043</v>
      </c>
      <c r="T209" s="5" t="s">
        <v>1044</v>
      </c>
      <c r="U209" s="5" t="s">
        <v>35</v>
      </c>
      <c r="V209" s="25" t="s">
        <v>1045</v>
      </c>
      <c r="W209" s="25"/>
      <c r="X209" s="5"/>
      <c r="Y209" s="25" t="s">
        <v>1046</v>
      </c>
      <c r="Z209" s="5">
        <v>1895144635</v>
      </c>
      <c r="AA209" s="9" t="s">
        <v>41</v>
      </c>
      <c r="AB209" s="6"/>
    </row>
    <row r="210" spans="1:28">
      <c r="A210" s="5">
        <f>IF(AA210="aktif",MAX($A$1:A209)+1,"")</f>
        <v>172</v>
      </c>
      <c r="B210" s="25" t="s">
        <v>1047</v>
      </c>
      <c r="C210" s="15" t="s">
        <v>1048</v>
      </c>
      <c r="D210" s="139" t="s">
        <v>78</v>
      </c>
      <c r="E210" s="18" t="s">
        <v>786</v>
      </c>
      <c r="F210" s="5" t="s">
        <v>2229</v>
      </c>
      <c r="G210" s="5" t="s">
        <v>2229</v>
      </c>
      <c r="H210" s="16" t="s">
        <v>1033</v>
      </c>
      <c r="I210" s="12" t="s">
        <v>1049</v>
      </c>
      <c r="J210" s="5" t="s">
        <v>45</v>
      </c>
      <c r="K210" s="5"/>
      <c r="L210" s="26">
        <v>37408</v>
      </c>
      <c r="M210" s="26" t="str">
        <f t="shared" ca="1" si="22"/>
        <v>24 tahun 2 bulan</v>
      </c>
      <c r="N210" s="5" t="s">
        <v>31</v>
      </c>
      <c r="O210" s="26">
        <v>30106</v>
      </c>
      <c r="P210" s="26" t="str">
        <f t="shared" ca="1" si="19"/>
        <v>44 tahun</v>
      </c>
      <c r="Q210" s="5" t="s">
        <v>32</v>
      </c>
      <c r="R210" s="35">
        <v>4856026</v>
      </c>
      <c r="S210" s="25" t="s">
        <v>1050</v>
      </c>
      <c r="T210" s="5" t="s">
        <v>1051</v>
      </c>
      <c r="U210" s="5" t="s">
        <v>35</v>
      </c>
      <c r="V210" s="25" t="s">
        <v>1052</v>
      </c>
      <c r="W210" s="25" t="s">
        <v>66</v>
      </c>
      <c r="X210" s="5"/>
      <c r="Y210" s="25"/>
      <c r="Z210" s="5"/>
      <c r="AA210" s="9" t="s">
        <v>41</v>
      </c>
      <c r="AB210" s="6"/>
    </row>
    <row r="211" spans="1:28">
      <c r="A211" s="5">
        <f>IF(AA211="aktif",MAX($A$1:A210)+1,"")</f>
        <v>173</v>
      </c>
      <c r="B211" s="25" t="s">
        <v>1053</v>
      </c>
      <c r="C211" s="15" t="s">
        <v>1054</v>
      </c>
      <c r="D211" s="139" t="s">
        <v>78</v>
      </c>
      <c r="E211" s="18" t="s">
        <v>786</v>
      </c>
      <c r="F211" s="5" t="s">
        <v>2229</v>
      </c>
      <c r="G211" s="5" t="s">
        <v>2229</v>
      </c>
      <c r="H211" s="16" t="s">
        <v>1055</v>
      </c>
      <c r="I211" s="12" t="s">
        <v>1034</v>
      </c>
      <c r="J211" s="5" t="s">
        <v>45</v>
      </c>
      <c r="K211" s="5"/>
      <c r="L211" s="26">
        <v>38869</v>
      </c>
      <c r="M211" s="26" t="str">
        <f t="shared" ca="1" si="22"/>
        <v>20 tahun 2 bulan</v>
      </c>
      <c r="N211" s="5" t="s">
        <v>31</v>
      </c>
      <c r="O211" s="26">
        <v>31572</v>
      </c>
      <c r="P211" s="26" t="str">
        <f t="shared" ca="1" si="19"/>
        <v>40 tahun</v>
      </c>
      <c r="Q211" s="5" t="s">
        <v>46</v>
      </c>
      <c r="R211" s="35">
        <v>4856026</v>
      </c>
      <c r="S211" s="25" t="s">
        <v>1056</v>
      </c>
      <c r="T211" s="5" t="s">
        <v>439</v>
      </c>
      <c r="U211" s="5" t="s">
        <v>35</v>
      </c>
      <c r="V211" s="25" t="s">
        <v>1057</v>
      </c>
      <c r="W211" s="25" t="s">
        <v>1058</v>
      </c>
      <c r="X211" s="5"/>
      <c r="Y211" s="25"/>
      <c r="Z211" s="5"/>
      <c r="AA211" s="9" t="s">
        <v>41</v>
      </c>
      <c r="AB211" s="6"/>
    </row>
    <row r="212" spans="1:28">
      <c r="A212" s="5">
        <f>IF(AA212="aktif",MAX($A$1:A211)+1,"")</f>
        <v>174</v>
      </c>
      <c r="B212" s="25" t="s">
        <v>1059</v>
      </c>
      <c r="C212" s="15" t="s">
        <v>1060</v>
      </c>
      <c r="D212" s="139" t="s">
        <v>78</v>
      </c>
      <c r="E212" s="18" t="s">
        <v>786</v>
      </c>
      <c r="F212" s="5" t="s">
        <v>2229</v>
      </c>
      <c r="G212" s="5" t="s">
        <v>2229</v>
      </c>
      <c r="H212" s="16" t="s">
        <v>1061</v>
      </c>
      <c r="I212" s="12" t="s">
        <v>1042</v>
      </c>
      <c r="J212" s="5" t="s">
        <v>45</v>
      </c>
      <c r="K212" s="5"/>
      <c r="L212" s="26">
        <v>38371</v>
      </c>
      <c r="M212" s="26" t="str">
        <f t="shared" ca="1" si="22"/>
        <v>21 tahun 6 bulan</v>
      </c>
      <c r="N212" s="5" t="s">
        <v>31</v>
      </c>
      <c r="O212" s="26">
        <v>29474</v>
      </c>
      <c r="P212" s="26" t="str">
        <f t="shared" ca="1" si="19"/>
        <v>45 tahun</v>
      </c>
      <c r="Q212" s="5" t="s">
        <v>46</v>
      </c>
      <c r="R212" s="35">
        <v>4856026</v>
      </c>
      <c r="S212" s="25" t="s">
        <v>1062</v>
      </c>
      <c r="T212" s="5" t="s">
        <v>1063</v>
      </c>
      <c r="U212" s="5" t="s">
        <v>35</v>
      </c>
      <c r="V212" s="32" t="s">
        <v>1064</v>
      </c>
      <c r="W212" s="25" t="s">
        <v>1065</v>
      </c>
      <c r="X212" s="5"/>
      <c r="Y212" s="25" t="s">
        <v>1066</v>
      </c>
      <c r="Z212" s="5">
        <v>15047449564</v>
      </c>
      <c r="AA212" s="9" t="s">
        <v>41</v>
      </c>
      <c r="AB212" s="6"/>
    </row>
    <row r="213" spans="1:28">
      <c r="A213" s="5">
        <f>IF(AA213="aktif",MAX($A$1:A212)+1,"")</f>
        <v>175</v>
      </c>
      <c r="B213" s="25" t="s">
        <v>1067</v>
      </c>
      <c r="C213" s="15" t="s">
        <v>1068</v>
      </c>
      <c r="D213" s="139" t="s">
        <v>78</v>
      </c>
      <c r="E213" s="18" t="s">
        <v>786</v>
      </c>
      <c r="F213" s="5" t="s">
        <v>2229</v>
      </c>
      <c r="G213" s="5" t="s">
        <v>2229</v>
      </c>
      <c r="H213" s="16" t="s">
        <v>1061</v>
      </c>
      <c r="I213" s="12" t="s">
        <v>1049</v>
      </c>
      <c r="J213" s="5" t="s">
        <v>45</v>
      </c>
      <c r="K213" s="5"/>
      <c r="L213" s="26"/>
      <c r="M213" s="26" t="str">
        <f t="shared" ca="1" si="22"/>
        <v/>
      </c>
      <c r="N213" s="5" t="s">
        <v>31</v>
      </c>
      <c r="O213" s="26">
        <v>30270</v>
      </c>
      <c r="P213" s="26" t="str">
        <f t="shared" ca="1" si="19"/>
        <v>43 tahun</v>
      </c>
      <c r="Q213" s="5" t="s">
        <v>32</v>
      </c>
      <c r="R213" s="35"/>
      <c r="S213" s="25" t="s">
        <v>1069</v>
      </c>
      <c r="T213" s="5" t="s">
        <v>1070</v>
      </c>
      <c r="U213" s="5" t="s">
        <v>35</v>
      </c>
      <c r="V213" s="25" t="s">
        <v>1071</v>
      </c>
      <c r="W213" s="25" t="s">
        <v>1072</v>
      </c>
      <c r="X213" s="5"/>
      <c r="Y213" s="25"/>
      <c r="Z213" s="5"/>
      <c r="AA213" s="9" t="s">
        <v>41</v>
      </c>
      <c r="AB213" s="6"/>
    </row>
    <row r="214" spans="1:28">
      <c r="A214" s="5">
        <f>IF(AA214="aktif",MAX($A$1:A213)+1,"")</f>
        <v>176</v>
      </c>
      <c r="B214" s="25" t="s">
        <v>1073</v>
      </c>
      <c r="C214" s="15" t="s">
        <v>1074</v>
      </c>
      <c r="D214" s="139" t="s">
        <v>78</v>
      </c>
      <c r="E214" s="18" t="s">
        <v>786</v>
      </c>
      <c r="F214" s="5" t="s">
        <v>2229</v>
      </c>
      <c r="G214" s="5" t="s">
        <v>2229</v>
      </c>
      <c r="H214" s="16" t="s">
        <v>1075</v>
      </c>
      <c r="I214" s="12" t="s">
        <v>1034</v>
      </c>
      <c r="J214" s="5" t="s">
        <v>45</v>
      </c>
      <c r="K214" s="5"/>
      <c r="L214" s="26">
        <v>40330</v>
      </c>
      <c r="M214" s="26" t="str">
        <f t="shared" ca="1" si="22"/>
        <v>16 tahun 2 bulan</v>
      </c>
      <c r="N214" s="5" t="s">
        <v>31</v>
      </c>
      <c r="O214" s="26">
        <v>33940</v>
      </c>
      <c r="P214" s="26" t="str">
        <f t="shared" ca="1" si="19"/>
        <v>33 tahun</v>
      </c>
      <c r="Q214" s="5" t="s">
        <v>46</v>
      </c>
      <c r="R214" s="35">
        <v>4272000</v>
      </c>
      <c r="S214" s="25" t="s">
        <v>1076</v>
      </c>
      <c r="T214" s="5" t="s">
        <v>1077</v>
      </c>
      <c r="U214" s="5" t="s">
        <v>35</v>
      </c>
      <c r="V214" s="25" t="s">
        <v>1078</v>
      </c>
      <c r="W214" s="25" t="s">
        <v>1079</v>
      </c>
      <c r="X214" s="5"/>
      <c r="Y214" s="25"/>
      <c r="Z214" s="5"/>
      <c r="AA214" s="9" t="s">
        <v>41</v>
      </c>
      <c r="AB214" s="6"/>
    </row>
    <row r="215" spans="1:28">
      <c r="A215" s="5">
        <f>IF(AA215="aktif",MAX($A$1:A214)+1,"")</f>
        <v>177</v>
      </c>
      <c r="B215" s="25" t="s">
        <v>1080</v>
      </c>
      <c r="C215" s="15" t="s">
        <v>1081</v>
      </c>
      <c r="D215" s="139" t="s">
        <v>78</v>
      </c>
      <c r="E215" s="18" t="s">
        <v>786</v>
      </c>
      <c r="F215" s="5" t="s">
        <v>2229</v>
      </c>
      <c r="G215" s="5" t="s">
        <v>2229</v>
      </c>
      <c r="H215" s="16" t="s">
        <v>1075</v>
      </c>
      <c r="I215" s="12" t="s">
        <v>1042</v>
      </c>
      <c r="J215" s="5" t="s">
        <v>45</v>
      </c>
      <c r="K215" s="5"/>
      <c r="L215" s="26">
        <v>38504</v>
      </c>
      <c r="M215" s="26" t="str">
        <f t="shared" ca="1" si="22"/>
        <v>21 tahun 2 bulan</v>
      </c>
      <c r="N215" s="5" t="s">
        <v>31</v>
      </c>
      <c r="O215" s="26">
        <v>31417</v>
      </c>
      <c r="P215" s="26" t="str">
        <f t="shared" ca="1" si="19"/>
        <v>40 tahun</v>
      </c>
      <c r="Q215" s="5" t="s">
        <v>46</v>
      </c>
      <c r="R215" s="35">
        <v>4856026</v>
      </c>
      <c r="S215" s="25" t="s">
        <v>1082</v>
      </c>
      <c r="T215" s="5" t="s">
        <v>628</v>
      </c>
      <c r="U215" s="5" t="s">
        <v>35</v>
      </c>
      <c r="V215" s="25" t="s">
        <v>1083</v>
      </c>
      <c r="W215" s="25" t="s">
        <v>1084</v>
      </c>
      <c r="X215" s="5"/>
      <c r="Y215" s="25"/>
      <c r="Z215" s="5"/>
      <c r="AA215" s="9" t="s">
        <v>41</v>
      </c>
      <c r="AB215" s="6"/>
    </row>
    <row r="216" spans="1:28">
      <c r="A216" s="5">
        <f>IF(AA216="aktif",MAX($A$1:A215)+1,"")</f>
        <v>178</v>
      </c>
      <c r="B216" s="25" t="s">
        <v>1085</v>
      </c>
      <c r="C216" s="15" t="s">
        <v>1086</v>
      </c>
      <c r="D216" s="139" t="s">
        <v>78</v>
      </c>
      <c r="E216" s="18" t="s">
        <v>786</v>
      </c>
      <c r="F216" s="5" t="s">
        <v>2229</v>
      </c>
      <c r="G216" s="5" t="s">
        <v>2229</v>
      </c>
      <c r="H216" s="16" t="s">
        <v>1075</v>
      </c>
      <c r="I216" s="12" t="s">
        <v>1049</v>
      </c>
      <c r="J216" s="5" t="s">
        <v>45</v>
      </c>
      <c r="K216" s="5"/>
      <c r="L216" s="26">
        <v>39234</v>
      </c>
      <c r="M216" s="26" t="str">
        <f t="shared" ca="1" si="22"/>
        <v>19 tahun 2 bulan</v>
      </c>
      <c r="N216" s="5" t="s">
        <v>31</v>
      </c>
      <c r="O216" s="26">
        <v>30809</v>
      </c>
      <c r="P216" s="26" t="str">
        <f t="shared" ca="1" si="19"/>
        <v>42 tahun</v>
      </c>
      <c r="Q216" s="5" t="s">
        <v>32</v>
      </c>
      <c r="R216" s="35">
        <v>4856026</v>
      </c>
      <c r="S216" s="25" t="s">
        <v>1087</v>
      </c>
      <c r="T216" s="5" t="s">
        <v>628</v>
      </c>
      <c r="U216" s="5" t="s">
        <v>35</v>
      </c>
      <c r="V216" s="25" t="s">
        <v>809</v>
      </c>
      <c r="W216" s="25" t="s">
        <v>1088</v>
      </c>
      <c r="X216" s="5"/>
      <c r="Y216" s="25" t="s">
        <v>1089</v>
      </c>
      <c r="Z216" s="5">
        <v>11024137868000</v>
      </c>
      <c r="AA216" s="9" t="s">
        <v>41</v>
      </c>
      <c r="AB216" s="6"/>
    </row>
    <row r="217" spans="1:28">
      <c r="A217" s="5">
        <f>IF(AA217="aktif",MAX($A$1:A216)+1,"")</f>
        <v>179</v>
      </c>
      <c r="B217" s="25" t="s">
        <v>1090</v>
      </c>
      <c r="C217" s="15" t="s">
        <v>1091</v>
      </c>
      <c r="D217" s="139" t="s">
        <v>78</v>
      </c>
      <c r="E217" s="18" t="s">
        <v>786</v>
      </c>
      <c r="F217" s="5" t="s">
        <v>2229</v>
      </c>
      <c r="G217" s="5" t="s">
        <v>2229</v>
      </c>
      <c r="H217" s="16" t="s">
        <v>1092</v>
      </c>
      <c r="I217" s="12" t="s">
        <v>1034</v>
      </c>
      <c r="J217" s="5" t="s">
        <v>45</v>
      </c>
      <c r="K217" s="5"/>
      <c r="L217" s="26">
        <v>41791</v>
      </c>
      <c r="M217" s="26" t="str">
        <f t="shared" ca="1" si="22"/>
        <v>12 tahun 2 bulan</v>
      </c>
      <c r="N217" s="5" t="s">
        <v>31</v>
      </c>
      <c r="O217" s="26">
        <v>31053</v>
      </c>
      <c r="P217" s="26" t="str">
        <f t="shared" ca="1" si="19"/>
        <v>41 tahun</v>
      </c>
      <c r="Q217" s="5" t="s">
        <v>32</v>
      </c>
      <c r="R217" s="35">
        <v>4856026</v>
      </c>
      <c r="S217" s="25" t="s">
        <v>1093</v>
      </c>
      <c r="T217" s="5" t="s">
        <v>1094</v>
      </c>
      <c r="U217" s="5" t="s">
        <v>35</v>
      </c>
      <c r="V217" s="25" t="s">
        <v>1095</v>
      </c>
      <c r="W217" s="25" t="s">
        <v>1096</v>
      </c>
      <c r="X217" s="5"/>
      <c r="Y217" s="25"/>
      <c r="Z217" s="5"/>
      <c r="AA217" s="9" t="s">
        <v>41</v>
      </c>
      <c r="AB217" s="6"/>
    </row>
    <row r="218" spans="1:28">
      <c r="A218" s="5">
        <f>IF(AA218="aktif",MAX($A$1:A217)+1,"")</f>
        <v>180</v>
      </c>
      <c r="B218" s="25" t="s">
        <v>1097</v>
      </c>
      <c r="C218" s="15" t="s">
        <v>1098</v>
      </c>
      <c r="D218" s="139" t="s">
        <v>78</v>
      </c>
      <c r="E218" s="18" t="s">
        <v>786</v>
      </c>
      <c r="F218" s="5" t="s">
        <v>2229</v>
      </c>
      <c r="G218" s="5" t="s">
        <v>2229</v>
      </c>
      <c r="H218" s="16" t="s">
        <v>1092</v>
      </c>
      <c r="I218" s="121" t="s">
        <v>1042</v>
      </c>
      <c r="J218" s="5" t="s">
        <v>45</v>
      </c>
      <c r="K218" s="5"/>
      <c r="L218" s="26">
        <v>39264</v>
      </c>
      <c r="M218" s="26" t="str">
        <f t="shared" ca="1" si="22"/>
        <v>19 tahun 1 bulan</v>
      </c>
      <c r="N218" s="5" t="s">
        <v>31</v>
      </c>
      <c r="O218" s="26">
        <v>32370</v>
      </c>
      <c r="P218" s="26" t="str">
        <f t="shared" ca="1" si="19"/>
        <v>37 tahun</v>
      </c>
      <c r="Q218" s="5" t="s">
        <v>46</v>
      </c>
      <c r="R218" s="35">
        <v>4856026</v>
      </c>
      <c r="S218" s="25" t="s">
        <v>1099</v>
      </c>
      <c r="T218" s="5" t="s">
        <v>755</v>
      </c>
      <c r="U218" s="5" t="s">
        <v>35</v>
      </c>
      <c r="V218" s="25" t="s">
        <v>1100</v>
      </c>
      <c r="W218" s="25" t="s">
        <v>1101</v>
      </c>
      <c r="X218" s="5"/>
      <c r="Y218" s="25"/>
      <c r="Z218" s="5"/>
      <c r="AA218" s="9" t="s">
        <v>41</v>
      </c>
      <c r="AB218" s="6"/>
    </row>
    <row r="219" spans="1:28">
      <c r="A219" s="5">
        <f>IF(AA219="aktif",MAX($A$1:A218)+1,"")</f>
        <v>181</v>
      </c>
      <c r="B219" s="25" t="s">
        <v>1102</v>
      </c>
      <c r="C219" s="15" t="s">
        <v>1103</v>
      </c>
      <c r="D219" s="139" t="s">
        <v>78</v>
      </c>
      <c r="E219" s="18" t="s">
        <v>786</v>
      </c>
      <c r="F219" s="5" t="s">
        <v>2229</v>
      </c>
      <c r="G219" s="5" t="s">
        <v>2229</v>
      </c>
      <c r="H219" s="22" t="s">
        <v>1092</v>
      </c>
      <c r="I219" s="12" t="s">
        <v>1049</v>
      </c>
      <c r="J219" s="5" t="s">
        <v>45</v>
      </c>
      <c r="K219" s="5"/>
      <c r="L219" s="26">
        <v>38139</v>
      </c>
      <c r="M219" s="26" t="str">
        <f t="shared" ca="1" si="22"/>
        <v>22 tahun 2 bulan</v>
      </c>
      <c r="N219" s="5" t="s">
        <v>31</v>
      </c>
      <c r="O219" s="26">
        <v>30541</v>
      </c>
      <c r="P219" s="26" t="str">
        <f t="shared" ca="1" si="19"/>
        <v>42 tahun</v>
      </c>
      <c r="Q219" s="5" t="s">
        <v>32</v>
      </c>
      <c r="R219" s="35">
        <v>4856026</v>
      </c>
      <c r="S219" s="25" t="s">
        <v>1104</v>
      </c>
      <c r="T219" s="5" t="s">
        <v>628</v>
      </c>
      <c r="U219" s="5" t="s">
        <v>35</v>
      </c>
      <c r="V219" s="25" t="s">
        <v>1105</v>
      </c>
      <c r="W219" s="25" t="s">
        <v>1106</v>
      </c>
      <c r="X219" s="5"/>
      <c r="Y219" s="25" t="s">
        <v>1107</v>
      </c>
      <c r="Z219" s="5">
        <v>11032939099000</v>
      </c>
      <c r="AA219" s="9" t="s">
        <v>41</v>
      </c>
      <c r="AB219" s="6"/>
    </row>
    <row r="220" spans="1:28">
      <c r="A220" s="5">
        <f>IF(AA220="aktif",MAX($A$1:A219)+1,"")</f>
        <v>182</v>
      </c>
      <c r="B220" s="25" t="s">
        <v>1108</v>
      </c>
      <c r="C220" s="15" t="s">
        <v>1109</v>
      </c>
      <c r="D220" s="139" t="s">
        <v>78</v>
      </c>
      <c r="E220" s="12" t="s">
        <v>786</v>
      </c>
      <c r="F220" s="5" t="s">
        <v>2229</v>
      </c>
      <c r="G220" s="5" t="s">
        <v>2229</v>
      </c>
      <c r="H220" s="22" t="s">
        <v>1110</v>
      </c>
      <c r="I220" s="12" t="s">
        <v>1034</v>
      </c>
      <c r="J220" s="5" t="s">
        <v>45</v>
      </c>
      <c r="K220" s="5"/>
      <c r="L220" s="26">
        <v>41061</v>
      </c>
      <c r="M220" s="26" t="str">
        <f t="shared" ca="1" si="22"/>
        <v>14 tahun 2 bulan</v>
      </c>
      <c r="N220" s="5" t="s">
        <v>31</v>
      </c>
      <c r="O220" s="26">
        <v>34040</v>
      </c>
      <c r="P220" s="26" t="str">
        <f t="shared" ca="1" si="19"/>
        <v>33 tahun</v>
      </c>
      <c r="Q220" s="5" t="s">
        <v>46</v>
      </c>
      <c r="R220" s="35">
        <v>4272000</v>
      </c>
      <c r="S220" s="25" t="s">
        <v>1111</v>
      </c>
      <c r="T220" s="5" t="s">
        <v>1112</v>
      </c>
      <c r="U220" s="5" t="s">
        <v>165</v>
      </c>
      <c r="V220" s="25" t="s">
        <v>1113</v>
      </c>
      <c r="W220" s="25" t="s">
        <v>1114</v>
      </c>
      <c r="X220" s="5"/>
      <c r="Y220" s="25"/>
      <c r="Z220" s="5"/>
      <c r="AA220" s="9" t="s">
        <v>41</v>
      </c>
      <c r="AB220" s="6"/>
    </row>
    <row r="221" spans="1:28">
      <c r="A221" s="5">
        <f>IF(AA221="aktif",MAX($A$1:A220)+1,"")</f>
        <v>183</v>
      </c>
      <c r="B221" s="25" t="s">
        <v>1115</v>
      </c>
      <c r="C221" s="15" t="s">
        <v>1116</v>
      </c>
      <c r="D221" s="139" t="s">
        <v>78</v>
      </c>
      <c r="E221" s="18" t="s">
        <v>786</v>
      </c>
      <c r="F221" s="5" t="s">
        <v>2229</v>
      </c>
      <c r="G221" s="5" t="s">
        <v>2229</v>
      </c>
      <c r="H221" s="16" t="s">
        <v>1110</v>
      </c>
      <c r="I221" s="12" t="s">
        <v>1049</v>
      </c>
      <c r="J221" s="5" t="s">
        <v>45</v>
      </c>
      <c r="K221" s="5"/>
      <c r="L221" s="26">
        <v>41061</v>
      </c>
      <c r="M221" s="26" t="str">
        <f t="shared" ca="1" si="22"/>
        <v>14 tahun 2 bulan</v>
      </c>
      <c r="N221" s="5" t="s">
        <v>31</v>
      </c>
      <c r="O221" s="26">
        <v>29733</v>
      </c>
      <c r="P221" s="26" t="str">
        <f t="shared" ca="1" si="19"/>
        <v>45 tahun</v>
      </c>
      <c r="Q221" s="5" t="s">
        <v>32</v>
      </c>
      <c r="R221" s="35">
        <v>4856026</v>
      </c>
      <c r="S221" s="25" t="s">
        <v>1117</v>
      </c>
      <c r="T221" s="5" t="s">
        <v>355</v>
      </c>
      <c r="U221" s="5" t="s">
        <v>35</v>
      </c>
      <c r="V221" s="25" t="s">
        <v>1118</v>
      </c>
      <c r="W221" s="25" t="s">
        <v>1119</v>
      </c>
      <c r="X221" s="5"/>
      <c r="Y221" s="25"/>
      <c r="Z221" s="5" t="s">
        <v>1117</v>
      </c>
      <c r="AA221" s="9" t="s">
        <v>41</v>
      </c>
      <c r="AB221" s="6"/>
    </row>
    <row r="222" spans="1:28">
      <c r="A222" s="5" t="str">
        <f>IF(AA222="aktif",MAX($A$1:A221)+1,"")</f>
        <v/>
      </c>
      <c r="B222" s="25" t="s">
        <v>1120</v>
      </c>
      <c r="C222" s="15" t="s">
        <v>1121</v>
      </c>
      <c r="D222" s="139" t="s">
        <v>78</v>
      </c>
      <c r="E222" s="18" t="s">
        <v>786</v>
      </c>
      <c r="F222" s="5" t="s">
        <v>2229</v>
      </c>
      <c r="G222" s="5" t="s">
        <v>2229</v>
      </c>
      <c r="H222" s="132" t="s">
        <v>1110</v>
      </c>
      <c r="I222" s="44" t="s">
        <v>1042</v>
      </c>
      <c r="J222" s="5" t="s">
        <v>45</v>
      </c>
      <c r="K222" s="5"/>
      <c r="L222" s="26">
        <v>41061</v>
      </c>
      <c r="M222" s="26" t="str">
        <f t="shared" ca="1" si="22"/>
        <v>14 tahun 2 bulan</v>
      </c>
      <c r="N222" s="26">
        <v>32349</v>
      </c>
      <c r="O222" s="26" t="str">
        <f t="shared" ref="O222" ca="1" si="23">IF(N222="","",DATEDIF(N222,TODAY(),"Y")&amp;" tahun")</f>
        <v>38 tahun</v>
      </c>
      <c r="P222" s="5" t="s">
        <v>121</v>
      </c>
      <c r="Q222" s="35">
        <v>4600000</v>
      </c>
      <c r="R222" s="25" t="s">
        <v>1122</v>
      </c>
      <c r="S222" s="5" t="s">
        <v>1051</v>
      </c>
      <c r="T222" s="5" t="s">
        <v>35</v>
      </c>
      <c r="U222" s="25" t="s">
        <v>1123</v>
      </c>
      <c r="V222" s="25" t="s">
        <v>1124</v>
      </c>
      <c r="W222" s="5"/>
      <c r="X222" s="25"/>
      <c r="Y222" s="5"/>
      <c r="Z222" s="9" t="s">
        <v>41</v>
      </c>
      <c r="AA222" s="6"/>
    </row>
    <row r="223" spans="1:28">
      <c r="A223" s="5">
        <f>IF(AA223="aktif",MAX($A$1:A221)+1,"")</f>
        <v>184</v>
      </c>
      <c r="B223" s="25" t="s">
        <v>1125</v>
      </c>
      <c r="C223" s="15" t="s">
        <v>1126</v>
      </c>
      <c r="D223" s="139" t="s">
        <v>78</v>
      </c>
      <c r="E223" s="18" t="s">
        <v>786</v>
      </c>
      <c r="F223" s="5" t="s">
        <v>2229</v>
      </c>
      <c r="G223" s="5" t="s">
        <v>2229</v>
      </c>
      <c r="H223" s="16" t="s">
        <v>1127</v>
      </c>
      <c r="I223" s="12" t="s">
        <v>1034</v>
      </c>
      <c r="J223" s="5" t="s">
        <v>45</v>
      </c>
      <c r="K223" s="5"/>
      <c r="L223" s="26">
        <v>37773</v>
      </c>
      <c r="M223" s="26" t="str">
        <f t="shared" ca="1" si="22"/>
        <v>23 tahun 2 bulan</v>
      </c>
      <c r="N223" s="5" t="s">
        <v>31</v>
      </c>
      <c r="O223" s="26">
        <v>30594</v>
      </c>
      <c r="P223" s="26" t="str">
        <f t="shared" ca="1" si="19"/>
        <v>42 tahun</v>
      </c>
      <c r="Q223" s="5" t="s">
        <v>46</v>
      </c>
      <c r="R223" s="35">
        <v>4856026</v>
      </c>
      <c r="S223" s="25" t="s">
        <v>1128</v>
      </c>
      <c r="T223" s="5" t="s">
        <v>755</v>
      </c>
      <c r="U223" s="5" t="s">
        <v>35</v>
      </c>
      <c r="V223" s="25" t="s">
        <v>1129</v>
      </c>
      <c r="W223" s="25" t="s">
        <v>1130</v>
      </c>
      <c r="X223" s="5"/>
      <c r="Y223" s="25" t="s">
        <v>1131</v>
      </c>
      <c r="Z223" s="5"/>
      <c r="AA223" s="9" t="s">
        <v>41</v>
      </c>
      <c r="AB223" s="6"/>
    </row>
    <row r="224" spans="1:28">
      <c r="A224" s="5">
        <f>IF(AA224="aktif",MAX($A$1:A223)+1,"")</f>
        <v>185</v>
      </c>
      <c r="B224" s="25" t="s">
        <v>1132</v>
      </c>
      <c r="C224" s="15" t="s">
        <v>1133</v>
      </c>
      <c r="D224" s="139" t="s">
        <v>78</v>
      </c>
      <c r="E224" s="18" t="s">
        <v>786</v>
      </c>
      <c r="F224" s="5" t="s">
        <v>2229</v>
      </c>
      <c r="G224" s="5" t="s">
        <v>2229</v>
      </c>
      <c r="H224" s="16" t="s">
        <v>1127</v>
      </c>
      <c r="I224" s="12" t="s">
        <v>1042</v>
      </c>
      <c r="J224" s="5" t="s">
        <v>45</v>
      </c>
      <c r="K224" s="5"/>
      <c r="L224" s="26">
        <v>39600</v>
      </c>
      <c r="M224" s="26" t="str">
        <f t="shared" ca="1" si="22"/>
        <v>18 tahun 2 bulan</v>
      </c>
      <c r="N224" s="5" t="s">
        <v>31</v>
      </c>
      <c r="O224" s="26">
        <v>32740</v>
      </c>
      <c r="P224" s="26" t="str">
        <f t="shared" ca="1" si="19"/>
        <v>36 tahun</v>
      </c>
      <c r="Q224" s="5" t="s">
        <v>32</v>
      </c>
      <c r="R224" s="35">
        <v>6200000</v>
      </c>
      <c r="S224" s="25" t="s">
        <v>1134</v>
      </c>
      <c r="T224" s="5" t="s">
        <v>194</v>
      </c>
      <c r="U224" s="5" t="s">
        <v>35</v>
      </c>
      <c r="V224" s="25" t="s">
        <v>1135</v>
      </c>
      <c r="W224" s="25" t="s">
        <v>1136</v>
      </c>
      <c r="X224" s="5"/>
      <c r="Y224" s="25" t="s">
        <v>1137</v>
      </c>
      <c r="Z224" s="5">
        <v>12044954217</v>
      </c>
      <c r="AA224" s="9" t="s">
        <v>41</v>
      </c>
      <c r="AB224" s="6"/>
    </row>
    <row r="225" spans="1:30">
      <c r="A225" s="5">
        <f>IF(AA225="aktif",MAX($A$1:A224)+1,"")</f>
        <v>186</v>
      </c>
      <c r="B225" s="25" t="s">
        <v>1138</v>
      </c>
      <c r="C225" s="15" t="s">
        <v>1139</v>
      </c>
      <c r="D225" s="139" t="s">
        <v>78</v>
      </c>
      <c r="E225" s="18" t="s">
        <v>786</v>
      </c>
      <c r="F225" s="5" t="s">
        <v>2229</v>
      </c>
      <c r="G225" s="5" t="s">
        <v>2229</v>
      </c>
      <c r="H225" s="16" t="s">
        <v>1127</v>
      </c>
      <c r="I225" s="18" t="s">
        <v>1049</v>
      </c>
      <c r="J225" s="5" t="s">
        <v>45</v>
      </c>
      <c r="K225" s="5"/>
      <c r="L225" s="26">
        <v>38139</v>
      </c>
      <c r="M225" s="26" t="str">
        <f t="shared" ca="1" si="22"/>
        <v>22 tahun 2 bulan</v>
      </c>
      <c r="N225" s="5" t="s">
        <v>31</v>
      </c>
      <c r="O225" s="26">
        <v>31107</v>
      </c>
      <c r="P225" s="26" t="str">
        <f t="shared" ca="1" si="19"/>
        <v>41 tahun</v>
      </c>
      <c r="Q225" s="5" t="s">
        <v>32</v>
      </c>
      <c r="R225" s="35">
        <v>4856026</v>
      </c>
      <c r="S225" s="25" t="s">
        <v>1140</v>
      </c>
      <c r="T225" s="5" t="s">
        <v>755</v>
      </c>
      <c r="U225" s="5" t="s">
        <v>35</v>
      </c>
      <c r="V225" s="25" t="s">
        <v>1141</v>
      </c>
      <c r="W225" s="25" t="s">
        <v>1142</v>
      </c>
      <c r="X225" s="5"/>
      <c r="Y225" s="25" t="s">
        <v>1143</v>
      </c>
      <c r="Z225" s="5">
        <v>11024228584000</v>
      </c>
      <c r="AA225" s="9" t="s">
        <v>41</v>
      </c>
      <c r="AB225" s="6"/>
    </row>
    <row r="226" spans="1:30">
      <c r="A226" s="5">
        <f>IF(AA226="aktif",MAX($A$1:A225)+1,"")</f>
        <v>187</v>
      </c>
      <c r="B226" s="25"/>
      <c r="C226" s="15" t="s">
        <v>1144</v>
      </c>
      <c r="D226" s="139" t="s">
        <v>78</v>
      </c>
      <c r="E226" s="18" t="s">
        <v>786</v>
      </c>
      <c r="F226" s="5" t="s">
        <v>2229</v>
      </c>
      <c r="G226" s="5" t="s">
        <v>2229</v>
      </c>
      <c r="H226" s="16" t="s">
        <v>1145</v>
      </c>
      <c r="I226" s="12" t="s">
        <v>1034</v>
      </c>
      <c r="J226" s="5" t="s">
        <v>45</v>
      </c>
      <c r="K226" s="5"/>
      <c r="L226" s="26">
        <v>43540</v>
      </c>
      <c r="M226" s="26" t="str">
        <f t="shared" ca="1" si="22"/>
        <v>7 tahun 4 bulan</v>
      </c>
      <c r="N226" s="5" t="s">
        <v>31</v>
      </c>
      <c r="O226" s="26">
        <v>35903</v>
      </c>
      <c r="P226" s="26" t="str">
        <f t="shared" ca="1" si="19"/>
        <v>28 tahun</v>
      </c>
      <c r="Q226" s="5" t="s">
        <v>46</v>
      </c>
      <c r="R226" s="35">
        <v>4100000</v>
      </c>
      <c r="S226" s="25" t="s">
        <v>1146</v>
      </c>
      <c r="T226" s="5" t="s">
        <v>1147</v>
      </c>
      <c r="U226" s="5" t="s">
        <v>35</v>
      </c>
      <c r="V226" s="25" t="s">
        <v>1148</v>
      </c>
      <c r="W226" s="25" t="s">
        <v>1149</v>
      </c>
      <c r="X226" s="5"/>
      <c r="Y226" s="25"/>
      <c r="Z226" s="5"/>
      <c r="AA226" s="9" t="s">
        <v>41</v>
      </c>
      <c r="AB226" s="6"/>
    </row>
    <row r="227" spans="1:30">
      <c r="A227" s="5">
        <f>IF(AA227="aktif",MAX($A$1:A226)+1,"")</f>
        <v>188</v>
      </c>
      <c r="B227" s="25" t="s">
        <v>1150</v>
      </c>
      <c r="C227" s="15" t="s">
        <v>1151</v>
      </c>
      <c r="D227" s="139" t="s">
        <v>78</v>
      </c>
      <c r="E227" s="18" t="s">
        <v>786</v>
      </c>
      <c r="F227" s="5" t="s">
        <v>2229</v>
      </c>
      <c r="G227" s="5" t="s">
        <v>2229</v>
      </c>
      <c r="H227" s="16" t="s">
        <v>1145</v>
      </c>
      <c r="I227" s="18" t="s">
        <v>1042</v>
      </c>
      <c r="J227" s="5" t="s">
        <v>45</v>
      </c>
      <c r="K227" s="5"/>
      <c r="L227" s="26">
        <v>40330</v>
      </c>
      <c r="M227" s="26" t="str">
        <f t="shared" ca="1" si="22"/>
        <v>16 tahun 2 bulan</v>
      </c>
      <c r="N227" s="5" t="s">
        <v>31</v>
      </c>
      <c r="O227" s="26">
        <v>34142</v>
      </c>
      <c r="P227" s="26" t="str">
        <f t="shared" ca="1" si="19"/>
        <v>33 tahun</v>
      </c>
      <c r="Q227" s="5" t="s">
        <v>121</v>
      </c>
      <c r="R227" s="35">
        <v>4270000</v>
      </c>
      <c r="S227" s="25" t="s">
        <v>1152</v>
      </c>
      <c r="T227" s="5" t="s">
        <v>1153</v>
      </c>
      <c r="U227" s="5" t="s">
        <v>35</v>
      </c>
      <c r="V227" s="25" t="s">
        <v>1154</v>
      </c>
      <c r="W227" s="25" t="s">
        <v>1155</v>
      </c>
      <c r="X227" s="5"/>
      <c r="Y227" s="25"/>
      <c r="Z227" s="5"/>
      <c r="AA227" s="9" t="s">
        <v>41</v>
      </c>
      <c r="AB227" s="6"/>
    </row>
    <row r="228" spans="1:30">
      <c r="A228" s="5">
        <f>IF(AA228="aktif",MAX($A$1:A227)+1,"")</f>
        <v>189</v>
      </c>
      <c r="B228" s="25" t="s">
        <v>1156</v>
      </c>
      <c r="C228" s="15" t="s">
        <v>1157</v>
      </c>
      <c r="D228" s="139" t="s">
        <v>78</v>
      </c>
      <c r="E228" s="18" t="s">
        <v>786</v>
      </c>
      <c r="F228" s="5" t="s">
        <v>2229</v>
      </c>
      <c r="G228" s="5" t="s">
        <v>2229</v>
      </c>
      <c r="H228" s="16" t="s">
        <v>1145</v>
      </c>
      <c r="I228" s="12" t="s">
        <v>1049</v>
      </c>
      <c r="J228" s="5" t="s">
        <v>45</v>
      </c>
      <c r="K228" s="5"/>
      <c r="L228" s="26">
        <v>37043</v>
      </c>
      <c r="M228" s="26" t="str">
        <f t="shared" ca="1" si="22"/>
        <v>25 tahun 2 bulan</v>
      </c>
      <c r="N228" s="5" t="s">
        <v>31</v>
      </c>
      <c r="O228" s="26">
        <v>27718</v>
      </c>
      <c r="P228" s="26" t="str">
        <f t="shared" ca="1" si="19"/>
        <v>50 tahun</v>
      </c>
      <c r="Q228" s="5" t="s">
        <v>46</v>
      </c>
      <c r="R228" s="35">
        <v>4856026</v>
      </c>
      <c r="S228" s="25" t="s">
        <v>1158</v>
      </c>
      <c r="T228" s="5" t="s">
        <v>913</v>
      </c>
      <c r="U228" s="5" t="s">
        <v>35</v>
      </c>
      <c r="V228" s="25" t="s">
        <v>1159</v>
      </c>
      <c r="W228" s="25" t="s">
        <v>1160</v>
      </c>
      <c r="X228" s="5"/>
      <c r="Y228" s="25"/>
      <c r="Z228" s="5"/>
      <c r="AA228" s="9" t="s">
        <v>41</v>
      </c>
      <c r="AB228" s="6"/>
    </row>
    <row r="229" spans="1:30">
      <c r="A229" s="5">
        <f>IF(AA229="aktif",MAX($A$1:A228)+1,"")</f>
        <v>190</v>
      </c>
      <c r="B229" s="25"/>
      <c r="C229" s="15" t="s">
        <v>1161</v>
      </c>
      <c r="D229" s="139" t="s">
        <v>937</v>
      </c>
      <c r="E229" s="18" t="s">
        <v>786</v>
      </c>
      <c r="F229" s="5" t="s">
        <v>2229</v>
      </c>
      <c r="G229" s="5" t="s">
        <v>2229</v>
      </c>
      <c r="H229" s="16" t="s">
        <v>1026</v>
      </c>
      <c r="I229" s="18" t="s">
        <v>1034</v>
      </c>
      <c r="J229" s="5" t="s">
        <v>71</v>
      </c>
      <c r="K229" s="5"/>
      <c r="L229" s="26">
        <v>42156</v>
      </c>
      <c r="M229" s="26" t="str">
        <f t="shared" ca="1" si="22"/>
        <v>11 tahun 2 bulan</v>
      </c>
      <c r="N229" s="5" t="s">
        <v>31</v>
      </c>
      <c r="O229" s="26">
        <v>31672</v>
      </c>
      <c r="P229" s="26" t="str">
        <f t="shared" ca="1" si="19"/>
        <v>39 tahun</v>
      </c>
      <c r="Q229" s="5" t="s">
        <v>32</v>
      </c>
      <c r="R229" s="35">
        <v>4250000</v>
      </c>
      <c r="S229" s="25" t="s">
        <v>1162</v>
      </c>
      <c r="T229" s="5" t="s">
        <v>1163</v>
      </c>
      <c r="U229" s="5" t="s">
        <v>35</v>
      </c>
      <c r="V229" s="25" t="s">
        <v>1164</v>
      </c>
      <c r="W229" s="25" t="s">
        <v>1165</v>
      </c>
      <c r="X229" s="5"/>
      <c r="Y229" s="25"/>
      <c r="Z229" s="5"/>
      <c r="AA229" s="9" t="s">
        <v>41</v>
      </c>
      <c r="AB229" s="6"/>
    </row>
    <row r="230" spans="1:30">
      <c r="A230" s="5">
        <f>IF(AA230="aktif",MAX($A$1:A229)+1,"")</f>
        <v>191</v>
      </c>
      <c r="B230" s="25"/>
      <c r="C230" s="15" t="s">
        <v>1166</v>
      </c>
      <c r="D230" s="139" t="s">
        <v>937</v>
      </c>
      <c r="E230" s="12" t="s">
        <v>786</v>
      </c>
      <c r="F230" s="5" t="s">
        <v>2229</v>
      </c>
      <c r="G230" s="5" t="s">
        <v>2229</v>
      </c>
      <c r="H230" s="22" t="s">
        <v>1033</v>
      </c>
      <c r="I230" s="12" t="s">
        <v>1034</v>
      </c>
      <c r="J230" s="5" t="s">
        <v>71</v>
      </c>
      <c r="K230" s="5"/>
      <c r="L230" s="26">
        <v>43617</v>
      </c>
      <c r="M230" s="26" t="str">
        <f t="shared" ca="1" si="22"/>
        <v>7 tahun 2 bulan</v>
      </c>
      <c r="N230" s="5" t="s">
        <v>31</v>
      </c>
      <c r="O230" s="26">
        <v>36224</v>
      </c>
      <c r="P230" s="26" t="str">
        <f t="shared" ca="1" si="19"/>
        <v>27 tahun</v>
      </c>
      <c r="Q230" s="5" t="s">
        <v>46</v>
      </c>
      <c r="R230" s="35">
        <v>4272000</v>
      </c>
      <c r="S230" s="25" t="s">
        <v>1167</v>
      </c>
      <c r="T230" s="5" t="s">
        <v>1168</v>
      </c>
      <c r="U230" s="5" t="s">
        <v>35</v>
      </c>
      <c r="V230" s="25" t="s">
        <v>1169</v>
      </c>
      <c r="W230" s="25" t="s">
        <v>1170</v>
      </c>
      <c r="X230" s="5"/>
      <c r="Y230" s="25"/>
      <c r="Z230" s="5"/>
      <c r="AA230" s="9" t="s">
        <v>41</v>
      </c>
      <c r="AB230" s="6"/>
    </row>
    <row r="231" spans="1:30">
      <c r="A231" s="5">
        <f>IF(AA231="aktif",MAX($A$1:A230)+1,"")</f>
        <v>192</v>
      </c>
      <c r="B231" s="25"/>
      <c r="C231" s="15" t="s">
        <v>1171</v>
      </c>
      <c r="D231" s="139" t="s">
        <v>937</v>
      </c>
      <c r="E231" s="18" t="s">
        <v>786</v>
      </c>
      <c r="F231" s="5" t="s">
        <v>2229</v>
      </c>
      <c r="G231" s="5" t="s">
        <v>2229</v>
      </c>
      <c r="H231" s="16" t="s">
        <v>1033</v>
      </c>
      <c r="I231" s="12" t="s">
        <v>1042</v>
      </c>
      <c r="J231" s="5" t="s">
        <v>71</v>
      </c>
      <c r="K231" s="5"/>
      <c r="L231" s="26">
        <v>43617</v>
      </c>
      <c r="M231" s="26" t="str">
        <f t="shared" ca="1" si="22"/>
        <v>7 tahun 2 bulan</v>
      </c>
      <c r="N231" s="5" t="s">
        <v>31</v>
      </c>
      <c r="O231" s="26">
        <v>36307</v>
      </c>
      <c r="P231" s="26" t="str">
        <f t="shared" ca="1" si="19"/>
        <v>27 tahun</v>
      </c>
      <c r="Q231" s="5" t="s">
        <v>46</v>
      </c>
      <c r="R231" s="35">
        <v>4100000</v>
      </c>
      <c r="S231" s="25" t="s">
        <v>1172</v>
      </c>
      <c r="T231" s="5" t="s">
        <v>360</v>
      </c>
      <c r="U231" s="5" t="s">
        <v>165</v>
      </c>
      <c r="V231" s="25" t="s">
        <v>1173</v>
      </c>
      <c r="W231" s="25" t="s">
        <v>1174</v>
      </c>
      <c r="X231" s="5"/>
      <c r="Y231" s="25"/>
      <c r="Z231" s="5"/>
      <c r="AA231" s="9" t="s">
        <v>41</v>
      </c>
      <c r="AB231" s="6"/>
    </row>
    <row r="232" spans="1:30">
      <c r="A232" s="5">
        <f>IF(AA232="aktif",MAX($A$1:A231)+1,"")</f>
        <v>193</v>
      </c>
      <c r="B232" s="25"/>
      <c r="C232" s="15" t="s">
        <v>1175</v>
      </c>
      <c r="D232" s="139" t="s">
        <v>937</v>
      </c>
      <c r="E232" s="18" t="s">
        <v>786</v>
      </c>
      <c r="F232" s="5" t="s">
        <v>2229</v>
      </c>
      <c r="G232" s="5" t="s">
        <v>2229</v>
      </c>
      <c r="H232" s="16" t="s">
        <v>1033</v>
      </c>
      <c r="I232" s="12" t="s">
        <v>1049</v>
      </c>
      <c r="J232" s="5" t="s">
        <v>71</v>
      </c>
      <c r="K232" s="5"/>
      <c r="L232" s="26">
        <v>42736</v>
      </c>
      <c r="M232" s="26" t="str">
        <f t="shared" ca="1" si="22"/>
        <v>9 tahun 7 bulan</v>
      </c>
      <c r="N232" s="5" t="s">
        <v>31</v>
      </c>
      <c r="O232" s="26">
        <v>35032</v>
      </c>
      <c r="P232" s="26" t="str">
        <f t="shared" ca="1" si="19"/>
        <v>30 tahun</v>
      </c>
      <c r="Q232" s="5" t="s">
        <v>32</v>
      </c>
      <c r="R232" s="35">
        <v>4100000</v>
      </c>
      <c r="S232" s="25" t="s">
        <v>1176</v>
      </c>
      <c r="T232" s="5" t="s">
        <v>974</v>
      </c>
      <c r="U232" s="5" t="s">
        <v>35</v>
      </c>
      <c r="V232" s="25" t="s">
        <v>1177</v>
      </c>
      <c r="W232" s="25" t="s">
        <v>1178</v>
      </c>
      <c r="X232" s="5"/>
      <c r="Y232" s="25"/>
      <c r="Z232" s="5"/>
      <c r="AA232" s="9" t="s">
        <v>41</v>
      </c>
      <c r="AB232" s="6"/>
    </row>
    <row r="233" spans="1:30">
      <c r="A233" s="5">
        <f>IF(AA233="aktif",MAX($A$1:A232)+1,"")</f>
        <v>194</v>
      </c>
      <c r="B233" s="25"/>
      <c r="C233" s="15" t="s">
        <v>1179</v>
      </c>
      <c r="D233" s="139" t="s">
        <v>937</v>
      </c>
      <c r="E233" s="18" t="s">
        <v>786</v>
      </c>
      <c r="F233" s="5" t="s">
        <v>2229</v>
      </c>
      <c r="G233" s="5" t="s">
        <v>2229</v>
      </c>
      <c r="H233" s="16" t="s">
        <v>1061</v>
      </c>
      <c r="I233" s="12" t="s">
        <v>1034</v>
      </c>
      <c r="J233" s="5" t="s">
        <v>71</v>
      </c>
      <c r="K233" s="5"/>
      <c r="L233" s="26">
        <v>42887</v>
      </c>
      <c r="M233" s="26" t="str">
        <f t="shared" ca="1" si="22"/>
        <v>9 tahun 2 bulan</v>
      </c>
      <c r="N233" s="5" t="s">
        <v>31</v>
      </c>
      <c r="O233" s="26">
        <v>35779</v>
      </c>
      <c r="P233" s="26" t="str">
        <f t="shared" ca="1" si="19"/>
        <v>28 tahun</v>
      </c>
      <c r="Q233" s="5" t="s">
        <v>46</v>
      </c>
      <c r="R233" s="35">
        <v>3700000</v>
      </c>
      <c r="S233" s="25" t="s">
        <v>1180</v>
      </c>
      <c r="T233" s="5" t="s">
        <v>1181</v>
      </c>
      <c r="U233" s="5" t="s">
        <v>35</v>
      </c>
      <c r="V233" s="25" t="s">
        <v>1182</v>
      </c>
      <c r="W233" s="25" t="s">
        <v>1183</v>
      </c>
      <c r="X233" s="5"/>
      <c r="Y233" s="25"/>
      <c r="Z233" s="5"/>
      <c r="AA233" s="9" t="s">
        <v>41</v>
      </c>
      <c r="AB233" s="6"/>
    </row>
    <row r="234" spans="1:30">
      <c r="A234" s="5">
        <f>IF(AA234="aktif",MAX($A$1:A233)+1,"")</f>
        <v>195</v>
      </c>
      <c r="B234" s="25"/>
      <c r="C234" s="15" t="s">
        <v>1184</v>
      </c>
      <c r="D234" s="139" t="s">
        <v>937</v>
      </c>
      <c r="E234" s="18" t="s">
        <v>786</v>
      </c>
      <c r="F234" s="5" t="s">
        <v>2229</v>
      </c>
      <c r="G234" s="5" t="s">
        <v>2229</v>
      </c>
      <c r="H234" s="16" t="s">
        <v>1061</v>
      </c>
      <c r="I234" s="12" t="s">
        <v>1042</v>
      </c>
      <c r="J234" s="5" t="s">
        <v>71</v>
      </c>
      <c r="K234" s="5"/>
      <c r="L234" s="26">
        <v>42156</v>
      </c>
      <c r="M234" s="26" t="str">
        <f t="shared" ca="1" si="22"/>
        <v>11 tahun 2 bulan</v>
      </c>
      <c r="N234" s="5" t="s">
        <v>31</v>
      </c>
      <c r="O234" s="26">
        <v>30182</v>
      </c>
      <c r="P234" s="26" t="str">
        <f t="shared" ca="1" si="19"/>
        <v>43 tahun</v>
      </c>
      <c r="Q234" s="5" t="s">
        <v>121</v>
      </c>
      <c r="R234" s="35">
        <v>4800000</v>
      </c>
      <c r="S234" s="25" t="s">
        <v>1185</v>
      </c>
      <c r="T234" s="5" t="s">
        <v>1163</v>
      </c>
      <c r="U234" s="5" t="s">
        <v>35</v>
      </c>
      <c r="V234" s="25" t="s">
        <v>1186</v>
      </c>
      <c r="W234" s="25"/>
      <c r="X234" s="5">
        <v>966372211602000</v>
      </c>
      <c r="Y234" s="25"/>
      <c r="Z234" s="5"/>
      <c r="AA234" s="9" t="s">
        <v>41</v>
      </c>
      <c r="AB234" s="6"/>
    </row>
    <row r="235" spans="1:30">
      <c r="A235" s="5">
        <f>IF(AA235="aktif",MAX($A$1:A234)+1,"")</f>
        <v>196</v>
      </c>
      <c r="B235" s="25" t="s">
        <v>1187</v>
      </c>
      <c r="C235" s="15" t="s">
        <v>1188</v>
      </c>
      <c r="D235" s="139" t="s">
        <v>937</v>
      </c>
      <c r="E235" s="18" t="s">
        <v>786</v>
      </c>
      <c r="F235" s="5" t="s">
        <v>2229</v>
      </c>
      <c r="G235" s="5" t="s">
        <v>2229</v>
      </c>
      <c r="H235" s="16" t="s">
        <v>1061</v>
      </c>
      <c r="I235" s="12" t="s">
        <v>1049</v>
      </c>
      <c r="J235" s="5" t="s">
        <v>71</v>
      </c>
      <c r="K235" s="5"/>
      <c r="L235" s="26">
        <v>42522</v>
      </c>
      <c r="M235" s="26" t="str">
        <f t="shared" ca="1" si="22"/>
        <v>10 tahun 2 bulan</v>
      </c>
      <c r="N235" s="5" t="s">
        <v>31</v>
      </c>
      <c r="O235" s="26">
        <v>35233</v>
      </c>
      <c r="P235" s="26" t="str">
        <f t="shared" ca="1" si="19"/>
        <v>30 tahun</v>
      </c>
      <c r="Q235" s="5" t="s">
        <v>32</v>
      </c>
      <c r="R235" s="35">
        <v>5200000</v>
      </c>
      <c r="S235" s="25" t="s">
        <v>1189</v>
      </c>
      <c r="T235" s="5" t="s">
        <v>974</v>
      </c>
      <c r="U235" s="5" t="s">
        <v>165</v>
      </c>
      <c r="V235" s="25" t="s">
        <v>1190</v>
      </c>
      <c r="W235" s="25" t="s">
        <v>1191</v>
      </c>
      <c r="X235" s="5"/>
      <c r="Y235" s="25"/>
      <c r="Z235" s="5"/>
      <c r="AA235" s="9" t="s">
        <v>41</v>
      </c>
      <c r="AB235" s="6"/>
    </row>
    <row r="236" spans="1:30">
      <c r="A236" s="5">
        <f>IF(AA236="aktif",MAX($A$1:A235)+1,"")</f>
        <v>197</v>
      </c>
      <c r="B236" s="25" t="s">
        <v>1192</v>
      </c>
      <c r="C236" s="15" t="s">
        <v>1193</v>
      </c>
      <c r="D236" s="139" t="s">
        <v>937</v>
      </c>
      <c r="E236" s="18" t="s">
        <v>786</v>
      </c>
      <c r="F236" s="5" t="s">
        <v>2229</v>
      </c>
      <c r="G236" s="5" t="s">
        <v>2229</v>
      </c>
      <c r="H236" s="16" t="s">
        <v>1075</v>
      </c>
      <c r="I236" s="12" t="s">
        <v>1034</v>
      </c>
      <c r="J236" s="5" t="s">
        <v>71</v>
      </c>
      <c r="K236" s="5"/>
      <c r="L236" s="26">
        <v>40330</v>
      </c>
      <c r="M236" s="26" t="str">
        <f t="shared" ca="1" si="22"/>
        <v>16 tahun 2 bulan</v>
      </c>
      <c r="N236" s="5" t="s">
        <v>31</v>
      </c>
      <c r="O236" s="26">
        <v>33692</v>
      </c>
      <c r="P236" s="26" t="str">
        <f t="shared" ca="1" si="19"/>
        <v>34 tahun</v>
      </c>
      <c r="Q236" s="5" t="s">
        <v>121</v>
      </c>
      <c r="R236" s="35">
        <v>4272000</v>
      </c>
      <c r="S236" s="25" t="s">
        <v>1194</v>
      </c>
      <c r="T236" s="5" t="s">
        <v>1195</v>
      </c>
      <c r="U236" s="5" t="s">
        <v>35</v>
      </c>
      <c r="V236" s="25" t="s">
        <v>1196</v>
      </c>
      <c r="W236" s="25" t="s">
        <v>1197</v>
      </c>
      <c r="X236" s="5"/>
      <c r="Y236" s="25"/>
      <c r="Z236" s="5"/>
      <c r="AA236" s="9" t="s">
        <v>41</v>
      </c>
      <c r="AB236" s="6"/>
    </row>
    <row r="237" spans="1:30">
      <c r="A237" s="5">
        <f>IF(AA237="aktif",MAX($A$1:A236)+1,"")</f>
        <v>198</v>
      </c>
      <c r="B237" s="25" t="s">
        <v>1198</v>
      </c>
      <c r="C237" s="15" t="s">
        <v>1199</v>
      </c>
      <c r="D237" s="139" t="s">
        <v>937</v>
      </c>
      <c r="E237" s="18" t="s">
        <v>786</v>
      </c>
      <c r="F237" s="5" t="s">
        <v>2229</v>
      </c>
      <c r="G237" s="5" t="s">
        <v>2229</v>
      </c>
      <c r="H237" s="16" t="s">
        <v>1075</v>
      </c>
      <c r="I237" s="12" t="s">
        <v>1042</v>
      </c>
      <c r="J237" s="5" t="s">
        <v>71</v>
      </c>
      <c r="K237" s="5"/>
      <c r="L237" s="26">
        <v>42522</v>
      </c>
      <c r="M237" s="26" t="str">
        <f t="shared" ca="1" si="22"/>
        <v>10 tahun 2 bulan</v>
      </c>
      <c r="N237" s="5" t="s">
        <v>31</v>
      </c>
      <c r="O237" s="26">
        <v>35462</v>
      </c>
      <c r="P237" s="26" t="str">
        <f t="shared" ca="1" si="19"/>
        <v>29 tahun</v>
      </c>
      <c r="Q237" s="5" t="s">
        <v>46</v>
      </c>
      <c r="R237" s="35"/>
      <c r="S237" s="25" t="s">
        <v>1200</v>
      </c>
      <c r="T237" s="5" t="s">
        <v>141</v>
      </c>
      <c r="U237" s="5" t="s">
        <v>35</v>
      </c>
      <c r="V237" s="25" t="s">
        <v>1201</v>
      </c>
      <c r="W237" s="25" t="s">
        <v>1202</v>
      </c>
      <c r="X237" s="5"/>
      <c r="Y237" s="25"/>
      <c r="Z237" s="5"/>
      <c r="AA237" s="9" t="s">
        <v>41</v>
      </c>
      <c r="AB237" s="6"/>
    </row>
    <row r="238" spans="1:30">
      <c r="A238" s="5">
        <f>IF(AA238="aktif",MAX($A$1:A237)+1,"")</f>
        <v>199</v>
      </c>
      <c r="B238" s="25" t="s">
        <v>1203</v>
      </c>
      <c r="C238" s="15" t="s">
        <v>1204</v>
      </c>
      <c r="D238" s="139" t="s">
        <v>937</v>
      </c>
      <c r="E238" s="18" t="s">
        <v>786</v>
      </c>
      <c r="F238" s="5" t="s">
        <v>2229</v>
      </c>
      <c r="G238" s="5" t="s">
        <v>2229</v>
      </c>
      <c r="H238" s="16" t="s">
        <v>1075</v>
      </c>
      <c r="I238" s="12" t="s">
        <v>1049</v>
      </c>
      <c r="J238" s="5" t="s">
        <v>71</v>
      </c>
      <c r="K238" s="5"/>
      <c r="L238" s="26">
        <v>39543</v>
      </c>
      <c r="M238" s="26" t="str">
        <f t="shared" ca="1" si="22"/>
        <v>18 tahun 4 bulan</v>
      </c>
      <c r="N238" s="5" t="s">
        <v>31</v>
      </c>
      <c r="O238" s="26">
        <v>33822</v>
      </c>
      <c r="P238" s="26" t="str">
        <f t="shared" ca="1" si="19"/>
        <v>34 tahun</v>
      </c>
      <c r="Q238" s="5" t="s">
        <v>121</v>
      </c>
      <c r="R238" s="35">
        <v>4628000</v>
      </c>
      <c r="S238" s="25" t="s">
        <v>1205</v>
      </c>
      <c r="T238" s="5" t="s">
        <v>669</v>
      </c>
      <c r="U238" s="5" t="s">
        <v>35</v>
      </c>
      <c r="V238" s="25" t="s">
        <v>1206</v>
      </c>
      <c r="W238" s="25" t="s">
        <v>1207</v>
      </c>
      <c r="X238" s="5"/>
      <c r="Y238" s="25"/>
      <c r="Z238" s="5"/>
      <c r="AA238" s="9" t="s">
        <v>41</v>
      </c>
      <c r="AB238" s="6"/>
    </row>
    <row r="239" spans="1:30">
      <c r="A239" s="5">
        <f>IF(AA239="aktif",MAX($A$1:A238)+1,"")</f>
        <v>200</v>
      </c>
      <c r="B239" s="25" t="s">
        <v>1208</v>
      </c>
      <c r="C239" s="15" t="s">
        <v>1209</v>
      </c>
      <c r="D239" s="139" t="s">
        <v>937</v>
      </c>
      <c r="E239" s="18" t="s">
        <v>786</v>
      </c>
      <c r="F239" s="5" t="s">
        <v>2229</v>
      </c>
      <c r="G239" s="5" t="s">
        <v>2229</v>
      </c>
      <c r="H239" s="16" t="s">
        <v>1092</v>
      </c>
      <c r="I239" s="12" t="s">
        <v>1034</v>
      </c>
      <c r="J239" s="5" t="s">
        <v>71</v>
      </c>
      <c r="K239" s="5"/>
      <c r="L239" s="26">
        <v>39600</v>
      </c>
      <c r="M239" s="26" t="str">
        <f t="shared" ca="1" si="22"/>
        <v>18 tahun 2 bulan</v>
      </c>
      <c r="N239" s="5" t="s">
        <v>31</v>
      </c>
      <c r="O239" s="26">
        <v>32418</v>
      </c>
      <c r="P239" s="26" t="str">
        <f t="shared" ca="1" si="19"/>
        <v>37 tahun</v>
      </c>
      <c r="Q239" s="5" t="s">
        <v>46</v>
      </c>
      <c r="R239" s="28">
        <v>4272000</v>
      </c>
      <c r="S239" s="25" t="s">
        <v>1210</v>
      </c>
      <c r="T239" s="5" t="s">
        <v>1211</v>
      </c>
      <c r="U239" s="5" t="s">
        <v>35</v>
      </c>
      <c r="V239" s="25" t="s">
        <v>1212</v>
      </c>
      <c r="W239" s="25" t="s">
        <v>1213</v>
      </c>
      <c r="X239" s="5"/>
      <c r="Y239" s="25"/>
      <c r="Z239" s="5"/>
      <c r="AA239" s="9" t="s">
        <v>41</v>
      </c>
      <c r="AB239" s="6"/>
    </row>
    <row r="240" spans="1:30">
      <c r="A240" s="5">
        <f>IF(AA240="aktif",MAX($A$1:A239)+1,"")</f>
        <v>201</v>
      </c>
      <c r="B240" s="25" t="s">
        <v>1214</v>
      </c>
      <c r="C240" s="15" t="s">
        <v>1215</v>
      </c>
      <c r="D240" s="139" t="s">
        <v>937</v>
      </c>
      <c r="E240" s="18" t="s">
        <v>786</v>
      </c>
      <c r="F240" s="5" t="s">
        <v>2229</v>
      </c>
      <c r="G240" s="5" t="s">
        <v>2229</v>
      </c>
      <c r="H240" s="16" t="s">
        <v>1092</v>
      </c>
      <c r="I240" s="12" t="s">
        <v>1042</v>
      </c>
      <c r="J240" s="5" t="s">
        <v>71</v>
      </c>
      <c r="K240" s="5"/>
      <c r="L240" s="26">
        <v>39234</v>
      </c>
      <c r="M240" s="26" t="str">
        <f t="shared" ca="1" si="22"/>
        <v>19 tahun 2 bulan</v>
      </c>
      <c r="N240" s="5" t="s">
        <v>31</v>
      </c>
      <c r="O240" s="26">
        <v>30683</v>
      </c>
      <c r="P240" s="26" t="str">
        <f t="shared" ca="1" si="19"/>
        <v>42 tahun</v>
      </c>
      <c r="Q240" s="5" t="s">
        <v>158</v>
      </c>
      <c r="R240" s="35">
        <v>4955000</v>
      </c>
      <c r="S240" s="25" t="s">
        <v>1216</v>
      </c>
      <c r="T240" s="5" t="s">
        <v>1217</v>
      </c>
      <c r="U240" s="5" t="s">
        <v>35</v>
      </c>
      <c r="V240" s="25" t="s">
        <v>1218</v>
      </c>
      <c r="W240" s="25" t="s">
        <v>1219</v>
      </c>
      <c r="X240" s="5"/>
      <c r="Y240" s="25"/>
      <c r="Z240" s="5"/>
      <c r="AA240" s="9" t="s">
        <v>41</v>
      </c>
      <c r="AB240" s="6"/>
      <c r="AC240" s="43"/>
      <c r="AD240" s="43"/>
    </row>
    <row r="241" spans="1:28">
      <c r="A241" s="5">
        <f>IF(AA241="aktif",MAX($A$1:A240)+1,"")</f>
        <v>202</v>
      </c>
      <c r="B241" s="25" t="s">
        <v>1220</v>
      </c>
      <c r="C241" s="15" t="s">
        <v>1221</v>
      </c>
      <c r="D241" s="139" t="s">
        <v>937</v>
      </c>
      <c r="E241" s="18" t="s">
        <v>786</v>
      </c>
      <c r="F241" s="5" t="s">
        <v>2229</v>
      </c>
      <c r="G241" s="5" t="s">
        <v>2229</v>
      </c>
      <c r="H241" s="16" t="s">
        <v>1092</v>
      </c>
      <c r="I241" s="12" t="s">
        <v>1049</v>
      </c>
      <c r="J241" s="5" t="s">
        <v>71</v>
      </c>
      <c r="K241" s="5"/>
      <c r="L241" s="26">
        <v>41061</v>
      </c>
      <c r="M241" s="26" t="str">
        <f t="shared" ca="1" si="22"/>
        <v>14 tahun 2 bulan</v>
      </c>
      <c r="N241" s="5" t="s">
        <v>31</v>
      </c>
      <c r="O241" s="26">
        <v>33157</v>
      </c>
      <c r="P241" s="26" t="str">
        <f t="shared" ca="1" si="19"/>
        <v>35 tahun</v>
      </c>
      <c r="Q241" s="5" t="s">
        <v>46</v>
      </c>
      <c r="R241" s="35">
        <v>5200000</v>
      </c>
      <c r="S241" s="25" t="s">
        <v>1222</v>
      </c>
      <c r="T241" s="5" t="s">
        <v>1223</v>
      </c>
      <c r="U241" s="5" t="s">
        <v>35</v>
      </c>
      <c r="V241" s="25" t="s">
        <v>1224</v>
      </c>
      <c r="W241" s="25" t="s">
        <v>1225</v>
      </c>
      <c r="X241" s="5"/>
      <c r="Y241" s="25"/>
      <c r="Z241" s="5"/>
      <c r="AA241" s="9" t="s">
        <v>41</v>
      </c>
      <c r="AB241" s="6"/>
    </row>
    <row r="242" spans="1:28">
      <c r="A242" s="5">
        <f>IF(AA242="aktif",MAX($A$1:A241)+1,"")</f>
        <v>203</v>
      </c>
      <c r="B242" s="25"/>
      <c r="C242" s="15" t="s">
        <v>1226</v>
      </c>
      <c r="D242" s="139" t="s">
        <v>937</v>
      </c>
      <c r="E242" s="12" t="s">
        <v>786</v>
      </c>
      <c r="F242" s="5" t="s">
        <v>2229</v>
      </c>
      <c r="G242" s="5" t="s">
        <v>2229</v>
      </c>
      <c r="H242" s="22" t="s">
        <v>1110</v>
      </c>
      <c r="I242" s="12" t="s">
        <v>1042</v>
      </c>
      <c r="J242" s="5" t="s">
        <v>71</v>
      </c>
      <c r="K242" s="5"/>
      <c r="L242" s="26">
        <v>38504</v>
      </c>
      <c r="M242" s="26" t="str">
        <f t="shared" ca="1" si="22"/>
        <v>21 tahun 2 bulan</v>
      </c>
      <c r="N242" s="5" t="s">
        <v>31</v>
      </c>
      <c r="O242" s="26">
        <v>33134</v>
      </c>
      <c r="P242" s="26" t="str">
        <f t="shared" ca="1" si="19"/>
        <v>35 tahun</v>
      </c>
      <c r="Q242" s="5" t="s">
        <v>32</v>
      </c>
      <c r="R242" s="35">
        <v>3700000</v>
      </c>
      <c r="S242" s="25" t="s">
        <v>1227</v>
      </c>
      <c r="T242" s="5" t="s">
        <v>1228</v>
      </c>
      <c r="U242" s="5" t="s">
        <v>35</v>
      </c>
      <c r="V242" s="25" t="s">
        <v>1229</v>
      </c>
      <c r="W242" s="25" t="s">
        <v>1230</v>
      </c>
      <c r="X242" s="5"/>
      <c r="Y242" s="25"/>
      <c r="Z242" s="5"/>
      <c r="AA242" s="9" t="s">
        <v>41</v>
      </c>
      <c r="AB242" s="6"/>
    </row>
    <row r="243" spans="1:28">
      <c r="A243" s="5">
        <f>IF(AA243="aktif",MAX($A$1:A242)+1,"")</f>
        <v>204</v>
      </c>
      <c r="B243" s="25" t="s">
        <v>1231</v>
      </c>
      <c r="C243" s="15" t="s">
        <v>1232</v>
      </c>
      <c r="D243" s="139" t="s">
        <v>937</v>
      </c>
      <c r="E243" s="18" t="s">
        <v>786</v>
      </c>
      <c r="F243" s="5" t="s">
        <v>2229</v>
      </c>
      <c r="G243" s="5" t="s">
        <v>2229</v>
      </c>
      <c r="H243" s="16" t="s">
        <v>1110</v>
      </c>
      <c r="I243" s="12" t="s">
        <v>1049</v>
      </c>
      <c r="J243" s="5" t="s">
        <v>71</v>
      </c>
      <c r="K243" s="5"/>
      <c r="L243" s="26">
        <v>41791</v>
      </c>
      <c r="M243" s="26" t="str">
        <f t="shared" ca="1" si="22"/>
        <v>12 tahun 2 bulan</v>
      </c>
      <c r="N243" s="5" t="s">
        <v>31</v>
      </c>
      <c r="O243" s="26">
        <v>32452</v>
      </c>
      <c r="P243" s="26" t="str">
        <f t="shared" ca="1" si="19"/>
        <v>37 tahun</v>
      </c>
      <c r="Q243" s="5" t="s">
        <v>46</v>
      </c>
      <c r="R243" s="35">
        <v>5200000</v>
      </c>
      <c r="S243" s="25" t="s">
        <v>1233</v>
      </c>
      <c r="T243" s="5" t="s">
        <v>1234</v>
      </c>
      <c r="U243" s="5" t="s">
        <v>35</v>
      </c>
      <c r="V243" s="25" t="s">
        <v>1235</v>
      </c>
      <c r="W243" s="25" t="s">
        <v>1236</v>
      </c>
      <c r="X243" s="5"/>
      <c r="Y243" s="25"/>
      <c r="Z243" s="5"/>
      <c r="AA243" s="9" t="s">
        <v>41</v>
      </c>
      <c r="AB243" s="6"/>
    </row>
    <row r="244" spans="1:28">
      <c r="A244" s="5">
        <f>IF(AA244="aktif",MAX($A$1:A243)+1,"")</f>
        <v>205</v>
      </c>
      <c r="B244" s="25" t="s">
        <v>1237</v>
      </c>
      <c r="C244" s="15" t="s">
        <v>1238</v>
      </c>
      <c r="D244" s="139" t="s">
        <v>937</v>
      </c>
      <c r="E244" s="18" t="s">
        <v>786</v>
      </c>
      <c r="F244" s="5" t="s">
        <v>2229</v>
      </c>
      <c r="G244" s="5" t="s">
        <v>2229</v>
      </c>
      <c r="H244" s="16" t="s">
        <v>1127</v>
      </c>
      <c r="I244" s="12" t="s">
        <v>1034</v>
      </c>
      <c r="J244" s="5" t="s">
        <v>71</v>
      </c>
      <c r="K244" s="5"/>
      <c r="L244" s="26">
        <v>42887</v>
      </c>
      <c r="M244" s="26" t="str">
        <f t="shared" ca="1" si="22"/>
        <v>9 tahun 2 bulan</v>
      </c>
      <c r="N244" s="5" t="s">
        <v>31</v>
      </c>
      <c r="O244" s="26">
        <v>35741</v>
      </c>
      <c r="P244" s="26" t="str">
        <f t="shared" ca="1" si="19"/>
        <v>28 tahun</v>
      </c>
      <c r="Q244" s="5" t="s">
        <v>46</v>
      </c>
      <c r="R244" s="35">
        <v>4272000</v>
      </c>
      <c r="S244" s="25" t="s">
        <v>1239</v>
      </c>
      <c r="T244" s="5" t="s">
        <v>1240</v>
      </c>
      <c r="U244" s="5" t="s">
        <v>35</v>
      </c>
      <c r="V244" s="25" t="s">
        <v>1241</v>
      </c>
      <c r="W244" s="25" t="s">
        <v>1242</v>
      </c>
      <c r="X244" s="5"/>
      <c r="Y244" s="25"/>
      <c r="Z244" s="5"/>
      <c r="AA244" s="9" t="s">
        <v>41</v>
      </c>
      <c r="AB244" s="6"/>
    </row>
    <row r="245" spans="1:28">
      <c r="A245" s="5">
        <f>IF(AA245="aktif",MAX($A$1:A244)+1,"")</f>
        <v>206</v>
      </c>
      <c r="B245" s="25"/>
      <c r="C245" s="15" t="s">
        <v>2230</v>
      </c>
      <c r="D245" s="139" t="s">
        <v>937</v>
      </c>
      <c r="E245" s="12" t="s">
        <v>786</v>
      </c>
      <c r="F245" s="5" t="s">
        <v>2229</v>
      </c>
      <c r="G245" s="5" t="s">
        <v>2229</v>
      </c>
      <c r="H245" s="22" t="s">
        <v>1127</v>
      </c>
      <c r="I245" s="12" t="s">
        <v>1042</v>
      </c>
      <c r="J245" s="5" t="s">
        <v>71</v>
      </c>
      <c r="K245" s="5"/>
      <c r="L245" s="26">
        <v>45826</v>
      </c>
      <c r="M245" s="26" t="str">
        <f t="shared" ca="1" si="22"/>
        <v>1 tahun 1 bulan</v>
      </c>
      <c r="N245" s="5" t="s">
        <v>31</v>
      </c>
      <c r="O245" s="26">
        <v>33156</v>
      </c>
      <c r="P245" s="26" t="str">
        <f t="shared" ca="1" si="19"/>
        <v>35 tahun</v>
      </c>
      <c r="Q245" s="5" t="s">
        <v>32</v>
      </c>
      <c r="R245" s="35"/>
      <c r="S245" s="3" t="s">
        <v>1243</v>
      </c>
      <c r="T245" s="5" t="s">
        <v>1244</v>
      </c>
      <c r="U245" s="5" t="s">
        <v>217</v>
      </c>
      <c r="V245" s="6"/>
      <c r="W245" s="6"/>
      <c r="X245" s="6"/>
      <c r="Y245" s="6"/>
      <c r="Z245" s="6"/>
      <c r="AA245" s="9" t="s">
        <v>41</v>
      </c>
      <c r="AB245" s="6"/>
    </row>
    <row r="246" spans="1:28">
      <c r="A246" s="5">
        <f>IF(AA246="aktif",MAX($A$1:A245)+1,"")</f>
        <v>207</v>
      </c>
      <c r="B246" s="25" t="s">
        <v>1245</v>
      </c>
      <c r="C246" s="15" t="s">
        <v>1246</v>
      </c>
      <c r="D246" s="139" t="s">
        <v>937</v>
      </c>
      <c r="E246" s="18" t="s">
        <v>786</v>
      </c>
      <c r="F246" s="5" t="s">
        <v>2229</v>
      </c>
      <c r="G246" s="5" t="s">
        <v>2229</v>
      </c>
      <c r="H246" s="16" t="s">
        <v>1127</v>
      </c>
      <c r="I246" s="12" t="s">
        <v>1049</v>
      </c>
      <c r="J246" s="5" t="s">
        <v>71</v>
      </c>
      <c r="K246" s="5"/>
      <c r="L246" s="26">
        <v>43445</v>
      </c>
      <c r="M246" s="26" t="str">
        <f t="shared" ca="1" si="22"/>
        <v>7 tahun 7 bulan</v>
      </c>
      <c r="N246" s="5" t="s">
        <v>31</v>
      </c>
      <c r="O246" s="26">
        <v>36430</v>
      </c>
      <c r="P246" s="26" t="str">
        <f t="shared" ca="1" si="19"/>
        <v>26 tahun</v>
      </c>
      <c r="Q246" s="5" t="s">
        <v>46</v>
      </c>
      <c r="R246" s="35">
        <v>5200000</v>
      </c>
      <c r="S246" s="25" t="s">
        <v>1247</v>
      </c>
      <c r="T246" s="5" t="s">
        <v>1248</v>
      </c>
      <c r="U246" s="5" t="s">
        <v>165</v>
      </c>
      <c r="V246" s="25" t="s">
        <v>1249</v>
      </c>
      <c r="W246" s="25" t="s">
        <v>1250</v>
      </c>
      <c r="X246" s="5"/>
      <c r="Y246" s="25"/>
      <c r="Z246" s="5"/>
      <c r="AA246" s="9" t="s">
        <v>41</v>
      </c>
      <c r="AB246" s="6"/>
    </row>
    <row r="247" spans="1:28">
      <c r="A247" s="5">
        <f>IF(AA247="aktif",MAX($A$1:A246)+1,"")</f>
        <v>208</v>
      </c>
      <c r="B247" s="25"/>
      <c r="C247" s="15" t="s">
        <v>1251</v>
      </c>
      <c r="D247" s="139" t="s">
        <v>937</v>
      </c>
      <c r="E247" s="18" t="s">
        <v>786</v>
      </c>
      <c r="F247" s="5" t="s">
        <v>2229</v>
      </c>
      <c r="G247" s="5" t="s">
        <v>2229</v>
      </c>
      <c r="H247" s="16" t="s">
        <v>1145</v>
      </c>
      <c r="I247" s="12" t="s">
        <v>1034</v>
      </c>
      <c r="J247" s="5" t="s">
        <v>71</v>
      </c>
      <c r="K247" s="5"/>
      <c r="L247" s="26">
        <v>41852</v>
      </c>
      <c r="M247" s="26" t="str">
        <f t="shared" ca="1" si="22"/>
        <v>12 tahun 0 bulan</v>
      </c>
      <c r="N247" s="5" t="s">
        <v>31</v>
      </c>
      <c r="O247" s="26">
        <v>35666</v>
      </c>
      <c r="P247" s="26" t="str">
        <f t="shared" ca="1" si="19"/>
        <v>28 tahun</v>
      </c>
      <c r="Q247" s="5" t="s">
        <v>46</v>
      </c>
      <c r="R247" s="35">
        <v>4270000</v>
      </c>
      <c r="S247" s="25" t="s">
        <v>1252</v>
      </c>
      <c r="T247" s="5" t="s">
        <v>1253</v>
      </c>
      <c r="U247" s="5" t="s">
        <v>165</v>
      </c>
      <c r="V247" s="25" t="s">
        <v>1254</v>
      </c>
      <c r="W247" s="25" t="s">
        <v>1255</v>
      </c>
      <c r="X247" s="5"/>
      <c r="Y247" s="25"/>
      <c r="Z247" s="5"/>
      <c r="AA247" s="9" t="s">
        <v>41</v>
      </c>
      <c r="AB247" s="6"/>
    </row>
    <row r="248" spans="1:28">
      <c r="A248" s="5">
        <f>IF(AA248="aktif",MAX($A$1:A247)+1,"")</f>
        <v>209</v>
      </c>
      <c r="B248" s="25"/>
      <c r="C248" s="15" t="s">
        <v>1256</v>
      </c>
      <c r="D248" s="139" t="s">
        <v>937</v>
      </c>
      <c r="E248" s="18" t="s">
        <v>786</v>
      </c>
      <c r="F248" s="5" t="s">
        <v>2229</v>
      </c>
      <c r="G248" s="5" t="s">
        <v>2229</v>
      </c>
      <c r="H248" s="16" t="s">
        <v>1145</v>
      </c>
      <c r="I248" s="12" t="s">
        <v>1042</v>
      </c>
      <c r="J248" s="5" t="s">
        <v>71</v>
      </c>
      <c r="K248" s="5"/>
      <c r="L248" s="26">
        <v>39234</v>
      </c>
      <c r="M248" s="26" t="str">
        <f t="shared" ca="1" si="22"/>
        <v>19 tahun 2 bulan</v>
      </c>
      <c r="N248" s="5" t="s">
        <v>31</v>
      </c>
      <c r="O248" s="26">
        <v>31880</v>
      </c>
      <c r="P248" s="26" t="str">
        <f t="shared" ca="1" si="19"/>
        <v>39 tahun</v>
      </c>
      <c r="Q248" s="5" t="s">
        <v>46</v>
      </c>
      <c r="R248" s="35">
        <v>4278000</v>
      </c>
      <c r="S248" s="25" t="s">
        <v>1257</v>
      </c>
      <c r="T248" s="5" t="s">
        <v>617</v>
      </c>
      <c r="U248" s="5" t="s">
        <v>35</v>
      </c>
      <c r="V248" s="25" t="s">
        <v>1258</v>
      </c>
      <c r="W248" s="25" t="s">
        <v>1259</v>
      </c>
      <c r="X248" s="5"/>
      <c r="Y248" s="25"/>
      <c r="Z248" s="5"/>
      <c r="AA248" s="9" t="s">
        <v>41</v>
      </c>
      <c r="AB248" s="6"/>
    </row>
    <row r="249" spans="1:28">
      <c r="A249" s="5">
        <f>IF(AA249="aktif",MAX($A$1:A248)+1,"")</f>
        <v>210</v>
      </c>
      <c r="B249" s="25"/>
      <c r="C249" s="15" t="s">
        <v>1260</v>
      </c>
      <c r="D249" s="139" t="s">
        <v>937</v>
      </c>
      <c r="E249" s="18" t="s">
        <v>786</v>
      </c>
      <c r="F249" s="5" t="s">
        <v>2229</v>
      </c>
      <c r="G249" s="5" t="s">
        <v>2229</v>
      </c>
      <c r="H249" s="16" t="s">
        <v>1145</v>
      </c>
      <c r="I249" s="12" t="s">
        <v>1049</v>
      </c>
      <c r="J249" s="5" t="s">
        <v>71</v>
      </c>
      <c r="K249" s="5"/>
      <c r="L249" s="26">
        <v>38869</v>
      </c>
      <c r="M249" s="26" t="str">
        <f t="shared" ca="1" si="22"/>
        <v>20 tahun 2 bulan</v>
      </c>
      <c r="N249" s="5" t="s">
        <v>31</v>
      </c>
      <c r="O249" s="26">
        <v>27720</v>
      </c>
      <c r="P249" s="26" t="str">
        <f t="shared" ca="1" si="19"/>
        <v>50 tahun</v>
      </c>
      <c r="Q249" s="5" t="s">
        <v>46</v>
      </c>
      <c r="R249" s="35">
        <v>4200000</v>
      </c>
      <c r="S249" s="25" t="s">
        <v>1261</v>
      </c>
      <c r="T249" s="5" t="s">
        <v>808</v>
      </c>
      <c r="U249" s="5" t="s">
        <v>35</v>
      </c>
      <c r="V249" s="25" t="s">
        <v>1262</v>
      </c>
      <c r="W249" s="25" t="s">
        <v>1263</v>
      </c>
      <c r="X249" s="5"/>
      <c r="Y249" s="25"/>
      <c r="Z249" s="5"/>
      <c r="AA249" s="9" t="s">
        <v>41</v>
      </c>
      <c r="AB249" s="6"/>
    </row>
    <row r="250" spans="1:28">
      <c r="A250" s="5">
        <f>IF(AA250="aktif",MAX($A$1:A249)+1,"")</f>
        <v>211</v>
      </c>
      <c r="B250" s="25"/>
      <c r="C250" s="15" t="s">
        <v>1264</v>
      </c>
      <c r="D250" s="139" t="s">
        <v>115</v>
      </c>
      <c r="E250" s="18" t="s">
        <v>786</v>
      </c>
      <c r="F250" s="5" t="s">
        <v>2229</v>
      </c>
      <c r="G250" s="5" t="s">
        <v>2229</v>
      </c>
      <c r="H250" s="16" t="s">
        <v>1026</v>
      </c>
      <c r="I250" s="12"/>
      <c r="J250" s="5" t="s">
        <v>129</v>
      </c>
      <c r="K250" s="5"/>
      <c r="L250" s="26"/>
      <c r="M250" s="26"/>
      <c r="N250" s="5" t="s">
        <v>31</v>
      </c>
      <c r="O250" s="26"/>
      <c r="P250" s="26"/>
      <c r="Q250" s="5"/>
      <c r="R250" s="35"/>
      <c r="S250" s="25"/>
      <c r="V250" s="25"/>
      <c r="W250" s="25"/>
      <c r="X250" s="5"/>
      <c r="Y250" s="25"/>
      <c r="Z250" s="5"/>
      <c r="AA250" s="9" t="s">
        <v>41</v>
      </c>
      <c r="AB250" s="6"/>
    </row>
    <row r="251" spans="1:28">
      <c r="A251" s="5">
        <f>IF(AA251="aktif",MAX($A$1:A250)+1,"")</f>
        <v>212</v>
      </c>
      <c r="B251" s="25"/>
      <c r="C251" s="15" t="s">
        <v>1265</v>
      </c>
      <c r="D251" s="139" t="s">
        <v>115</v>
      </c>
      <c r="E251" s="18" t="s">
        <v>786</v>
      </c>
      <c r="F251" s="5" t="s">
        <v>2229</v>
      </c>
      <c r="G251" s="5" t="s">
        <v>2229</v>
      </c>
      <c r="H251" s="16" t="s">
        <v>1033</v>
      </c>
      <c r="I251" s="12" t="s">
        <v>1034</v>
      </c>
      <c r="J251" s="5" t="s">
        <v>129</v>
      </c>
      <c r="K251" s="5"/>
      <c r="L251" s="26">
        <v>45503</v>
      </c>
      <c r="M251" s="26" t="str">
        <f ca="1">IF(L251="","",DATEDIF(L251,TODAY(),"Y") &amp;" tahun " &amp; DATEDIF(L251,TODAY(),"YM")&amp;" bulan")</f>
        <v>2 tahun 0 bulan</v>
      </c>
      <c r="N251" s="5" t="s">
        <v>31</v>
      </c>
      <c r="O251" s="26">
        <v>33514</v>
      </c>
      <c r="P251" s="26" t="str">
        <f t="shared" ref="P251:P306" ca="1" si="24">IF(O251="","",DATEDIF(O251,TODAY(),"Y")&amp;" tahun")</f>
        <v>34 tahun</v>
      </c>
      <c r="Q251" s="5" t="s">
        <v>46</v>
      </c>
      <c r="R251" s="35">
        <v>2000000</v>
      </c>
      <c r="S251" s="25" t="s">
        <v>1266</v>
      </c>
      <c r="T251" s="5" t="s">
        <v>628</v>
      </c>
      <c r="U251" s="5" t="s">
        <v>35</v>
      </c>
      <c r="V251" s="25" t="s">
        <v>1267</v>
      </c>
      <c r="W251" s="25" t="s">
        <v>1268</v>
      </c>
      <c r="X251" s="5"/>
      <c r="Y251" s="25"/>
      <c r="Z251" s="5"/>
      <c r="AA251" s="9" t="s">
        <v>41</v>
      </c>
      <c r="AB251" s="6"/>
    </row>
    <row r="252" spans="1:28">
      <c r="A252" s="5">
        <f>IF(AA252="aktif",MAX($A$1:A251)+1,"")</f>
        <v>213</v>
      </c>
      <c r="B252" s="25"/>
      <c r="C252" s="15" t="s">
        <v>1269</v>
      </c>
      <c r="D252" s="139" t="s">
        <v>115</v>
      </c>
      <c r="E252" s="18" t="s">
        <v>786</v>
      </c>
      <c r="F252" s="5" t="s">
        <v>2229</v>
      </c>
      <c r="G252" s="5" t="s">
        <v>2229</v>
      </c>
      <c r="H252" s="16" t="s">
        <v>1033</v>
      </c>
      <c r="I252" s="12" t="s">
        <v>1034</v>
      </c>
      <c r="J252" s="5" t="s">
        <v>129</v>
      </c>
      <c r="K252" s="5"/>
      <c r="L252" s="26">
        <v>41791</v>
      </c>
      <c r="M252" s="26" t="str">
        <f ca="1">IF(L252="","",DATEDIF(L252,TODAY(),"Y") &amp;" tahun " &amp; DATEDIF(L252,TODAY(),"YM")&amp;" bulan")</f>
        <v>12 tahun 2 bulan</v>
      </c>
      <c r="N252" s="5" t="s">
        <v>31</v>
      </c>
      <c r="O252" s="26">
        <v>35148</v>
      </c>
      <c r="P252" s="26" t="str">
        <f t="shared" ca="1" si="24"/>
        <v>30 tahun</v>
      </c>
      <c r="Q252" s="5" t="s">
        <v>46</v>
      </c>
      <c r="R252" s="35">
        <v>4856026</v>
      </c>
      <c r="S252" s="25" t="s">
        <v>1270</v>
      </c>
      <c r="T252" s="5" t="s">
        <v>1271</v>
      </c>
      <c r="U252" s="5" t="s">
        <v>165</v>
      </c>
      <c r="V252" s="25" t="s">
        <v>1272</v>
      </c>
      <c r="W252" s="25" t="s">
        <v>1273</v>
      </c>
      <c r="X252" s="5"/>
      <c r="Y252" s="25"/>
      <c r="Z252" s="5"/>
      <c r="AA252" s="9" t="s">
        <v>41</v>
      </c>
      <c r="AB252" s="6"/>
    </row>
    <row r="253" spans="1:28">
      <c r="A253" s="5">
        <f>IF(AA253="aktif",MAX($A$1:A252)+1,"")</f>
        <v>214</v>
      </c>
      <c r="B253" s="25"/>
      <c r="C253" s="15" t="s">
        <v>1274</v>
      </c>
      <c r="D253" s="139" t="s">
        <v>115</v>
      </c>
      <c r="E253" s="18" t="s">
        <v>786</v>
      </c>
      <c r="F253" s="5" t="s">
        <v>2229</v>
      </c>
      <c r="G253" s="5" t="s">
        <v>2229</v>
      </c>
      <c r="H253" s="16" t="s">
        <v>1033</v>
      </c>
      <c r="I253" s="12" t="s">
        <v>1042</v>
      </c>
      <c r="J253" s="5" t="s">
        <v>129</v>
      </c>
      <c r="K253" s="5"/>
      <c r="L253" s="26">
        <v>45139</v>
      </c>
      <c r="M253" s="26" t="str">
        <f ca="1">IF(L253="","",DATEDIF(L253,TODAY(),"Y") &amp;" tahun " &amp; DATEDIF(L253,TODAY(),"YM")&amp;" bulan")</f>
        <v>3 tahun 0 bulan</v>
      </c>
      <c r="N253" s="5" t="s">
        <v>31</v>
      </c>
      <c r="O253" s="26">
        <v>38551</v>
      </c>
      <c r="P253" s="26" t="str">
        <f t="shared" ca="1" si="24"/>
        <v>21 tahun</v>
      </c>
      <c r="Q253" s="5" t="s">
        <v>46</v>
      </c>
      <c r="R253" s="35">
        <v>2200000</v>
      </c>
      <c r="S253" s="25" t="s">
        <v>1275</v>
      </c>
      <c r="T253" s="5" t="s">
        <v>974</v>
      </c>
      <c r="U253" s="5" t="s">
        <v>165</v>
      </c>
      <c r="V253" s="25" t="s">
        <v>1276</v>
      </c>
      <c r="W253" s="25" t="s">
        <v>1277</v>
      </c>
      <c r="X253" s="5"/>
      <c r="Y253" s="25"/>
      <c r="Z253" s="5"/>
      <c r="AA253" s="9" t="s">
        <v>41</v>
      </c>
      <c r="AB253" s="6"/>
    </row>
    <row r="254" spans="1:28">
      <c r="A254" s="5">
        <f>IF(AA254="aktif",MAX($A$1:A253)+1,"")</f>
        <v>215</v>
      </c>
      <c r="B254" s="25"/>
      <c r="C254" s="15" t="s">
        <v>1278</v>
      </c>
      <c r="D254" s="139" t="s">
        <v>115</v>
      </c>
      <c r="E254" s="18" t="s">
        <v>786</v>
      </c>
      <c r="F254" s="5" t="s">
        <v>2229</v>
      </c>
      <c r="G254" s="5" t="s">
        <v>2229</v>
      </c>
      <c r="H254" s="16" t="s">
        <v>1033</v>
      </c>
      <c r="I254" s="18" t="s">
        <v>1042</v>
      </c>
      <c r="J254" s="5" t="s">
        <v>129</v>
      </c>
      <c r="K254" s="5"/>
      <c r="L254" s="26">
        <v>45880</v>
      </c>
      <c r="M254" s="26" t="str">
        <f ca="1">DATEDIF(L254,TODAY(),"Y") &amp;" tahun " &amp; DATEDIF(L254,TODAY(),"YM")&amp;" bulan"</f>
        <v>0 tahun 11 bulan</v>
      </c>
      <c r="N254" s="5" t="s">
        <v>31</v>
      </c>
      <c r="O254" s="26">
        <v>39303</v>
      </c>
      <c r="P254" s="26" t="str">
        <f t="shared" ca="1" si="24"/>
        <v>19 tahun</v>
      </c>
      <c r="Q254" s="5" t="s">
        <v>46</v>
      </c>
      <c r="R254" s="9"/>
      <c r="S254" s="27" t="s">
        <v>1279</v>
      </c>
      <c r="T254" s="5" t="s">
        <v>1280</v>
      </c>
      <c r="U254" s="5" t="s">
        <v>81</v>
      </c>
      <c r="V254" s="27" t="s">
        <v>1281</v>
      </c>
      <c r="W254" s="27" t="s">
        <v>1282</v>
      </c>
      <c r="X254" s="9"/>
      <c r="Y254" s="27"/>
      <c r="Z254" s="9"/>
      <c r="AA254" s="9" t="s">
        <v>41</v>
      </c>
      <c r="AB254" s="6"/>
    </row>
    <row r="255" spans="1:28">
      <c r="A255" s="5">
        <f>IF(AA255="aktif",MAX($A$1:A254)+1,"")</f>
        <v>216</v>
      </c>
      <c r="B255" s="25"/>
      <c r="C255" s="15" t="s">
        <v>1283</v>
      </c>
      <c r="D255" s="139" t="s">
        <v>115</v>
      </c>
      <c r="E255" s="18" t="s">
        <v>786</v>
      </c>
      <c r="F255" s="5" t="s">
        <v>2229</v>
      </c>
      <c r="G255" s="5" t="s">
        <v>2229</v>
      </c>
      <c r="H255" s="16" t="s">
        <v>1033</v>
      </c>
      <c r="I255" s="12" t="s">
        <v>1049</v>
      </c>
      <c r="J255" s="5" t="s">
        <v>129</v>
      </c>
      <c r="K255" s="5"/>
      <c r="L255" s="26">
        <v>40330</v>
      </c>
      <c r="M255" s="26" t="str">
        <f t="shared" ref="M255:M265" ca="1" si="25">IF(L255="","",DATEDIF(L255,TODAY(),"Y") &amp;" tahun " &amp; DATEDIF(L255,TODAY(),"YM")&amp;" bulan")</f>
        <v>16 tahun 2 bulan</v>
      </c>
      <c r="N255" s="5" t="s">
        <v>31</v>
      </c>
      <c r="O255" s="26">
        <v>32611</v>
      </c>
      <c r="P255" s="26" t="str">
        <f t="shared" ca="1" si="24"/>
        <v>37 tahun</v>
      </c>
      <c r="Q255" s="5" t="s">
        <v>32</v>
      </c>
      <c r="R255" s="35">
        <v>3300000</v>
      </c>
      <c r="S255" s="25" t="s">
        <v>1284</v>
      </c>
      <c r="T255" s="5" t="s">
        <v>1094</v>
      </c>
      <c r="U255" s="5" t="s">
        <v>35</v>
      </c>
      <c r="V255" s="25" t="s">
        <v>1285</v>
      </c>
      <c r="W255" s="25" t="s">
        <v>1286</v>
      </c>
      <c r="X255" s="5"/>
      <c r="Y255" s="25"/>
      <c r="Z255" s="5"/>
      <c r="AA255" s="9" t="s">
        <v>41</v>
      </c>
      <c r="AB255" s="6"/>
    </row>
    <row r="256" spans="1:28">
      <c r="A256" s="5">
        <f>IF(AA256="aktif",MAX($A$1:A255)+1,"")</f>
        <v>217</v>
      </c>
      <c r="B256" s="25"/>
      <c r="C256" s="15" t="s">
        <v>991</v>
      </c>
      <c r="D256" s="139" t="s">
        <v>115</v>
      </c>
      <c r="E256" s="18" t="s">
        <v>786</v>
      </c>
      <c r="F256" s="5" t="s">
        <v>2229</v>
      </c>
      <c r="G256" s="5" t="s">
        <v>2229</v>
      </c>
      <c r="H256" s="16" t="s">
        <v>1033</v>
      </c>
      <c r="I256" s="12" t="s">
        <v>1049</v>
      </c>
      <c r="J256" s="5" t="s">
        <v>129</v>
      </c>
      <c r="K256" s="5"/>
      <c r="L256" s="26">
        <v>42826</v>
      </c>
      <c r="M256" s="26" t="str">
        <f t="shared" ca="1" si="25"/>
        <v>9 tahun 4 bulan</v>
      </c>
      <c r="N256" s="5" t="s">
        <v>31</v>
      </c>
      <c r="O256" s="26">
        <v>29601</v>
      </c>
      <c r="P256" s="26" t="str">
        <f t="shared" ca="1" si="24"/>
        <v>45 tahun</v>
      </c>
      <c r="Q256" s="5" t="s">
        <v>46</v>
      </c>
      <c r="R256" s="35">
        <v>3000000</v>
      </c>
      <c r="S256" s="25" t="s">
        <v>992</v>
      </c>
      <c r="T256" s="5" t="s">
        <v>993</v>
      </c>
      <c r="U256" s="5" t="s">
        <v>165</v>
      </c>
      <c r="V256" s="25"/>
      <c r="W256" s="25"/>
      <c r="X256" s="5"/>
      <c r="Y256" s="25"/>
      <c r="Z256" s="5"/>
      <c r="AA256" s="9" t="s">
        <v>41</v>
      </c>
      <c r="AB256" s="6"/>
    </row>
    <row r="257" spans="1:28">
      <c r="A257" s="5">
        <f>IF(AA257="aktif",MAX($A$1:A256)+1,"")</f>
        <v>218</v>
      </c>
      <c r="B257" s="25"/>
      <c r="C257" s="15" t="s">
        <v>1288</v>
      </c>
      <c r="D257" s="139" t="s">
        <v>115</v>
      </c>
      <c r="E257" s="18" t="s">
        <v>786</v>
      </c>
      <c r="F257" s="5" t="s">
        <v>2229</v>
      </c>
      <c r="G257" s="5" t="s">
        <v>2229</v>
      </c>
      <c r="H257" s="16" t="s">
        <v>1061</v>
      </c>
      <c r="I257" s="12" t="s">
        <v>1034</v>
      </c>
      <c r="J257" s="5" t="s">
        <v>129</v>
      </c>
      <c r="K257" s="5"/>
      <c r="L257" s="26">
        <v>41061</v>
      </c>
      <c r="M257" s="26" t="str">
        <f t="shared" ca="1" si="25"/>
        <v>14 tahun 2 bulan</v>
      </c>
      <c r="N257" s="5" t="s">
        <v>31</v>
      </c>
      <c r="O257" s="26">
        <v>33768</v>
      </c>
      <c r="P257" s="26" t="str">
        <f t="shared" ca="1" si="24"/>
        <v>34 tahun</v>
      </c>
      <c r="Q257" s="5" t="s">
        <v>46</v>
      </c>
      <c r="R257" s="35">
        <v>3600000</v>
      </c>
      <c r="S257" s="25" t="s">
        <v>1289</v>
      </c>
      <c r="T257" s="5" t="s">
        <v>1290</v>
      </c>
      <c r="U257" s="5" t="s">
        <v>35</v>
      </c>
      <c r="V257" s="25" t="s">
        <v>1291</v>
      </c>
      <c r="W257" s="25" t="s">
        <v>1292</v>
      </c>
      <c r="X257" s="5"/>
      <c r="Y257" s="25"/>
      <c r="Z257" s="5"/>
      <c r="AA257" s="9" t="s">
        <v>41</v>
      </c>
      <c r="AB257" s="6"/>
    </row>
    <row r="258" spans="1:28">
      <c r="A258" s="5">
        <f>IF(AA258="aktif",MAX($A$1:A257)+1,"")</f>
        <v>219</v>
      </c>
      <c r="B258" s="25" t="s">
        <v>1293</v>
      </c>
      <c r="C258" s="15" t="s">
        <v>1294</v>
      </c>
      <c r="D258" s="139" t="s">
        <v>115</v>
      </c>
      <c r="E258" s="18" t="s">
        <v>786</v>
      </c>
      <c r="F258" s="5" t="s">
        <v>2229</v>
      </c>
      <c r="G258" s="5" t="s">
        <v>2229</v>
      </c>
      <c r="H258" s="16" t="s">
        <v>1061</v>
      </c>
      <c r="I258" s="12" t="s">
        <v>1034</v>
      </c>
      <c r="J258" s="5" t="s">
        <v>129</v>
      </c>
      <c r="K258" s="5"/>
      <c r="L258" s="26">
        <v>41426</v>
      </c>
      <c r="M258" s="26" t="str">
        <f t="shared" ca="1" si="25"/>
        <v>13 tahun 2 bulan</v>
      </c>
      <c r="N258" s="5" t="s">
        <v>31</v>
      </c>
      <c r="O258" s="26">
        <v>34427</v>
      </c>
      <c r="P258" s="26" t="str">
        <f t="shared" ca="1" si="24"/>
        <v>32 tahun</v>
      </c>
      <c r="Q258" s="5" t="s">
        <v>32</v>
      </c>
      <c r="R258" s="35">
        <v>4200000</v>
      </c>
      <c r="S258" s="25" t="s">
        <v>1295</v>
      </c>
      <c r="T258" s="5" t="s">
        <v>439</v>
      </c>
      <c r="U258" s="5" t="s">
        <v>165</v>
      </c>
      <c r="V258" s="25" t="s">
        <v>1296</v>
      </c>
      <c r="W258" s="25" t="s">
        <v>1297</v>
      </c>
      <c r="X258" s="5"/>
      <c r="Y258" s="25"/>
      <c r="Z258" s="5"/>
      <c r="AA258" s="9" t="s">
        <v>41</v>
      </c>
      <c r="AB258" s="6"/>
    </row>
    <row r="259" spans="1:28">
      <c r="A259" s="5">
        <f>IF(AA259="aktif",MAX($A$1:A258)+1,"")</f>
        <v>220</v>
      </c>
      <c r="B259" s="25"/>
      <c r="C259" s="15" t="s">
        <v>1298</v>
      </c>
      <c r="D259" s="139" t="s">
        <v>115</v>
      </c>
      <c r="E259" s="18" t="s">
        <v>786</v>
      </c>
      <c r="F259" s="5" t="s">
        <v>2229</v>
      </c>
      <c r="G259" s="5" t="s">
        <v>2229</v>
      </c>
      <c r="H259" s="16" t="s">
        <v>1061</v>
      </c>
      <c r="I259" s="12" t="s">
        <v>1042</v>
      </c>
      <c r="J259" s="5" t="s">
        <v>129</v>
      </c>
      <c r="K259" s="5"/>
      <c r="L259" s="26"/>
      <c r="M259" s="26" t="str">
        <f t="shared" ca="1" si="25"/>
        <v/>
      </c>
      <c r="N259" s="5" t="s">
        <v>31</v>
      </c>
      <c r="O259" s="26">
        <v>31241</v>
      </c>
      <c r="P259" s="26" t="str">
        <f t="shared" ca="1" si="24"/>
        <v>41 tahun</v>
      </c>
      <c r="Q259" s="5" t="s">
        <v>46</v>
      </c>
      <c r="R259" s="35">
        <v>3200000</v>
      </c>
      <c r="S259" s="25" t="s">
        <v>1299</v>
      </c>
      <c r="T259" s="5" t="s">
        <v>284</v>
      </c>
      <c r="U259" s="5" t="s">
        <v>35</v>
      </c>
      <c r="V259" s="25" t="s">
        <v>1300</v>
      </c>
      <c r="W259" s="25"/>
      <c r="X259" s="5"/>
      <c r="Y259" s="25"/>
      <c r="Z259" s="5"/>
      <c r="AA259" s="9" t="s">
        <v>41</v>
      </c>
      <c r="AB259" s="6"/>
    </row>
    <row r="260" spans="1:28">
      <c r="A260" s="5">
        <f>IF(AA260="aktif",MAX($A$1:A259)+1,"")</f>
        <v>221</v>
      </c>
      <c r="B260" s="25"/>
      <c r="C260" s="15" t="s">
        <v>1301</v>
      </c>
      <c r="D260" s="139" t="s">
        <v>115</v>
      </c>
      <c r="E260" s="18" t="s">
        <v>786</v>
      </c>
      <c r="F260" s="5" t="s">
        <v>2229</v>
      </c>
      <c r="G260" s="5" t="s">
        <v>2229</v>
      </c>
      <c r="H260" s="16" t="s">
        <v>1061</v>
      </c>
      <c r="I260" s="12" t="s">
        <v>1042</v>
      </c>
      <c r="J260" s="5" t="s">
        <v>129</v>
      </c>
      <c r="K260" s="5"/>
      <c r="L260" s="26">
        <v>42887</v>
      </c>
      <c r="M260" s="26" t="str">
        <f t="shared" ca="1" si="25"/>
        <v>9 tahun 2 bulan</v>
      </c>
      <c r="N260" s="5" t="s">
        <v>31</v>
      </c>
      <c r="O260" s="26">
        <v>30674</v>
      </c>
      <c r="P260" s="26" t="str">
        <f t="shared" ca="1" si="24"/>
        <v>42 tahun</v>
      </c>
      <c r="Q260" s="5" t="s">
        <v>46</v>
      </c>
      <c r="R260" s="35">
        <v>3100000</v>
      </c>
      <c r="S260" s="25" t="s">
        <v>1302</v>
      </c>
      <c r="T260" s="5" t="s">
        <v>974</v>
      </c>
      <c r="U260" s="5" t="s">
        <v>35</v>
      </c>
      <c r="V260" s="25" t="s">
        <v>1303</v>
      </c>
      <c r="W260" s="25" t="s">
        <v>1304</v>
      </c>
      <c r="X260" s="5"/>
      <c r="Y260" s="25"/>
      <c r="Z260" s="5"/>
      <c r="AA260" s="9" t="s">
        <v>41</v>
      </c>
      <c r="AB260" s="6"/>
    </row>
    <row r="261" spans="1:28">
      <c r="A261" s="5">
        <f>IF(AA261="aktif",MAX($A$1:A260)+1,"")</f>
        <v>222</v>
      </c>
      <c r="B261" s="25"/>
      <c r="C261" s="15" t="s">
        <v>1305</v>
      </c>
      <c r="D261" s="139" t="s">
        <v>115</v>
      </c>
      <c r="E261" s="18" t="s">
        <v>786</v>
      </c>
      <c r="F261" s="5" t="s">
        <v>2229</v>
      </c>
      <c r="G261" s="5" t="s">
        <v>2229</v>
      </c>
      <c r="H261" s="16" t="s">
        <v>1061</v>
      </c>
      <c r="I261" s="12" t="s">
        <v>1049</v>
      </c>
      <c r="J261" s="5" t="s">
        <v>129</v>
      </c>
      <c r="K261" s="5"/>
      <c r="L261" s="26">
        <v>42563</v>
      </c>
      <c r="M261" s="26" t="str">
        <f t="shared" ca="1" si="25"/>
        <v>10 tahun 0 bulan</v>
      </c>
      <c r="N261" s="5" t="s">
        <v>31</v>
      </c>
      <c r="O261" s="26">
        <v>33936</v>
      </c>
      <c r="P261" s="26" t="str">
        <f t="shared" ca="1" si="24"/>
        <v>33 tahun</v>
      </c>
      <c r="Q261" s="5" t="s">
        <v>46</v>
      </c>
      <c r="R261" s="35">
        <v>3300000</v>
      </c>
      <c r="S261" s="25" t="s">
        <v>1306</v>
      </c>
      <c r="T261" s="5" t="s">
        <v>445</v>
      </c>
      <c r="U261" s="5" t="s">
        <v>35</v>
      </c>
      <c r="V261" s="25" t="s">
        <v>1307</v>
      </c>
      <c r="W261" s="25" t="s">
        <v>1308</v>
      </c>
      <c r="X261" s="5"/>
      <c r="Y261" s="25"/>
      <c r="Z261" s="5"/>
      <c r="AA261" s="9" t="s">
        <v>41</v>
      </c>
      <c r="AB261" s="6"/>
    </row>
    <row r="262" spans="1:28">
      <c r="A262" s="5">
        <f>IF(AA262="aktif",MAX($A$1:A261)+1,"")</f>
        <v>223</v>
      </c>
      <c r="B262" s="25" t="s">
        <v>1309</v>
      </c>
      <c r="C262" s="15" t="s">
        <v>1310</v>
      </c>
      <c r="D262" s="139" t="s">
        <v>115</v>
      </c>
      <c r="E262" s="18" t="s">
        <v>786</v>
      </c>
      <c r="F262" s="5" t="s">
        <v>2229</v>
      </c>
      <c r="G262" s="5" t="s">
        <v>2229</v>
      </c>
      <c r="H262" s="16" t="s">
        <v>1061</v>
      </c>
      <c r="I262" s="12" t="s">
        <v>1049</v>
      </c>
      <c r="J262" s="5" t="s">
        <v>129</v>
      </c>
      <c r="K262" s="5"/>
      <c r="L262" s="26">
        <v>43252</v>
      </c>
      <c r="M262" s="26" t="str">
        <f t="shared" ca="1" si="25"/>
        <v>8 tahun 2 bulan</v>
      </c>
      <c r="N262" s="5" t="s">
        <v>31</v>
      </c>
      <c r="O262" s="26">
        <v>36653</v>
      </c>
      <c r="P262" s="26" t="str">
        <f t="shared" ca="1" si="24"/>
        <v>26 tahun</v>
      </c>
      <c r="Q262" s="5" t="s">
        <v>46</v>
      </c>
      <c r="R262" s="35">
        <v>3300000</v>
      </c>
      <c r="S262" s="25" t="s">
        <v>1311</v>
      </c>
      <c r="T262" s="5" t="s">
        <v>974</v>
      </c>
      <c r="U262" s="5" t="s">
        <v>35</v>
      </c>
      <c r="V262" s="25" t="s">
        <v>1312</v>
      </c>
      <c r="W262" s="25" t="s">
        <v>1313</v>
      </c>
      <c r="X262" s="5"/>
      <c r="Y262" s="25"/>
      <c r="Z262" s="5"/>
      <c r="AA262" s="9" t="s">
        <v>41</v>
      </c>
      <c r="AB262" s="6"/>
    </row>
    <row r="263" spans="1:28">
      <c r="A263" s="5">
        <f>IF(AA263="aktif",MAX($A$1:A262)+1,"")</f>
        <v>224</v>
      </c>
      <c r="B263" s="25"/>
      <c r="C263" s="15" t="s">
        <v>785</v>
      </c>
      <c r="D263" s="139" t="s">
        <v>115</v>
      </c>
      <c r="E263" s="18" t="s">
        <v>786</v>
      </c>
      <c r="F263" s="5" t="s">
        <v>2229</v>
      </c>
      <c r="G263" s="5" t="s">
        <v>2229</v>
      </c>
      <c r="H263" s="16" t="s">
        <v>1075</v>
      </c>
      <c r="I263" s="12" t="s">
        <v>1034</v>
      </c>
      <c r="J263" s="5" t="s">
        <v>129</v>
      </c>
      <c r="K263" s="5"/>
      <c r="L263" s="26">
        <v>45686</v>
      </c>
      <c r="M263" s="26" t="str">
        <f t="shared" ca="1" si="25"/>
        <v>1 tahun 6 bulan</v>
      </c>
      <c r="N263" s="5" t="s">
        <v>31</v>
      </c>
      <c r="O263" s="26">
        <v>36317</v>
      </c>
      <c r="P263" s="26" t="str">
        <f t="shared" ca="1" si="24"/>
        <v>27 tahun</v>
      </c>
      <c r="Q263" s="5" t="s">
        <v>46</v>
      </c>
      <c r="R263" s="35">
        <v>3000000</v>
      </c>
      <c r="S263" s="25" t="s">
        <v>1315</v>
      </c>
      <c r="T263" s="5" t="s">
        <v>177</v>
      </c>
      <c r="U263" s="5" t="s">
        <v>35</v>
      </c>
      <c r="V263" s="25" t="s">
        <v>1316</v>
      </c>
      <c r="W263" s="25" t="s">
        <v>1317</v>
      </c>
      <c r="X263" s="5"/>
      <c r="Y263" s="25"/>
      <c r="Z263" s="5"/>
      <c r="AA263" s="9" t="s">
        <v>41</v>
      </c>
      <c r="AB263" s="6"/>
    </row>
    <row r="264" spans="1:28">
      <c r="A264" s="5">
        <f>IF(AA264="aktif",MAX($A$1:A263)+1,"")</f>
        <v>225</v>
      </c>
      <c r="B264" s="25"/>
      <c r="C264" s="15" t="s">
        <v>1318</v>
      </c>
      <c r="D264" s="139" t="s">
        <v>115</v>
      </c>
      <c r="E264" s="18" t="s">
        <v>786</v>
      </c>
      <c r="F264" s="5" t="s">
        <v>2229</v>
      </c>
      <c r="G264" s="5" t="s">
        <v>2229</v>
      </c>
      <c r="H264" s="16" t="s">
        <v>1075</v>
      </c>
      <c r="I264" s="12" t="s">
        <v>1034</v>
      </c>
      <c r="J264" s="5" t="s">
        <v>129</v>
      </c>
      <c r="K264" s="5"/>
      <c r="L264" s="26">
        <v>44713</v>
      </c>
      <c r="M264" s="26" t="str">
        <f t="shared" ca="1" si="25"/>
        <v>4 tahun 2 bulan</v>
      </c>
      <c r="N264" s="5" t="s">
        <v>31</v>
      </c>
      <c r="O264" s="26">
        <v>31031</v>
      </c>
      <c r="P264" s="26" t="str">
        <f t="shared" ca="1" si="24"/>
        <v>41 tahun</v>
      </c>
      <c r="Q264" s="5" t="s">
        <v>32</v>
      </c>
      <c r="R264" s="35">
        <v>3100000</v>
      </c>
      <c r="S264" s="25" t="s">
        <v>1319</v>
      </c>
      <c r="T264" s="5" t="s">
        <v>1320</v>
      </c>
      <c r="U264" s="5" t="s">
        <v>35</v>
      </c>
      <c r="V264" s="25" t="s">
        <v>1321</v>
      </c>
      <c r="W264" s="25" t="s">
        <v>1322</v>
      </c>
      <c r="X264" s="5"/>
      <c r="Y264" s="25"/>
      <c r="Z264" s="5"/>
      <c r="AA264" s="9" t="s">
        <v>41</v>
      </c>
      <c r="AB264" s="6"/>
    </row>
    <row r="265" spans="1:28">
      <c r="A265" s="5">
        <f>IF(AA265="aktif",MAX($A$1:A264)+1,"")</f>
        <v>226</v>
      </c>
      <c r="B265" s="25"/>
      <c r="C265" s="15" t="s">
        <v>1323</v>
      </c>
      <c r="D265" s="139" t="s">
        <v>115</v>
      </c>
      <c r="E265" s="18" t="s">
        <v>786</v>
      </c>
      <c r="F265" s="5" t="s">
        <v>2229</v>
      </c>
      <c r="G265" s="5" t="s">
        <v>2229</v>
      </c>
      <c r="H265" s="16" t="s">
        <v>1075</v>
      </c>
      <c r="I265" s="12" t="s">
        <v>1042</v>
      </c>
      <c r="J265" s="5" t="s">
        <v>129</v>
      </c>
      <c r="K265" s="5"/>
      <c r="L265" s="26">
        <v>43617</v>
      </c>
      <c r="M265" s="26" t="str">
        <f t="shared" ca="1" si="25"/>
        <v>7 tahun 2 bulan</v>
      </c>
      <c r="N265" s="5" t="s">
        <v>31</v>
      </c>
      <c r="O265" s="26">
        <v>36776</v>
      </c>
      <c r="P265" s="26" t="str">
        <f t="shared" ca="1" si="24"/>
        <v>25 tahun</v>
      </c>
      <c r="Q265" s="5" t="s">
        <v>46</v>
      </c>
      <c r="R265" s="35">
        <v>3190000</v>
      </c>
      <c r="S265" s="25" t="s">
        <v>1324</v>
      </c>
      <c r="T265" s="5" t="s">
        <v>141</v>
      </c>
      <c r="U265" s="5" t="s">
        <v>165</v>
      </c>
      <c r="V265" s="25" t="s">
        <v>1325</v>
      </c>
      <c r="W265" s="25" t="s">
        <v>1326</v>
      </c>
      <c r="X265" s="5"/>
      <c r="Y265" s="25"/>
      <c r="Z265" s="5"/>
      <c r="AA265" s="9" t="s">
        <v>41</v>
      </c>
      <c r="AB265" s="6"/>
    </row>
    <row r="266" spans="1:28">
      <c r="A266" s="5">
        <f>IF(AA266="aktif",MAX($A$1:A265)+1,"")</f>
        <v>227</v>
      </c>
      <c r="B266" s="25"/>
      <c r="C266" s="15" t="s">
        <v>1327</v>
      </c>
      <c r="D266" s="139" t="s">
        <v>115</v>
      </c>
      <c r="E266" s="18" t="s">
        <v>786</v>
      </c>
      <c r="F266" s="5" t="s">
        <v>2229</v>
      </c>
      <c r="G266" s="5" t="s">
        <v>2229</v>
      </c>
      <c r="H266" s="16" t="s">
        <v>1075</v>
      </c>
      <c r="I266" s="12" t="s">
        <v>1042</v>
      </c>
      <c r="J266" s="5" t="s">
        <v>129</v>
      </c>
      <c r="K266" s="5"/>
      <c r="L266" s="26">
        <v>45824</v>
      </c>
      <c r="M266" s="26" t="str">
        <f ca="1">DATEDIF(L266,TODAY(),"Y") &amp;" tahun " &amp; DATEDIF(L266,TODAY(),"YM")&amp;" bulan"</f>
        <v>1 tahun 1 bulan</v>
      </c>
      <c r="N266" s="5" t="s">
        <v>31</v>
      </c>
      <c r="O266" s="26">
        <v>39182</v>
      </c>
      <c r="P266" s="26" t="str">
        <f t="shared" ca="1" si="24"/>
        <v>19 tahun</v>
      </c>
      <c r="Q266" s="5" t="s">
        <v>46</v>
      </c>
      <c r="R266" s="9"/>
      <c r="S266" s="27" t="s">
        <v>1328</v>
      </c>
      <c r="T266" s="5" t="s">
        <v>1329</v>
      </c>
      <c r="U266" s="5" t="s">
        <v>81</v>
      </c>
      <c r="V266" s="27"/>
      <c r="W266" s="27"/>
      <c r="X266" s="9"/>
      <c r="Y266" s="27"/>
      <c r="Z266" s="9"/>
      <c r="AA266" s="9" t="s">
        <v>41</v>
      </c>
      <c r="AB266" s="6" t="s">
        <v>1330</v>
      </c>
    </row>
    <row r="267" spans="1:28">
      <c r="A267" s="5">
        <f>IF(AA267="aktif",MAX($A$1:A266)+1,"")</f>
        <v>228</v>
      </c>
      <c r="B267" s="25"/>
      <c r="C267" s="15" t="s">
        <v>1331</v>
      </c>
      <c r="D267" s="139" t="s">
        <v>115</v>
      </c>
      <c r="E267" s="18" t="s">
        <v>786</v>
      </c>
      <c r="F267" s="5" t="s">
        <v>2229</v>
      </c>
      <c r="G267" s="5" t="s">
        <v>2229</v>
      </c>
      <c r="H267" s="16" t="s">
        <v>1075</v>
      </c>
      <c r="I267" s="12" t="s">
        <v>1049</v>
      </c>
      <c r="J267" s="5" t="s">
        <v>129</v>
      </c>
      <c r="K267" s="5"/>
      <c r="L267" s="26">
        <v>45499</v>
      </c>
      <c r="M267" s="26" t="str">
        <f t="shared" ref="M267:M273" ca="1" si="26">IF(L267="","",DATEDIF(L267,TODAY(),"Y") &amp;" tahun " &amp; DATEDIF(L267,TODAY(),"YM")&amp;" bulan")</f>
        <v>2 tahun 0 bulan</v>
      </c>
      <c r="N267" s="5" t="s">
        <v>31</v>
      </c>
      <c r="O267" s="26">
        <v>37729</v>
      </c>
      <c r="P267" s="26" t="str">
        <f t="shared" ca="1" si="24"/>
        <v>23 tahun</v>
      </c>
      <c r="Q267" s="5" t="s">
        <v>46</v>
      </c>
      <c r="R267" s="35">
        <v>3500000</v>
      </c>
      <c r="S267" s="25" t="s">
        <v>1332</v>
      </c>
      <c r="T267" s="5" t="s">
        <v>1153</v>
      </c>
      <c r="U267" s="5" t="s">
        <v>165</v>
      </c>
      <c r="V267" s="25" t="s">
        <v>1333</v>
      </c>
      <c r="W267" s="25" t="s">
        <v>1334</v>
      </c>
      <c r="X267" s="5"/>
      <c r="Y267" s="25"/>
      <c r="Z267" s="5"/>
      <c r="AA267" s="9" t="s">
        <v>41</v>
      </c>
      <c r="AB267" s="6"/>
    </row>
    <row r="268" spans="1:28">
      <c r="A268" s="5">
        <f>IF(AA268="aktif",MAX($A$1:A267)+1,"")</f>
        <v>229</v>
      </c>
      <c r="B268" s="25"/>
      <c r="C268" s="15" t="s">
        <v>1335</v>
      </c>
      <c r="D268" s="139" t="s">
        <v>115</v>
      </c>
      <c r="E268" s="18" t="s">
        <v>786</v>
      </c>
      <c r="F268" s="5" t="s">
        <v>2229</v>
      </c>
      <c r="G268" s="5" t="s">
        <v>2229</v>
      </c>
      <c r="H268" s="16" t="s">
        <v>1075</v>
      </c>
      <c r="I268" s="12" t="s">
        <v>1049</v>
      </c>
      <c r="J268" s="5" t="s">
        <v>129</v>
      </c>
      <c r="K268" s="5"/>
      <c r="L268" s="26">
        <v>45130</v>
      </c>
      <c r="M268" s="26" t="str">
        <f t="shared" ca="1" si="26"/>
        <v>3 tahun 0 bulan</v>
      </c>
      <c r="N268" s="5" t="s">
        <v>31</v>
      </c>
      <c r="O268" s="26">
        <v>38380</v>
      </c>
      <c r="P268" s="26" t="str">
        <f t="shared" ca="1" si="24"/>
        <v>21 tahun</v>
      </c>
      <c r="Q268" s="5" t="s">
        <v>46</v>
      </c>
      <c r="R268" s="35">
        <v>3398994</v>
      </c>
      <c r="S268" s="25" t="s">
        <v>1336</v>
      </c>
      <c r="T268" s="5" t="s">
        <v>611</v>
      </c>
      <c r="U268" s="5" t="s">
        <v>165</v>
      </c>
      <c r="V268" s="25" t="s">
        <v>1337</v>
      </c>
      <c r="W268" s="25" t="s">
        <v>1338</v>
      </c>
      <c r="X268" s="5"/>
      <c r="Y268" s="25"/>
      <c r="Z268" s="5"/>
      <c r="AA268" s="9" t="s">
        <v>41</v>
      </c>
      <c r="AB268" s="6"/>
    </row>
    <row r="269" spans="1:28">
      <c r="A269" s="5">
        <f>IF(AA269="aktif",MAX($A$1:A268)+1,"")</f>
        <v>230</v>
      </c>
      <c r="B269" s="25"/>
      <c r="C269" s="15" t="s">
        <v>1339</v>
      </c>
      <c r="D269" s="139" t="s">
        <v>115</v>
      </c>
      <c r="E269" s="18" t="s">
        <v>786</v>
      </c>
      <c r="F269" s="5" t="s">
        <v>2229</v>
      </c>
      <c r="G269" s="5" t="s">
        <v>2229</v>
      </c>
      <c r="H269" s="16" t="s">
        <v>1092</v>
      </c>
      <c r="I269" s="12" t="s">
        <v>1034</v>
      </c>
      <c r="J269" s="5" t="s">
        <v>129</v>
      </c>
      <c r="K269" s="5"/>
      <c r="L269" s="26">
        <v>39234</v>
      </c>
      <c r="M269" s="26" t="str">
        <f t="shared" ca="1" si="26"/>
        <v>19 tahun 2 bulan</v>
      </c>
      <c r="N269" s="5" t="s">
        <v>31</v>
      </c>
      <c r="O269" s="26">
        <v>29754</v>
      </c>
      <c r="P269" s="26" t="str">
        <f t="shared" ca="1" si="24"/>
        <v>45 tahun</v>
      </c>
      <c r="Q269" s="5" t="s">
        <v>158</v>
      </c>
      <c r="R269" s="35">
        <v>3500000</v>
      </c>
      <c r="S269" s="25" t="s">
        <v>1340</v>
      </c>
      <c r="T269" s="5" t="s">
        <v>155</v>
      </c>
      <c r="U269" s="5" t="s">
        <v>165</v>
      </c>
      <c r="V269" s="25" t="s">
        <v>1341</v>
      </c>
      <c r="W269" s="25"/>
      <c r="X269" s="5"/>
      <c r="Y269" s="25"/>
      <c r="Z269" s="5"/>
      <c r="AA269" s="9" t="s">
        <v>41</v>
      </c>
      <c r="AB269" s="6"/>
    </row>
    <row r="270" spans="1:28">
      <c r="A270" s="5">
        <f>IF(AA270="aktif",MAX($A$1:A269)+1,"")</f>
        <v>231</v>
      </c>
      <c r="B270" s="25"/>
      <c r="C270" s="15" t="s">
        <v>1342</v>
      </c>
      <c r="D270" s="139" t="s">
        <v>115</v>
      </c>
      <c r="E270" s="18" t="s">
        <v>786</v>
      </c>
      <c r="F270" s="5" t="s">
        <v>2229</v>
      </c>
      <c r="G270" s="5" t="s">
        <v>2229</v>
      </c>
      <c r="H270" s="16" t="s">
        <v>1092</v>
      </c>
      <c r="I270" s="12" t="s">
        <v>1034</v>
      </c>
      <c r="J270" s="5" t="s">
        <v>129</v>
      </c>
      <c r="K270" s="5"/>
      <c r="L270" s="26">
        <v>39600</v>
      </c>
      <c r="M270" s="26" t="str">
        <f t="shared" ca="1" si="26"/>
        <v>18 tahun 2 bulan</v>
      </c>
      <c r="N270" s="5" t="s">
        <v>31</v>
      </c>
      <c r="O270" s="26">
        <v>28717</v>
      </c>
      <c r="P270" s="26" t="str">
        <f t="shared" ca="1" si="24"/>
        <v>47 tahun</v>
      </c>
      <c r="Q270" s="5" t="s">
        <v>158</v>
      </c>
      <c r="R270" s="35">
        <v>3100000</v>
      </c>
      <c r="S270" s="25" t="s">
        <v>1343</v>
      </c>
      <c r="T270" s="5" t="s">
        <v>708</v>
      </c>
      <c r="U270" s="5" t="s">
        <v>35</v>
      </c>
      <c r="V270" s="25" t="s">
        <v>1344</v>
      </c>
      <c r="W270" s="25"/>
      <c r="X270" s="5"/>
      <c r="Y270" s="25"/>
      <c r="Z270" s="5"/>
      <c r="AA270" s="9" t="s">
        <v>41</v>
      </c>
      <c r="AB270" s="6"/>
    </row>
    <row r="271" spans="1:28">
      <c r="A271" s="5">
        <f>IF(AA271="aktif",MAX($A$1:A270)+1,"")</f>
        <v>232</v>
      </c>
      <c r="B271" s="25"/>
      <c r="C271" s="15" t="s">
        <v>1345</v>
      </c>
      <c r="D271" s="139" t="s">
        <v>115</v>
      </c>
      <c r="E271" s="18" t="s">
        <v>786</v>
      </c>
      <c r="F271" s="5" t="s">
        <v>2229</v>
      </c>
      <c r="G271" s="5" t="s">
        <v>2229</v>
      </c>
      <c r="H271" s="16" t="s">
        <v>1092</v>
      </c>
      <c r="I271" s="12" t="s">
        <v>1042</v>
      </c>
      <c r="J271" s="5" t="s">
        <v>129</v>
      </c>
      <c r="K271" s="5"/>
      <c r="L271" s="26">
        <v>40695</v>
      </c>
      <c r="M271" s="26" t="str">
        <f t="shared" ca="1" si="26"/>
        <v>15 tahun 2 bulan</v>
      </c>
      <c r="N271" s="5" t="s">
        <v>31</v>
      </c>
      <c r="O271" s="26">
        <v>31996</v>
      </c>
      <c r="P271" s="26" t="str">
        <f t="shared" ca="1" si="24"/>
        <v>39 tahun</v>
      </c>
      <c r="Q271" s="5" t="s">
        <v>32</v>
      </c>
      <c r="R271" s="35">
        <v>3500000</v>
      </c>
      <c r="S271" s="25" t="s">
        <v>1346</v>
      </c>
      <c r="T271" s="5" t="s">
        <v>160</v>
      </c>
      <c r="U271" s="5" t="s">
        <v>165</v>
      </c>
      <c r="V271" s="25" t="s">
        <v>1347</v>
      </c>
      <c r="W271" s="25" t="s">
        <v>1348</v>
      </c>
      <c r="X271" s="5"/>
      <c r="Y271" s="25"/>
      <c r="Z271" s="5"/>
      <c r="AA271" s="9" t="s">
        <v>41</v>
      </c>
      <c r="AB271" s="6"/>
    </row>
    <row r="272" spans="1:28">
      <c r="A272" s="5">
        <f>IF(AA272="aktif",MAX($A$1:A271)+1,"")</f>
        <v>233</v>
      </c>
      <c r="B272" s="25"/>
      <c r="C272" s="15" t="s">
        <v>1349</v>
      </c>
      <c r="D272" s="139" t="s">
        <v>115</v>
      </c>
      <c r="E272" s="12" t="s">
        <v>786</v>
      </c>
      <c r="F272" s="5" t="s">
        <v>2229</v>
      </c>
      <c r="G272" s="5" t="s">
        <v>2229</v>
      </c>
      <c r="H272" s="22" t="s">
        <v>1092</v>
      </c>
      <c r="I272" s="12" t="s">
        <v>1042</v>
      </c>
      <c r="J272" s="5" t="s">
        <v>129</v>
      </c>
      <c r="K272" s="5"/>
      <c r="L272" s="26"/>
      <c r="M272" s="26" t="str">
        <f t="shared" ca="1" si="26"/>
        <v/>
      </c>
      <c r="N272" s="5" t="s">
        <v>31</v>
      </c>
      <c r="O272" s="26"/>
      <c r="P272" s="26" t="str">
        <f t="shared" ca="1" si="24"/>
        <v/>
      </c>
      <c r="Q272" s="5"/>
      <c r="R272" s="35"/>
      <c r="S272" s="6"/>
      <c r="V272" s="6"/>
      <c r="W272" s="6"/>
      <c r="X272" s="6"/>
      <c r="Y272" s="6"/>
      <c r="Z272" s="6"/>
      <c r="AA272" s="9" t="s">
        <v>41</v>
      </c>
      <c r="AB272" s="6"/>
    </row>
    <row r="273" spans="1:30" ht="14.25" customHeight="1">
      <c r="A273" s="5">
        <f>IF(AA273="aktif",MAX($A$1:A272)+1,"")</f>
        <v>234</v>
      </c>
      <c r="B273" s="25"/>
      <c r="C273" s="15" t="s">
        <v>1350</v>
      </c>
      <c r="D273" s="139" t="s">
        <v>115</v>
      </c>
      <c r="E273" s="12" t="s">
        <v>786</v>
      </c>
      <c r="F273" s="5" t="s">
        <v>2229</v>
      </c>
      <c r="G273" s="5" t="s">
        <v>2229</v>
      </c>
      <c r="H273" s="22" t="s">
        <v>1092</v>
      </c>
      <c r="I273" s="12" t="s">
        <v>1049</v>
      </c>
      <c r="J273" s="5" t="s">
        <v>129</v>
      </c>
      <c r="K273" s="5"/>
      <c r="L273" s="26">
        <v>45516</v>
      </c>
      <c r="M273" s="26" t="str">
        <f t="shared" ca="1" si="26"/>
        <v>1 tahun 11 bulan</v>
      </c>
      <c r="N273" s="5" t="s">
        <v>31</v>
      </c>
      <c r="O273" s="26">
        <v>37453</v>
      </c>
      <c r="P273" s="26" t="str">
        <f t="shared" ca="1" si="24"/>
        <v>24 tahun</v>
      </c>
      <c r="Q273" s="5" t="s">
        <v>46</v>
      </c>
      <c r="R273" s="35">
        <v>2800000</v>
      </c>
      <c r="S273" s="25" t="s">
        <v>1351</v>
      </c>
      <c r="T273" s="5" t="s">
        <v>1352</v>
      </c>
      <c r="U273" s="5" t="s">
        <v>35</v>
      </c>
      <c r="V273" s="25" t="s">
        <v>1353</v>
      </c>
      <c r="W273" s="25" t="s">
        <v>1354</v>
      </c>
      <c r="X273" s="5"/>
      <c r="Y273" s="25"/>
      <c r="Z273" s="5"/>
      <c r="AA273" s="9" t="s">
        <v>41</v>
      </c>
      <c r="AB273" s="6"/>
    </row>
    <row r="274" spans="1:30">
      <c r="A274" s="5">
        <f>IF(AA274="aktif",MAX($A$1:A273)+1,"")</f>
        <v>235</v>
      </c>
      <c r="B274" s="25"/>
      <c r="C274" s="15" t="s">
        <v>1355</v>
      </c>
      <c r="D274" s="139" t="s">
        <v>115</v>
      </c>
      <c r="E274" s="12" t="s">
        <v>786</v>
      </c>
      <c r="F274" s="5" t="s">
        <v>2229</v>
      </c>
      <c r="G274" s="5" t="s">
        <v>2229</v>
      </c>
      <c r="H274" s="22" t="s">
        <v>1092</v>
      </c>
      <c r="I274" s="12" t="s">
        <v>1049</v>
      </c>
      <c r="J274" s="5" t="s">
        <v>129</v>
      </c>
      <c r="K274" s="5"/>
      <c r="L274" s="26">
        <v>45880</v>
      </c>
      <c r="M274" s="26" t="str">
        <f ca="1">DATEDIF(L274,TODAY(),"Y") &amp;" tahun " &amp; DATEDIF(L274,TODAY(),"YM")&amp;" bulan"</f>
        <v>0 tahun 11 bulan</v>
      </c>
      <c r="N274" s="5" t="s">
        <v>31</v>
      </c>
      <c r="O274" s="26">
        <v>39005</v>
      </c>
      <c r="P274" s="26" t="str">
        <f t="shared" ca="1" si="24"/>
        <v>19 tahun</v>
      </c>
      <c r="Q274" s="5" t="s">
        <v>46</v>
      </c>
      <c r="R274" s="9"/>
      <c r="S274" s="27" t="s">
        <v>1356</v>
      </c>
      <c r="T274" s="5" t="s">
        <v>194</v>
      </c>
      <c r="U274" s="5" t="s">
        <v>81</v>
      </c>
      <c r="V274" s="27" t="s">
        <v>1357</v>
      </c>
      <c r="W274" s="27" t="s">
        <v>1358</v>
      </c>
      <c r="X274" s="9"/>
      <c r="Y274" s="27"/>
      <c r="Z274" s="9"/>
      <c r="AA274" s="9" t="s">
        <v>41</v>
      </c>
      <c r="AB274" s="6"/>
    </row>
    <row r="275" spans="1:30">
      <c r="A275" s="5">
        <f>IF(AA275="aktif",MAX($A$1:A274)+1,"")</f>
        <v>236</v>
      </c>
      <c r="B275" s="25"/>
      <c r="C275" s="15" t="s">
        <v>1359</v>
      </c>
      <c r="D275" s="139" t="s">
        <v>115</v>
      </c>
      <c r="E275" s="18" t="s">
        <v>786</v>
      </c>
      <c r="F275" s="5" t="s">
        <v>2229</v>
      </c>
      <c r="G275" s="5" t="s">
        <v>2229</v>
      </c>
      <c r="H275" s="16" t="s">
        <v>1110</v>
      </c>
      <c r="I275" s="122" t="s">
        <v>1034</v>
      </c>
      <c r="J275" s="5" t="s">
        <v>129</v>
      </c>
      <c r="K275" s="5"/>
      <c r="L275" s="26">
        <v>39965</v>
      </c>
      <c r="M275" s="26" t="str">
        <f t="shared" ref="M275:M306" ca="1" si="27">IF(L275="","",DATEDIF(L275,TODAY(),"Y") &amp;" tahun " &amp; DATEDIF(L275,TODAY(),"YM")&amp;" bulan")</f>
        <v>17 tahun 2 bulan</v>
      </c>
      <c r="N275" s="5" t="s">
        <v>31</v>
      </c>
      <c r="O275" s="26">
        <v>32356</v>
      </c>
      <c r="P275" s="26" t="str">
        <f t="shared" ca="1" si="24"/>
        <v>38 tahun</v>
      </c>
      <c r="Q275" s="5" t="s">
        <v>121</v>
      </c>
      <c r="R275" s="35">
        <v>3500000</v>
      </c>
      <c r="S275" s="25" t="s">
        <v>1360</v>
      </c>
      <c r="T275" s="5" t="s">
        <v>1361</v>
      </c>
      <c r="U275" s="5" t="s">
        <v>35</v>
      </c>
      <c r="V275" s="25" t="s">
        <v>1362</v>
      </c>
      <c r="W275" s="25" t="s">
        <v>1363</v>
      </c>
      <c r="X275" s="5"/>
      <c r="Y275" s="25"/>
      <c r="Z275" s="5"/>
      <c r="AA275" s="9" t="s">
        <v>41</v>
      </c>
      <c r="AB275" s="6"/>
    </row>
    <row r="276" spans="1:30">
      <c r="A276" s="5">
        <f>IF(AA276="aktif",MAX($A$1:A275)+1,"")</f>
        <v>237</v>
      </c>
      <c r="B276" s="25"/>
      <c r="C276" s="15" t="s">
        <v>1287</v>
      </c>
      <c r="D276" s="139" t="s">
        <v>115</v>
      </c>
      <c r="E276" s="12" t="s">
        <v>786</v>
      </c>
      <c r="F276" s="5" t="s">
        <v>2229</v>
      </c>
      <c r="G276" s="5" t="s">
        <v>2229</v>
      </c>
      <c r="H276" s="22" t="s">
        <v>1110</v>
      </c>
      <c r="I276" s="122" t="s">
        <v>1042</v>
      </c>
      <c r="J276" s="5" t="s">
        <v>129</v>
      </c>
      <c r="K276" s="5"/>
      <c r="L276" s="26"/>
      <c r="M276" s="26" t="str">
        <f t="shared" ca="1" si="27"/>
        <v/>
      </c>
      <c r="N276" s="5" t="s">
        <v>31</v>
      </c>
      <c r="O276" s="26"/>
      <c r="P276" s="26" t="str">
        <f t="shared" ca="1" si="24"/>
        <v/>
      </c>
      <c r="Q276" s="5"/>
      <c r="R276" s="35"/>
      <c r="S276" s="6"/>
      <c r="V276" s="6"/>
      <c r="W276" s="6"/>
      <c r="X276" s="6"/>
      <c r="Y276" s="6"/>
      <c r="Z276" s="6"/>
      <c r="AA276" s="9" t="s">
        <v>41</v>
      </c>
      <c r="AB276" s="6"/>
    </row>
    <row r="277" spans="1:30">
      <c r="A277" s="5">
        <f>IF(AA277="aktif",MAX($A$1:A276)+1,"")</f>
        <v>238</v>
      </c>
      <c r="B277" s="25"/>
      <c r="C277" s="15" t="s">
        <v>1364</v>
      </c>
      <c r="D277" s="139" t="s">
        <v>115</v>
      </c>
      <c r="E277" s="18" t="s">
        <v>786</v>
      </c>
      <c r="F277" s="5" t="s">
        <v>2229</v>
      </c>
      <c r="G277" s="5" t="s">
        <v>2229</v>
      </c>
      <c r="H277" s="16" t="s">
        <v>1110</v>
      </c>
      <c r="I277" s="122" t="s">
        <v>1049</v>
      </c>
      <c r="J277" s="5" t="s">
        <v>129</v>
      </c>
      <c r="K277" s="5"/>
      <c r="L277" s="26">
        <v>37773</v>
      </c>
      <c r="M277" s="26" t="str">
        <f t="shared" ca="1" si="27"/>
        <v>23 tahun 2 bulan</v>
      </c>
      <c r="N277" s="5" t="s">
        <v>31</v>
      </c>
      <c r="O277" s="26">
        <v>28257</v>
      </c>
      <c r="P277" s="26" t="str">
        <f t="shared" ca="1" si="24"/>
        <v>49 tahun</v>
      </c>
      <c r="Q277" s="5" t="s">
        <v>158</v>
      </c>
      <c r="R277" s="35">
        <v>3400000</v>
      </c>
      <c r="S277" s="25" t="s">
        <v>1365</v>
      </c>
      <c r="T277" s="5" t="s">
        <v>1366</v>
      </c>
      <c r="U277" s="5" t="s">
        <v>35</v>
      </c>
      <c r="V277" s="25" t="s">
        <v>1367</v>
      </c>
      <c r="W277" s="25" t="s">
        <v>1367</v>
      </c>
      <c r="X277" s="5"/>
      <c r="Y277" s="25"/>
      <c r="Z277" s="5"/>
      <c r="AA277" s="9" t="s">
        <v>41</v>
      </c>
      <c r="AB277" s="6"/>
    </row>
    <row r="278" spans="1:30">
      <c r="A278" s="5">
        <f>IF(AA278="aktif",MAX($A$1:A277)+1,"")</f>
        <v>239</v>
      </c>
      <c r="B278" s="25"/>
      <c r="C278" s="15" t="s">
        <v>1369</v>
      </c>
      <c r="D278" s="139" t="s">
        <v>115</v>
      </c>
      <c r="E278" s="18" t="s">
        <v>786</v>
      </c>
      <c r="F278" s="5" t="s">
        <v>2229</v>
      </c>
      <c r="G278" s="5" t="s">
        <v>2229</v>
      </c>
      <c r="H278" s="16" t="s">
        <v>1127</v>
      </c>
      <c r="I278" s="12" t="s">
        <v>1034</v>
      </c>
      <c r="J278" s="5" t="s">
        <v>129</v>
      </c>
      <c r="K278" s="5"/>
      <c r="L278" s="26">
        <v>45078</v>
      </c>
      <c r="M278" s="26" t="str">
        <f t="shared" ca="1" si="27"/>
        <v>3 tahun 2 bulan</v>
      </c>
      <c r="N278" s="5" t="s">
        <v>31</v>
      </c>
      <c r="O278" s="26">
        <v>38295</v>
      </c>
      <c r="P278" s="26" t="str">
        <f t="shared" ca="1" si="24"/>
        <v>21 tahun</v>
      </c>
      <c r="Q278" s="5" t="s">
        <v>46</v>
      </c>
      <c r="R278" s="35">
        <v>2700000</v>
      </c>
      <c r="S278" s="25" t="s">
        <v>1370</v>
      </c>
      <c r="T278" s="5" t="s">
        <v>974</v>
      </c>
      <c r="U278" s="5" t="s">
        <v>35</v>
      </c>
      <c r="V278" s="25" t="s">
        <v>1371</v>
      </c>
      <c r="W278" s="25" t="s">
        <v>1372</v>
      </c>
      <c r="X278" s="5"/>
      <c r="Y278" s="25"/>
      <c r="Z278" s="5"/>
      <c r="AA278" s="9" t="s">
        <v>41</v>
      </c>
      <c r="AB278" s="6"/>
    </row>
    <row r="279" spans="1:30">
      <c r="A279" s="5">
        <f>IF(AA279="aktif",MAX($A$1:A278)+1,"")</f>
        <v>240</v>
      </c>
      <c r="B279" s="25"/>
      <c r="C279" s="15" t="s">
        <v>1373</v>
      </c>
      <c r="D279" s="139" t="s">
        <v>115</v>
      </c>
      <c r="E279" s="12" t="s">
        <v>786</v>
      </c>
      <c r="F279" s="5" t="s">
        <v>2229</v>
      </c>
      <c r="G279" s="5" t="s">
        <v>2229</v>
      </c>
      <c r="H279" s="22" t="s">
        <v>1127</v>
      </c>
      <c r="I279" s="12" t="s">
        <v>1034</v>
      </c>
      <c r="J279" s="5" t="s">
        <v>129</v>
      </c>
      <c r="K279" s="5"/>
      <c r="L279" s="26">
        <v>45824</v>
      </c>
      <c r="M279" s="26" t="str">
        <f t="shared" ca="1" si="27"/>
        <v>1 tahun 1 bulan</v>
      </c>
      <c r="N279" s="5" t="s">
        <v>31</v>
      </c>
      <c r="O279" s="26">
        <v>38939</v>
      </c>
      <c r="P279" s="26" t="str">
        <f t="shared" ca="1" si="24"/>
        <v>20 tahun</v>
      </c>
      <c r="Q279" s="5" t="s">
        <v>46</v>
      </c>
      <c r="R279" s="35"/>
      <c r="S279" s="3" t="s">
        <v>1374</v>
      </c>
      <c r="T279" s="5" t="s">
        <v>1375</v>
      </c>
      <c r="U279" s="5" t="s">
        <v>81</v>
      </c>
      <c r="V279" s="30"/>
      <c r="W279" s="30"/>
      <c r="X279" s="6"/>
      <c r="Y279" s="6"/>
      <c r="Z279" s="6"/>
      <c r="AA279" s="9" t="s">
        <v>41</v>
      </c>
      <c r="AB279" s="30" t="s">
        <v>1376</v>
      </c>
    </row>
    <row r="280" spans="1:30">
      <c r="A280" s="5">
        <f>IF(AA280="aktif",MAX($A$1:A279)+1,"")</f>
        <v>241</v>
      </c>
      <c r="B280" s="25"/>
      <c r="C280" s="15" t="s">
        <v>1377</v>
      </c>
      <c r="D280" s="139" t="s">
        <v>115</v>
      </c>
      <c r="E280" s="18" t="s">
        <v>786</v>
      </c>
      <c r="F280" s="5" t="s">
        <v>2229</v>
      </c>
      <c r="G280" s="5" t="s">
        <v>2229</v>
      </c>
      <c r="H280" s="16" t="s">
        <v>1127</v>
      </c>
      <c r="I280" s="12" t="s">
        <v>1042</v>
      </c>
      <c r="J280" s="5" t="s">
        <v>129</v>
      </c>
      <c r="K280" s="5"/>
      <c r="L280" s="26">
        <v>40852</v>
      </c>
      <c r="M280" s="26" t="str">
        <f t="shared" ca="1" si="27"/>
        <v>14 tahun 9 bulan</v>
      </c>
      <c r="N280" s="5" t="s">
        <v>31</v>
      </c>
      <c r="O280" s="26">
        <v>27902</v>
      </c>
      <c r="P280" s="26" t="str">
        <f t="shared" ca="1" si="24"/>
        <v>50 tahun</v>
      </c>
      <c r="Q280" s="5" t="s">
        <v>32</v>
      </c>
      <c r="R280" s="35">
        <v>3000000</v>
      </c>
      <c r="S280" s="25" t="s">
        <v>1378</v>
      </c>
      <c r="T280" s="5" t="s">
        <v>661</v>
      </c>
      <c r="U280" s="5" t="s">
        <v>35</v>
      </c>
      <c r="V280" s="25" t="s">
        <v>1379</v>
      </c>
      <c r="W280" s="25"/>
      <c r="X280" s="5"/>
      <c r="Y280" s="25"/>
      <c r="Z280" s="5"/>
      <c r="AA280" s="9" t="s">
        <v>41</v>
      </c>
      <c r="AB280" s="6"/>
      <c r="AC280" s="43"/>
      <c r="AD280" s="43"/>
    </row>
    <row r="281" spans="1:30">
      <c r="A281" s="5">
        <f>IF(AA281="aktif",MAX($A$1:A280)+1,"")</f>
        <v>242</v>
      </c>
      <c r="B281" s="25"/>
      <c r="C281" s="15" t="s">
        <v>1380</v>
      </c>
      <c r="D281" s="139" t="s">
        <v>115</v>
      </c>
      <c r="E281" s="18" t="s">
        <v>786</v>
      </c>
      <c r="F281" s="5" t="s">
        <v>2229</v>
      </c>
      <c r="G281" s="5" t="s">
        <v>2229</v>
      </c>
      <c r="H281" s="16" t="s">
        <v>1127</v>
      </c>
      <c r="I281" s="12" t="s">
        <v>1042</v>
      </c>
      <c r="J281" s="5" t="s">
        <v>129</v>
      </c>
      <c r="K281" s="5"/>
      <c r="L281" s="26">
        <v>43617</v>
      </c>
      <c r="M281" s="26" t="str">
        <f t="shared" ca="1" si="27"/>
        <v>7 tahun 2 bulan</v>
      </c>
      <c r="N281" s="5" t="s">
        <v>31</v>
      </c>
      <c r="O281" s="26">
        <v>43660</v>
      </c>
      <c r="P281" s="26" t="str">
        <f t="shared" ca="1" si="24"/>
        <v>7 tahun</v>
      </c>
      <c r="Q281" s="5" t="s">
        <v>46</v>
      </c>
      <c r="R281" s="35"/>
      <c r="S281" s="25" t="s">
        <v>1381</v>
      </c>
      <c r="T281" s="5" t="s">
        <v>164</v>
      </c>
      <c r="U281" s="5" t="s">
        <v>165</v>
      </c>
      <c r="V281" s="25" t="s">
        <v>1382</v>
      </c>
      <c r="W281" s="25"/>
      <c r="X281" s="5"/>
      <c r="Y281" s="25"/>
      <c r="Z281" s="5"/>
      <c r="AA281" s="9" t="s">
        <v>41</v>
      </c>
      <c r="AB281" s="6"/>
    </row>
    <row r="282" spans="1:30">
      <c r="A282" s="5">
        <f>IF(AA282="aktif",MAX($A$1:A281)+1,"")</f>
        <v>243</v>
      </c>
      <c r="B282" s="25"/>
      <c r="C282" s="15" t="s">
        <v>1383</v>
      </c>
      <c r="D282" s="139" t="s">
        <v>115</v>
      </c>
      <c r="E282" s="18" t="s">
        <v>786</v>
      </c>
      <c r="F282" s="5" t="s">
        <v>2229</v>
      </c>
      <c r="G282" s="5" t="s">
        <v>2229</v>
      </c>
      <c r="H282" s="16" t="s">
        <v>1127</v>
      </c>
      <c r="I282" s="12" t="s">
        <v>1049</v>
      </c>
      <c r="J282" s="5" t="s">
        <v>129</v>
      </c>
      <c r="K282" s="5"/>
      <c r="L282" s="26">
        <v>45094</v>
      </c>
      <c r="M282" s="26" t="str">
        <f t="shared" ca="1" si="27"/>
        <v>3 tahun 1 bulan</v>
      </c>
      <c r="N282" s="5" t="s">
        <v>31</v>
      </c>
      <c r="O282" s="26">
        <v>36959</v>
      </c>
      <c r="P282" s="26" t="str">
        <f t="shared" ca="1" si="24"/>
        <v>25 tahun</v>
      </c>
      <c r="Q282" s="5" t="s">
        <v>46</v>
      </c>
      <c r="R282" s="35">
        <v>3100000</v>
      </c>
      <c r="S282" s="25" t="s">
        <v>1384</v>
      </c>
      <c r="T282" s="5" t="s">
        <v>74</v>
      </c>
      <c r="U282" s="5" t="s">
        <v>165</v>
      </c>
      <c r="V282" s="25" t="s">
        <v>1385</v>
      </c>
      <c r="W282" s="25" t="s">
        <v>1386</v>
      </c>
      <c r="X282" s="5"/>
      <c r="Y282" s="25"/>
      <c r="Z282" s="5"/>
      <c r="AA282" s="9" t="s">
        <v>41</v>
      </c>
      <c r="AB282" s="6"/>
    </row>
    <row r="283" spans="1:30">
      <c r="A283" s="5">
        <f>IF(AA283="aktif",MAX($A$1:A282)+1,"")</f>
        <v>244</v>
      </c>
      <c r="B283" s="25"/>
      <c r="C283" s="15" t="s">
        <v>1387</v>
      </c>
      <c r="D283" s="139" t="s">
        <v>115</v>
      </c>
      <c r="E283" s="18" t="s">
        <v>786</v>
      </c>
      <c r="F283" s="5" t="s">
        <v>2229</v>
      </c>
      <c r="G283" s="5" t="s">
        <v>2229</v>
      </c>
      <c r="H283" s="16" t="s">
        <v>1127</v>
      </c>
      <c r="I283" s="12" t="s">
        <v>1049</v>
      </c>
      <c r="J283" s="5" t="s">
        <v>129</v>
      </c>
      <c r="K283" s="5"/>
      <c r="L283" s="26">
        <v>42524</v>
      </c>
      <c r="M283" s="26" t="str">
        <f t="shared" ca="1" si="27"/>
        <v>10 tahun 2 bulan</v>
      </c>
      <c r="N283" s="5" t="s">
        <v>31</v>
      </c>
      <c r="O283" s="26">
        <v>34702</v>
      </c>
      <c r="P283" s="26" t="str">
        <f t="shared" ca="1" si="24"/>
        <v>31 tahun</v>
      </c>
      <c r="Q283" s="5" t="s">
        <v>46</v>
      </c>
      <c r="R283" s="35">
        <v>3280000</v>
      </c>
      <c r="S283" s="25" t="s">
        <v>1388</v>
      </c>
      <c r="T283" s="5" t="s">
        <v>74</v>
      </c>
      <c r="U283" s="5" t="s">
        <v>165</v>
      </c>
      <c r="V283" s="25" t="s">
        <v>1389</v>
      </c>
      <c r="W283" s="25" t="s">
        <v>1390</v>
      </c>
      <c r="X283" s="5"/>
      <c r="Y283" s="25"/>
      <c r="Z283" s="5"/>
      <c r="AA283" s="9" t="s">
        <v>41</v>
      </c>
      <c r="AB283" s="6"/>
    </row>
    <row r="284" spans="1:30">
      <c r="A284" s="5">
        <f>IF(AA284="aktif",MAX($A$1:A283)+1,"")</f>
        <v>245</v>
      </c>
      <c r="B284" s="25"/>
      <c r="C284" s="15" t="s">
        <v>1391</v>
      </c>
      <c r="D284" s="139" t="s">
        <v>115</v>
      </c>
      <c r="E284" s="12" t="s">
        <v>786</v>
      </c>
      <c r="F284" s="5" t="s">
        <v>2229</v>
      </c>
      <c r="G284" s="5" t="s">
        <v>2229</v>
      </c>
      <c r="H284" s="22" t="s">
        <v>1145</v>
      </c>
      <c r="I284" s="12" t="s">
        <v>1034</v>
      </c>
      <c r="J284" s="5" t="s">
        <v>129</v>
      </c>
      <c r="K284" s="5"/>
      <c r="L284" s="26">
        <v>45862</v>
      </c>
      <c r="M284" s="26" t="str">
        <f t="shared" ca="1" si="27"/>
        <v>1 tahun 0 bulan</v>
      </c>
      <c r="N284" s="5" t="s">
        <v>31</v>
      </c>
      <c r="O284" s="26">
        <v>39277</v>
      </c>
      <c r="P284" s="26" t="str">
        <f t="shared" ca="1" si="24"/>
        <v>19 tahun</v>
      </c>
      <c r="Q284" s="5" t="s">
        <v>46</v>
      </c>
      <c r="R284" s="35"/>
      <c r="S284" s="3" t="s">
        <v>1392</v>
      </c>
      <c r="T284" s="5" t="s">
        <v>1393</v>
      </c>
      <c r="U284" s="5" t="s">
        <v>81</v>
      </c>
      <c r="V284" s="30"/>
      <c r="W284" s="30"/>
      <c r="X284" s="6"/>
      <c r="Y284" s="6"/>
      <c r="Z284" s="6"/>
      <c r="AA284" s="9" t="s">
        <v>41</v>
      </c>
      <c r="AB284" s="30" t="s">
        <v>1394</v>
      </c>
    </row>
    <row r="285" spans="1:30">
      <c r="A285" s="5">
        <f>IF(AA285="aktif",MAX($A$1:A284)+1,"")</f>
        <v>246</v>
      </c>
      <c r="B285" s="25"/>
      <c r="C285" s="15" t="s">
        <v>1395</v>
      </c>
      <c r="D285" s="139" t="s">
        <v>115</v>
      </c>
      <c r="E285" s="18" t="s">
        <v>786</v>
      </c>
      <c r="F285" s="5" t="s">
        <v>2229</v>
      </c>
      <c r="G285" s="5" t="s">
        <v>2229</v>
      </c>
      <c r="H285" s="16" t="s">
        <v>1145</v>
      </c>
      <c r="I285" s="18" t="s">
        <v>1034</v>
      </c>
      <c r="J285" s="5" t="s">
        <v>129</v>
      </c>
      <c r="K285" s="5"/>
      <c r="L285" s="26">
        <v>45078</v>
      </c>
      <c r="M285" s="26" t="str">
        <f t="shared" ca="1" si="27"/>
        <v>3 tahun 2 bulan</v>
      </c>
      <c r="N285" s="5" t="s">
        <v>31</v>
      </c>
      <c r="O285" s="26">
        <v>35932</v>
      </c>
      <c r="P285" s="26" t="str">
        <f t="shared" ca="1" si="24"/>
        <v>28 tahun</v>
      </c>
      <c r="Q285" s="5" t="s">
        <v>46</v>
      </c>
      <c r="R285" s="35">
        <v>1900000</v>
      </c>
      <c r="S285" s="25" t="s">
        <v>1396</v>
      </c>
      <c r="T285" s="5" t="s">
        <v>445</v>
      </c>
      <c r="U285" s="5" t="s">
        <v>165</v>
      </c>
      <c r="V285" s="25" t="s">
        <v>1397</v>
      </c>
      <c r="W285" s="25" t="s">
        <v>1398</v>
      </c>
      <c r="X285" s="5"/>
      <c r="Y285" s="25"/>
      <c r="Z285" s="5"/>
      <c r="AA285" s="9" t="s">
        <v>41</v>
      </c>
      <c r="AB285" s="6"/>
    </row>
    <row r="286" spans="1:30">
      <c r="A286" s="5">
        <f>IF(AA286="aktif",MAX($A$1:A285)+1,"")</f>
        <v>247</v>
      </c>
      <c r="B286" s="25"/>
      <c r="C286" s="15" t="s">
        <v>1399</v>
      </c>
      <c r="D286" s="139" t="s">
        <v>115</v>
      </c>
      <c r="E286" s="12" t="s">
        <v>786</v>
      </c>
      <c r="F286" s="5" t="s">
        <v>2229</v>
      </c>
      <c r="G286" s="5" t="s">
        <v>2229</v>
      </c>
      <c r="H286" s="22" t="s">
        <v>1145</v>
      </c>
      <c r="I286" s="12" t="s">
        <v>1042</v>
      </c>
      <c r="J286" s="5" t="s">
        <v>129</v>
      </c>
      <c r="K286" s="5"/>
      <c r="L286" s="26">
        <v>45857</v>
      </c>
      <c r="M286" s="26" t="str">
        <f t="shared" ca="1" si="27"/>
        <v>1 tahun 0 bulan</v>
      </c>
      <c r="N286" s="5" t="s">
        <v>31</v>
      </c>
      <c r="O286" s="26">
        <v>35124</v>
      </c>
      <c r="P286" s="26" t="str">
        <f t="shared" ca="1" si="24"/>
        <v>30 tahun</v>
      </c>
      <c r="Q286" s="5" t="s">
        <v>46</v>
      </c>
      <c r="R286" s="35"/>
      <c r="S286" s="3" t="s">
        <v>1400</v>
      </c>
      <c r="T286" s="5" t="s">
        <v>913</v>
      </c>
      <c r="V286" s="30"/>
      <c r="W286" s="30"/>
      <c r="X286" s="6"/>
      <c r="Y286" s="6"/>
      <c r="Z286" s="6"/>
      <c r="AA286" s="9" t="s">
        <v>41</v>
      </c>
      <c r="AB286" s="30"/>
    </row>
    <row r="287" spans="1:30">
      <c r="A287" s="5">
        <f>IF(AA287="aktif",MAX($A$1:A286)+1,"")</f>
        <v>248</v>
      </c>
      <c r="B287" s="25"/>
      <c r="C287" s="15" t="s">
        <v>1401</v>
      </c>
      <c r="D287" s="139" t="s">
        <v>115</v>
      </c>
      <c r="E287" s="12" t="s">
        <v>786</v>
      </c>
      <c r="F287" s="5" t="s">
        <v>2152</v>
      </c>
      <c r="G287" s="5" t="s">
        <v>2152</v>
      </c>
      <c r="H287" s="22" t="s">
        <v>1145</v>
      </c>
      <c r="I287" s="12" t="s">
        <v>1042</v>
      </c>
      <c r="J287" s="5" t="s">
        <v>129</v>
      </c>
      <c r="K287" s="5"/>
      <c r="L287" s="26"/>
      <c r="M287" s="26" t="str">
        <f t="shared" ca="1" si="27"/>
        <v/>
      </c>
      <c r="N287" s="5" t="s">
        <v>31</v>
      </c>
      <c r="O287" s="26"/>
      <c r="P287" s="26" t="str">
        <f t="shared" ca="1" si="24"/>
        <v/>
      </c>
      <c r="Q287" s="5"/>
      <c r="R287" s="35"/>
      <c r="S287" s="3"/>
      <c r="V287" s="30"/>
      <c r="W287" s="30"/>
      <c r="X287" s="6"/>
      <c r="Y287" s="6"/>
      <c r="Z287" s="6"/>
      <c r="AA287" s="9" t="s">
        <v>41</v>
      </c>
      <c r="AB287" s="30"/>
    </row>
    <row r="288" spans="1:30">
      <c r="A288" s="5">
        <f>IF(AA288="aktif",MAX($A$1:A287)+1,"")</f>
        <v>249</v>
      </c>
      <c r="B288" s="25"/>
      <c r="C288" s="15" t="s">
        <v>1402</v>
      </c>
      <c r="D288" s="139" t="s">
        <v>115</v>
      </c>
      <c r="E288" s="12" t="s">
        <v>786</v>
      </c>
      <c r="F288" s="5" t="s">
        <v>2152</v>
      </c>
      <c r="G288" s="5" t="s">
        <v>2152</v>
      </c>
      <c r="H288" s="22" t="s">
        <v>1145</v>
      </c>
      <c r="I288" s="12" t="s">
        <v>1049</v>
      </c>
      <c r="J288" s="5" t="s">
        <v>129</v>
      </c>
      <c r="K288" s="5"/>
      <c r="L288" s="26">
        <v>45880</v>
      </c>
      <c r="M288" s="26" t="str">
        <f t="shared" ca="1" si="27"/>
        <v>0 tahun 11 bulan</v>
      </c>
      <c r="N288" s="5" t="s">
        <v>31</v>
      </c>
      <c r="O288" s="26">
        <v>39103</v>
      </c>
      <c r="P288" s="26" t="str">
        <f t="shared" ca="1" si="24"/>
        <v>19 tahun</v>
      </c>
      <c r="Q288" s="5" t="s">
        <v>46</v>
      </c>
      <c r="R288" s="35"/>
      <c r="S288" s="3" t="s">
        <v>1403</v>
      </c>
      <c r="T288" s="5" t="s">
        <v>1404</v>
      </c>
      <c r="U288" s="5" t="s">
        <v>81</v>
      </c>
      <c r="V288" s="30" t="s">
        <v>1405</v>
      </c>
      <c r="W288" s="30" t="s">
        <v>1406</v>
      </c>
      <c r="X288" s="6"/>
      <c r="Y288" s="6"/>
      <c r="Z288" s="6"/>
      <c r="AA288" s="9" t="s">
        <v>41</v>
      </c>
      <c r="AB288" s="30"/>
    </row>
    <row r="289" spans="1:28">
      <c r="A289" s="5">
        <f>IF(AA289="aktif",MAX($A$1:A288)+1,"")</f>
        <v>250</v>
      </c>
      <c r="B289" s="25"/>
      <c r="C289" s="15" t="s">
        <v>1407</v>
      </c>
      <c r="D289" s="139" t="s">
        <v>115</v>
      </c>
      <c r="E289" s="12" t="s">
        <v>786</v>
      </c>
      <c r="F289" s="5" t="s">
        <v>2152</v>
      </c>
      <c r="G289" s="5" t="s">
        <v>2152</v>
      </c>
      <c r="H289" s="22" t="s">
        <v>1145</v>
      </c>
      <c r="I289" s="12" t="s">
        <v>1049</v>
      </c>
      <c r="J289" s="5" t="s">
        <v>129</v>
      </c>
      <c r="K289" s="5"/>
      <c r="L289" s="26">
        <v>45824</v>
      </c>
      <c r="M289" s="26" t="str">
        <f t="shared" ca="1" si="27"/>
        <v>1 tahun 1 bulan</v>
      </c>
      <c r="N289" s="5" t="s">
        <v>31</v>
      </c>
      <c r="O289" s="26">
        <v>38930</v>
      </c>
      <c r="P289" s="26" t="str">
        <f t="shared" ca="1" si="24"/>
        <v>20 tahun</v>
      </c>
      <c r="Q289" s="5" t="s">
        <v>46</v>
      </c>
      <c r="R289" s="35"/>
      <c r="S289" s="3" t="s">
        <v>1408</v>
      </c>
      <c r="T289" s="5" t="s">
        <v>1409</v>
      </c>
      <c r="U289" s="5" t="s">
        <v>81</v>
      </c>
      <c r="V289" s="30"/>
      <c r="W289" s="30"/>
      <c r="X289" s="6"/>
      <c r="Y289" s="6"/>
      <c r="Z289" s="6"/>
      <c r="AA289" s="9" t="s">
        <v>41</v>
      </c>
      <c r="AB289" s="30" t="s">
        <v>1410</v>
      </c>
    </row>
    <row r="290" spans="1:28">
      <c r="A290" s="5">
        <f>IF(AA290="aktif",MAX($A$1:A289)+1,"")</f>
        <v>251</v>
      </c>
      <c r="B290" s="25"/>
      <c r="C290" s="15" t="s">
        <v>1411</v>
      </c>
      <c r="D290" s="139" t="s">
        <v>115</v>
      </c>
      <c r="E290" s="18" t="s">
        <v>786</v>
      </c>
      <c r="F290" s="5" t="s">
        <v>2152</v>
      </c>
      <c r="G290" s="5" t="s">
        <v>2152</v>
      </c>
      <c r="H290" s="16" t="s">
        <v>704</v>
      </c>
      <c r="I290" s="18" t="s">
        <v>1034</v>
      </c>
      <c r="J290" s="5" t="s">
        <v>129</v>
      </c>
      <c r="K290" s="5"/>
      <c r="L290" s="26">
        <v>40695</v>
      </c>
      <c r="M290" s="26" t="str">
        <f t="shared" ca="1" si="27"/>
        <v>15 tahun 2 bulan</v>
      </c>
      <c r="N290" s="5" t="s">
        <v>31</v>
      </c>
      <c r="O290" s="26">
        <v>33247</v>
      </c>
      <c r="P290" s="26" t="str">
        <f t="shared" ca="1" si="24"/>
        <v>35 tahun</v>
      </c>
      <c r="Q290" s="5" t="s">
        <v>46</v>
      </c>
      <c r="R290" s="28">
        <v>3500000</v>
      </c>
      <c r="S290" s="25" t="s">
        <v>1412</v>
      </c>
      <c r="T290" s="5" t="s">
        <v>1413</v>
      </c>
      <c r="U290" s="5" t="s">
        <v>35</v>
      </c>
      <c r="V290" s="25" t="s">
        <v>1414</v>
      </c>
      <c r="W290" s="25"/>
      <c r="X290" s="5"/>
      <c r="Y290" s="25"/>
      <c r="Z290" s="5"/>
      <c r="AA290" s="9" t="s">
        <v>41</v>
      </c>
      <c r="AB290" s="6"/>
    </row>
    <row r="291" spans="1:28">
      <c r="A291" s="5">
        <f>IF(AA291="aktif",MAX($A$1:A290)+1,"")</f>
        <v>252</v>
      </c>
      <c r="B291" s="25"/>
      <c r="C291" s="15" t="s">
        <v>1415</v>
      </c>
      <c r="D291" s="139" t="s">
        <v>115</v>
      </c>
      <c r="E291" s="18" t="s">
        <v>786</v>
      </c>
      <c r="F291" s="5" t="s">
        <v>2152</v>
      </c>
      <c r="G291" s="5" t="s">
        <v>2152</v>
      </c>
      <c r="H291" s="16" t="s">
        <v>704</v>
      </c>
      <c r="I291" s="18" t="s">
        <v>1034</v>
      </c>
      <c r="J291" s="5" t="s">
        <v>129</v>
      </c>
      <c r="K291" s="5"/>
      <c r="L291" s="26">
        <v>45689</v>
      </c>
      <c r="M291" s="26" t="str">
        <f t="shared" ca="1" si="27"/>
        <v>1 tahun 6 bulan</v>
      </c>
      <c r="N291" s="5" t="s">
        <v>31</v>
      </c>
      <c r="O291" s="26">
        <v>33015</v>
      </c>
      <c r="P291" s="26" t="str">
        <f t="shared" ca="1" si="24"/>
        <v>36 tahun</v>
      </c>
      <c r="Q291" s="5" t="s">
        <v>46</v>
      </c>
      <c r="R291" s="35">
        <v>1700000</v>
      </c>
      <c r="S291" s="25" t="s">
        <v>1416</v>
      </c>
      <c r="T291" s="5" t="s">
        <v>1417</v>
      </c>
      <c r="U291" s="5" t="s">
        <v>165</v>
      </c>
      <c r="V291" s="25" t="s">
        <v>1418</v>
      </c>
      <c r="W291" s="25"/>
      <c r="X291" s="5"/>
      <c r="Y291" s="25"/>
      <c r="Z291" s="5"/>
      <c r="AA291" s="9" t="s">
        <v>41</v>
      </c>
      <c r="AB291" s="6"/>
    </row>
    <row r="292" spans="1:28">
      <c r="A292" s="5">
        <f>IF(AA292="aktif",MAX($A$1:A291)+1,"")</f>
        <v>253</v>
      </c>
      <c r="B292" s="25"/>
      <c r="C292" s="15" t="s">
        <v>1419</v>
      </c>
      <c r="D292" s="139" t="s">
        <v>115</v>
      </c>
      <c r="E292" s="18" t="s">
        <v>786</v>
      </c>
      <c r="F292" s="5" t="s">
        <v>2152</v>
      </c>
      <c r="G292" s="5" t="s">
        <v>2152</v>
      </c>
      <c r="H292" s="16" t="s">
        <v>704</v>
      </c>
      <c r="I292" s="18" t="s">
        <v>1042</v>
      </c>
      <c r="J292" s="5" t="s">
        <v>129</v>
      </c>
      <c r="K292" s="5"/>
      <c r="L292" s="26">
        <v>45327</v>
      </c>
      <c r="M292" s="26" t="str">
        <f t="shared" ca="1" si="27"/>
        <v>2 tahun 6 bulan</v>
      </c>
      <c r="N292" s="5" t="s">
        <v>31</v>
      </c>
      <c r="O292" s="26">
        <v>38235</v>
      </c>
      <c r="P292" s="26" t="str">
        <f t="shared" ca="1" si="24"/>
        <v>21 tahun</v>
      </c>
      <c r="Q292" s="5" t="s">
        <v>46</v>
      </c>
      <c r="R292" s="35">
        <v>2300000</v>
      </c>
      <c r="S292" s="25" t="s">
        <v>1420</v>
      </c>
      <c r="T292" s="5" t="s">
        <v>100</v>
      </c>
      <c r="U292" s="5" t="s">
        <v>165</v>
      </c>
      <c r="V292" s="25" t="s">
        <v>1421</v>
      </c>
      <c r="W292" s="25" t="s">
        <v>1422</v>
      </c>
      <c r="X292" s="5"/>
      <c r="Y292" s="25"/>
      <c r="Z292" s="5"/>
      <c r="AA292" s="9" t="s">
        <v>41</v>
      </c>
      <c r="AB292" s="6"/>
    </row>
    <row r="293" spans="1:28">
      <c r="A293" s="5">
        <f>IF(AA293="aktif",MAX($A$1:A292)+1,"")</f>
        <v>254</v>
      </c>
      <c r="B293" s="25"/>
      <c r="C293" s="15" t="s">
        <v>963</v>
      </c>
      <c r="D293" s="139" t="s">
        <v>115</v>
      </c>
      <c r="E293" s="18" t="s">
        <v>786</v>
      </c>
      <c r="F293" s="5" t="s">
        <v>2152</v>
      </c>
      <c r="G293" s="5" t="s">
        <v>2152</v>
      </c>
      <c r="H293" s="16" t="s">
        <v>704</v>
      </c>
      <c r="I293" s="18" t="s">
        <v>1042</v>
      </c>
      <c r="J293" s="5" t="s">
        <v>129</v>
      </c>
      <c r="K293" s="5"/>
      <c r="L293" s="26">
        <v>45499</v>
      </c>
      <c r="M293" s="26" t="str">
        <f t="shared" ca="1" si="27"/>
        <v>2 tahun 0 bulan</v>
      </c>
      <c r="N293" s="5" t="s">
        <v>31</v>
      </c>
      <c r="O293" s="26">
        <v>35958</v>
      </c>
      <c r="P293" s="26" t="str">
        <f t="shared" ca="1" si="24"/>
        <v>28 tahun</v>
      </c>
      <c r="Q293" s="5" t="s">
        <v>46</v>
      </c>
      <c r="R293" s="35">
        <v>3000000</v>
      </c>
      <c r="S293" s="25" t="s">
        <v>964</v>
      </c>
      <c r="T293" s="5" t="s">
        <v>965</v>
      </c>
      <c r="U293" s="5" t="s">
        <v>35</v>
      </c>
      <c r="V293" s="25" t="s">
        <v>966</v>
      </c>
      <c r="W293" s="25" t="s">
        <v>967</v>
      </c>
      <c r="X293" s="5"/>
      <c r="Y293" s="25"/>
      <c r="Z293" s="5"/>
      <c r="AA293" s="9" t="s">
        <v>41</v>
      </c>
      <c r="AB293" s="6"/>
    </row>
    <row r="294" spans="1:28">
      <c r="A294" s="5">
        <f>IF(AA294="aktif",MAX($A$1:A293)+1,"")</f>
        <v>255</v>
      </c>
      <c r="B294" s="25"/>
      <c r="C294" s="15" t="s">
        <v>1424</v>
      </c>
      <c r="D294" s="139" t="s">
        <v>115</v>
      </c>
      <c r="E294" s="18" t="s">
        <v>786</v>
      </c>
      <c r="F294" s="5" t="s">
        <v>2152</v>
      </c>
      <c r="G294" s="5" t="s">
        <v>2152</v>
      </c>
      <c r="H294" s="16" t="s">
        <v>704</v>
      </c>
      <c r="I294" s="18" t="s">
        <v>1049</v>
      </c>
      <c r="J294" s="5" t="s">
        <v>129</v>
      </c>
      <c r="K294" s="5"/>
      <c r="L294" s="26">
        <v>40330</v>
      </c>
      <c r="M294" s="26" t="str">
        <f t="shared" ca="1" si="27"/>
        <v>16 tahun 2 bulan</v>
      </c>
      <c r="N294" s="5" t="s">
        <v>31</v>
      </c>
      <c r="O294" s="26">
        <v>26450</v>
      </c>
      <c r="P294" s="26" t="str">
        <f t="shared" ca="1" si="24"/>
        <v>54 tahun</v>
      </c>
      <c r="Q294" s="5" t="s">
        <v>158</v>
      </c>
      <c r="R294" s="35">
        <v>3500000</v>
      </c>
      <c r="S294" s="25" t="s">
        <v>1425</v>
      </c>
      <c r="T294" s="5" t="s">
        <v>1426</v>
      </c>
      <c r="U294" s="5" t="s">
        <v>35</v>
      </c>
      <c r="V294" s="25" t="s">
        <v>1427</v>
      </c>
      <c r="W294" s="25" t="s">
        <v>1428</v>
      </c>
      <c r="X294" s="5"/>
      <c r="Y294" s="25"/>
      <c r="Z294" s="5"/>
      <c r="AA294" s="9" t="s">
        <v>41</v>
      </c>
      <c r="AB294" s="6"/>
    </row>
    <row r="295" spans="1:28">
      <c r="A295" s="5">
        <f>IF(AA295="aktif",MAX($A$1:A294)+1,"")</f>
        <v>256</v>
      </c>
      <c r="B295" s="25"/>
      <c r="C295" s="15" t="s">
        <v>1429</v>
      </c>
      <c r="D295" s="139" t="s">
        <v>115</v>
      </c>
      <c r="E295" s="18" t="s">
        <v>786</v>
      </c>
      <c r="F295" s="5" t="s">
        <v>2152</v>
      </c>
      <c r="G295" s="5" t="s">
        <v>2152</v>
      </c>
      <c r="H295" s="16" t="s">
        <v>704</v>
      </c>
      <c r="I295" s="18" t="s">
        <v>1049</v>
      </c>
      <c r="J295" s="5" t="s">
        <v>129</v>
      </c>
      <c r="K295" s="5"/>
      <c r="L295" s="26">
        <v>45495</v>
      </c>
      <c r="M295" s="26" t="str">
        <f t="shared" ca="1" si="27"/>
        <v>2 tahun 0 bulan</v>
      </c>
      <c r="N295" s="5" t="s">
        <v>31</v>
      </c>
      <c r="O295" s="26">
        <v>38763</v>
      </c>
      <c r="P295" s="26" t="str">
        <f t="shared" ca="1" si="24"/>
        <v>20 tahun</v>
      </c>
      <c r="Q295" s="5" t="s">
        <v>46</v>
      </c>
      <c r="R295" s="35">
        <v>3500000</v>
      </c>
      <c r="S295" s="25" t="s">
        <v>1430</v>
      </c>
      <c r="T295" s="5" t="s">
        <v>160</v>
      </c>
      <c r="U295" s="5" t="s">
        <v>165</v>
      </c>
      <c r="V295" s="25" t="s">
        <v>1431</v>
      </c>
      <c r="W295" s="25" t="s">
        <v>1432</v>
      </c>
      <c r="X295" s="5"/>
      <c r="Y295" s="25"/>
      <c r="Z295" s="5"/>
      <c r="AA295" s="9" t="s">
        <v>41</v>
      </c>
      <c r="AB295" s="6"/>
    </row>
    <row r="296" spans="1:28">
      <c r="A296" s="5">
        <f>IF(AA296="aktif",MAX($A$1:A295)+1,"")</f>
        <v>257</v>
      </c>
      <c r="B296" s="25"/>
      <c r="C296" s="147" t="s">
        <v>1441</v>
      </c>
      <c r="D296" s="139" t="s">
        <v>391</v>
      </c>
      <c r="E296" s="18" t="s">
        <v>786</v>
      </c>
      <c r="F296" s="5" t="s">
        <v>2152</v>
      </c>
      <c r="G296" s="5" t="s">
        <v>2152</v>
      </c>
      <c r="H296" s="16" t="s">
        <v>2152</v>
      </c>
      <c r="I296" s="18"/>
      <c r="J296" s="5" t="s">
        <v>45</v>
      </c>
      <c r="K296" s="5"/>
      <c r="L296" s="26"/>
      <c r="M296" s="26" t="str">
        <f t="shared" ca="1" si="27"/>
        <v/>
      </c>
      <c r="N296" s="5" t="s">
        <v>31</v>
      </c>
      <c r="O296" s="26">
        <v>29587</v>
      </c>
      <c r="P296" s="26" t="str">
        <f t="shared" ca="1" si="24"/>
        <v>45 tahun</v>
      </c>
      <c r="Q296" s="5" t="s">
        <v>46</v>
      </c>
      <c r="R296" s="5"/>
      <c r="S296" s="25" t="s">
        <v>1443</v>
      </c>
      <c r="T296" s="5" t="s">
        <v>1444</v>
      </c>
      <c r="U296" s="5" t="s">
        <v>35</v>
      </c>
      <c r="V296" s="25" t="s">
        <v>1445</v>
      </c>
      <c r="W296" s="25"/>
      <c r="X296" s="5">
        <v>807360177602000</v>
      </c>
      <c r="Y296" s="25" t="s">
        <v>1446</v>
      </c>
      <c r="Z296" s="5"/>
      <c r="AA296" s="9" t="s">
        <v>41</v>
      </c>
      <c r="AB296" s="6"/>
    </row>
    <row r="297" spans="1:28">
      <c r="A297" s="5">
        <f>IF(AA297="aktif",MAX($A$1:A296)+1,"")</f>
        <v>258</v>
      </c>
      <c r="B297" s="25"/>
      <c r="C297" s="15" t="s">
        <v>1447</v>
      </c>
      <c r="D297" s="139" t="s">
        <v>814</v>
      </c>
      <c r="E297" s="18" t="s">
        <v>786</v>
      </c>
      <c r="F297" s="5" t="s">
        <v>2152</v>
      </c>
      <c r="G297" s="5" t="s">
        <v>2152</v>
      </c>
      <c r="H297" s="16"/>
      <c r="I297" s="18"/>
      <c r="J297" s="5" t="s">
        <v>30</v>
      </c>
      <c r="K297" s="5"/>
      <c r="L297" s="26">
        <v>37104</v>
      </c>
      <c r="M297" s="26" t="str">
        <f t="shared" ca="1" si="27"/>
        <v>25 tahun 0 bulan</v>
      </c>
      <c r="N297" s="5" t="s">
        <v>31</v>
      </c>
      <c r="O297" s="26">
        <v>28234</v>
      </c>
      <c r="P297" s="26" t="str">
        <f t="shared" ca="1" si="24"/>
        <v>49 tahun</v>
      </c>
      <c r="Q297" s="5" t="s">
        <v>46</v>
      </c>
      <c r="R297" s="35">
        <v>4856026</v>
      </c>
      <c r="S297" s="25" t="s">
        <v>1448</v>
      </c>
      <c r="T297" s="5" t="s">
        <v>1228</v>
      </c>
      <c r="U297" s="5" t="s">
        <v>35</v>
      </c>
      <c r="V297" s="25" t="s">
        <v>1449</v>
      </c>
      <c r="W297" s="25" t="s">
        <v>1450</v>
      </c>
      <c r="X297" s="5">
        <v>819349077602000</v>
      </c>
      <c r="Y297" s="25"/>
      <c r="Z297" s="5" t="s">
        <v>1451</v>
      </c>
      <c r="AA297" s="9" t="s">
        <v>41</v>
      </c>
      <c r="AB297" s="6"/>
    </row>
    <row r="298" spans="1:28">
      <c r="A298" s="5">
        <f>IF(AA298="aktif",MAX($A$1:A297)+1,"")</f>
        <v>259</v>
      </c>
      <c r="B298" s="25"/>
      <c r="C298" s="15" t="s">
        <v>1452</v>
      </c>
      <c r="D298" s="139" t="s">
        <v>814</v>
      </c>
      <c r="E298" s="18" t="s">
        <v>786</v>
      </c>
      <c r="F298" s="5" t="s">
        <v>2152</v>
      </c>
      <c r="G298" s="5" t="s">
        <v>2152</v>
      </c>
      <c r="H298" s="16"/>
      <c r="I298" s="18"/>
      <c r="J298" s="5" t="s">
        <v>45</v>
      </c>
      <c r="K298" s="5"/>
      <c r="L298" s="26">
        <v>37272</v>
      </c>
      <c r="M298" s="26" t="str">
        <f t="shared" ca="1" si="27"/>
        <v>24 tahun 6 bulan</v>
      </c>
      <c r="N298" s="5" t="s">
        <v>31</v>
      </c>
      <c r="O298" s="26">
        <v>25949</v>
      </c>
      <c r="P298" s="26" t="str">
        <f t="shared" ca="1" si="24"/>
        <v>55 tahun</v>
      </c>
      <c r="Q298" s="5" t="s">
        <v>32</v>
      </c>
      <c r="R298" s="35">
        <v>4856026</v>
      </c>
      <c r="S298" s="25" t="s">
        <v>1453</v>
      </c>
      <c r="T298" s="5" t="s">
        <v>1454</v>
      </c>
      <c r="U298" s="5" t="s">
        <v>35</v>
      </c>
      <c r="V298" s="25" t="s">
        <v>1455</v>
      </c>
      <c r="W298" s="25" t="s">
        <v>1456</v>
      </c>
      <c r="X298" s="5"/>
      <c r="Y298" s="25" t="s">
        <v>1457</v>
      </c>
      <c r="Z298" s="5">
        <v>24151214442</v>
      </c>
      <c r="AA298" s="9" t="s">
        <v>41</v>
      </c>
      <c r="AB298" s="6"/>
    </row>
    <row r="299" spans="1:28">
      <c r="A299" s="5">
        <f>IF(AA299="aktif",MAX($A$1:A298)+1,"")</f>
        <v>260</v>
      </c>
      <c r="B299" s="25"/>
      <c r="C299" s="15" t="s">
        <v>1458</v>
      </c>
      <c r="D299" s="139" t="s">
        <v>814</v>
      </c>
      <c r="E299" s="18" t="s">
        <v>786</v>
      </c>
      <c r="F299" s="5" t="s">
        <v>2152</v>
      </c>
      <c r="G299" s="5" t="s">
        <v>2152</v>
      </c>
      <c r="H299" s="16"/>
      <c r="I299" s="18"/>
      <c r="J299" s="5" t="s">
        <v>45</v>
      </c>
      <c r="K299" s="5"/>
      <c r="L299" s="26"/>
      <c r="M299" s="26" t="str">
        <f t="shared" ca="1" si="27"/>
        <v/>
      </c>
      <c r="N299" s="5" t="s">
        <v>31</v>
      </c>
      <c r="O299" s="26">
        <v>29012</v>
      </c>
      <c r="P299" s="26" t="str">
        <f t="shared" ca="1" si="24"/>
        <v>47 tahun</v>
      </c>
      <c r="Q299" s="5"/>
      <c r="R299" s="35"/>
      <c r="S299" s="25" t="s">
        <v>1459</v>
      </c>
      <c r="T299" s="5" t="s">
        <v>1460</v>
      </c>
      <c r="U299" s="5" t="s">
        <v>35</v>
      </c>
      <c r="V299" s="25" t="s">
        <v>1461</v>
      </c>
      <c r="W299" s="25"/>
      <c r="X299" s="5"/>
      <c r="Y299" s="25"/>
      <c r="Z299" s="5">
        <v>11023345629</v>
      </c>
      <c r="AA299" s="9" t="s">
        <v>41</v>
      </c>
      <c r="AB299" s="6"/>
    </row>
    <row r="300" spans="1:28">
      <c r="A300" s="5">
        <f>IF(AA300="aktif",MAX($A$1:A299)+1,"")</f>
        <v>261</v>
      </c>
      <c r="B300" s="25" t="s">
        <v>1462</v>
      </c>
      <c r="C300" s="15" t="s">
        <v>1463</v>
      </c>
      <c r="D300" s="139" t="s">
        <v>44</v>
      </c>
      <c r="E300" s="18" t="s">
        <v>786</v>
      </c>
      <c r="F300" s="5" t="s">
        <v>2152</v>
      </c>
      <c r="G300" s="5" t="s">
        <v>2152</v>
      </c>
      <c r="H300" s="16"/>
      <c r="I300" s="18"/>
      <c r="J300" s="5" t="s">
        <v>45</v>
      </c>
      <c r="K300" s="5"/>
      <c r="L300" s="26"/>
      <c r="M300" s="26" t="str">
        <f t="shared" ca="1" si="27"/>
        <v/>
      </c>
      <c r="N300" s="5" t="s">
        <v>31</v>
      </c>
      <c r="O300" s="26">
        <v>31370</v>
      </c>
      <c r="P300" s="26" t="str">
        <f t="shared" ca="1" si="24"/>
        <v>40 tahun</v>
      </c>
      <c r="Q300" s="5" t="s">
        <v>32</v>
      </c>
      <c r="R300" s="35">
        <v>5289758</v>
      </c>
      <c r="S300" s="25" t="s">
        <v>1464</v>
      </c>
      <c r="T300" s="5" t="s">
        <v>1465</v>
      </c>
      <c r="U300" s="5" t="s">
        <v>35</v>
      </c>
      <c r="V300" s="25" t="s">
        <v>1466</v>
      </c>
      <c r="W300" s="25" t="s">
        <v>1467</v>
      </c>
      <c r="X300" s="5"/>
      <c r="Y300" s="25" t="s">
        <v>1468</v>
      </c>
      <c r="Z300" s="5"/>
      <c r="AA300" s="9" t="s">
        <v>41</v>
      </c>
      <c r="AB300" s="6"/>
    </row>
    <row r="301" spans="1:28">
      <c r="A301" s="5">
        <f>IF(AA301="aktif",MAX($A$1:A300)+1,"")</f>
        <v>262</v>
      </c>
      <c r="B301" s="25"/>
      <c r="C301" s="15" t="s">
        <v>1469</v>
      </c>
      <c r="D301" s="139" t="s">
        <v>44</v>
      </c>
      <c r="E301" s="18" t="s">
        <v>786</v>
      </c>
      <c r="F301" s="5" t="s">
        <v>2152</v>
      </c>
      <c r="G301" s="5" t="s">
        <v>2152</v>
      </c>
      <c r="H301" s="99"/>
      <c r="I301" s="123"/>
      <c r="J301" s="5" t="s">
        <v>45</v>
      </c>
      <c r="K301" s="5"/>
      <c r="L301" s="26"/>
      <c r="M301" s="26" t="str">
        <f t="shared" ca="1" si="27"/>
        <v/>
      </c>
      <c r="N301" s="5" t="s">
        <v>31</v>
      </c>
      <c r="O301" s="26">
        <v>31443</v>
      </c>
      <c r="P301" s="26" t="str">
        <f t="shared" ca="1" si="24"/>
        <v>40 tahun</v>
      </c>
      <c r="Q301" s="5"/>
      <c r="R301" s="35"/>
      <c r="S301" s="25" t="s">
        <v>1470</v>
      </c>
      <c r="T301" s="5" t="s">
        <v>1471</v>
      </c>
      <c r="U301" s="5" t="s">
        <v>35</v>
      </c>
      <c r="V301" s="25" t="s">
        <v>1472</v>
      </c>
      <c r="W301" s="25"/>
      <c r="X301" s="5"/>
      <c r="Y301" s="25"/>
      <c r="Z301" s="5">
        <v>11023345645</v>
      </c>
      <c r="AA301" s="9" t="s">
        <v>41</v>
      </c>
      <c r="AB301" s="6"/>
    </row>
    <row r="302" spans="1:28">
      <c r="A302" s="5">
        <f>IF(AA302="aktif",MAX($A$1:A301)+1,"")</f>
        <v>263</v>
      </c>
      <c r="B302" s="25" t="s">
        <v>1473</v>
      </c>
      <c r="C302" s="15" t="s">
        <v>1474</v>
      </c>
      <c r="D302" s="139" t="s">
        <v>44</v>
      </c>
      <c r="E302" s="18" t="s">
        <v>786</v>
      </c>
      <c r="F302" s="5" t="s">
        <v>2152</v>
      </c>
      <c r="G302" s="5" t="s">
        <v>2152</v>
      </c>
      <c r="H302" s="16"/>
      <c r="I302" s="18"/>
      <c r="J302" s="5" t="s">
        <v>30</v>
      </c>
      <c r="K302" s="5"/>
      <c r="L302" s="26"/>
      <c r="M302" s="26" t="str">
        <f t="shared" ca="1" si="27"/>
        <v/>
      </c>
      <c r="N302" s="5" t="s">
        <v>31</v>
      </c>
      <c r="O302" s="26">
        <v>28250</v>
      </c>
      <c r="P302" s="26" t="str">
        <f t="shared" ca="1" si="24"/>
        <v>49 tahun</v>
      </c>
      <c r="Q302" s="5" t="s">
        <v>32</v>
      </c>
      <c r="R302" s="35">
        <v>4856026</v>
      </c>
      <c r="S302" s="25" t="s">
        <v>1475</v>
      </c>
      <c r="T302" s="5" t="s">
        <v>1476</v>
      </c>
      <c r="U302" s="5" t="s">
        <v>35</v>
      </c>
      <c r="V302" s="25" t="s">
        <v>1477</v>
      </c>
      <c r="W302" s="25"/>
      <c r="X302" s="5"/>
      <c r="Y302" s="25" t="s">
        <v>1478</v>
      </c>
      <c r="Z302" s="5" t="s">
        <v>1479</v>
      </c>
      <c r="AA302" s="9" t="s">
        <v>41</v>
      </c>
      <c r="AB302" s="6"/>
    </row>
    <row r="303" spans="1:28">
      <c r="A303" s="5">
        <f>IF(AA303="aktif",MAX($A$1:A302)+1,"")</f>
        <v>264</v>
      </c>
      <c r="B303" s="25"/>
      <c r="C303" s="15" t="s">
        <v>1480</v>
      </c>
      <c r="D303" s="139" t="s">
        <v>78</v>
      </c>
      <c r="E303" s="18" t="s">
        <v>786</v>
      </c>
      <c r="F303" s="5" t="s">
        <v>2152</v>
      </c>
      <c r="G303" s="5" t="s">
        <v>2152</v>
      </c>
      <c r="H303" s="16" t="s">
        <v>1481</v>
      </c>
      <c r="I303" s="18" t="s">
        <v>1482</v>
      </c>
      <c r="J303" s="5" t="s">
        <v>45</v>
      </c>
      <c r="K303" s="5"/>
      <c r="L303" s="26"/>
      <c r="M303" s="26" t="str">
        <f t="shared" ca="1" si="27"/>
        <v/>
      </c>
      <c r="N303" s="5" t="s">
        <v>31</v>
      </c>
      <c r="O303" s="26">
        <v>33714</v>
      </c>
      <c r="P303" s="26" t="str">
        <f t="shared" ca="1" si="24"/>
        <v>34 tahun</v>
      </c>
      <c r="Q303" s="5" t="s">
        <v>46</v>
      </c>
      <c r="R303" s="35">
        <v>4856026</v>
      </c>
      <c r="S303" s="25" t="s">
        <v>1483</v>
      </c>
      <c r="T303" s="5" t="s">
        <v>1484</v>
      </c>
      <c r="U303" s="5" t="s">
        <v>165</v>
      </c>
      <c r="V303" s="25" t="s">
        <v>1485</v>
      </c>
      <c r="W303" s="25"/>
      <c r="X303" s="5"/>
      <c r="Y303" s="29" t="s">
        <v>1486</v>
      </c>
      <c r="Z303" s="5"/>
      <c r="AA303" s="9" t="s">
        <v>41</v>
      </c>
      <c r="AB303" s="6"/>
    </row>
    <row r="304" spans="1:28">
      <c r="A304" s="5">
        <f>IF(AA304="aktif",MAX($A$1:A303)+1,"")</f>
        <v>265</v>
      </c>
      <c r="B304" s="25"/>
      <c r="C304" s="15" t="s">
        <v>1487</v>
      </c>
      <c r="D304" s="139" t="s">
        <v>78</v>
      </c>
      <c r="E304" s="18" t="s">
        <v>786</v>
      </c>
      <c r="F304" s="5" t="s">
        <v>2152</v>
      </c>
      <c r="G304" s="5" t="s">
        <v>2152</v>
      </c>
      <c r="H304" s="16" t="s">
        <v>1488</v>
      </c>
      <c r="I304" s="18" t="s">
        <v>1482</v>
      </c>
      <c r="J304" s="5" t="s">
        <v>45</v>
      </c>
      <c r="K304" s="5"/>
      <c r="L304" s="26"/>
      <c r="M304" s="26" t="str">
        <f t="shared" ca="1" si="27"/>
        <v/>
      </c>
      <c r="N304" s="5" t="s">
        <v>31</v>
      </c>
      <c r="O304" s="26">
        <v>29221</v>
      </c>
      <c r="P304" s="26" t="str">
        <f t="shared" ca="1" si="24"/>
        <v>46 tahun</v>
      </c>
      <c r="Q304" s="5" t="s">
        <v>32</v>
      </c>
      <c r="R304" s="35">
        <v>4856026</v>
      </c>
      <c r="S304" s="25" t="s">
        <v>1489</v>
      </c>
      <c r="T304" s="5" t="s">
        <v>1490</v>
      </c>
      <c r="U304" s="5" t="s">
        <v>35</v>
      </c>
      <c r="V304" s="25" t="s">
        <v>1491</v>
      </c>
      <c r="W304" s="25"/>
      <c r="X304" s="5"/>
      <c r="Y304" s="25"/>
      <c r="Z304" s="5"/>
      <c r="AA304" s="9" t="s">
        <v>41</v>
      </c>
      <c r="AB304" s="6"/>
    </row>
    <row r="305" spans="1:28">
      <c r="A305" s="5">
        <f>IF(AA305="aktif",MAX($A$1:A304)+1,"")</f>
        <v>266</v>
      </c>
      <c r="B305" s="25"/>
      <c r="C305" s="15" t="s">
        <v>1492</v>
      </c>
      <c r="D305" s="139" t="s">
        <v>78</v>
      </c>
      <c r="E305" s="18" t="s">
        <v>786</v>
      </c>
      <c r="F305" s="5" t="s">
        <v>2152</v>
      </c>
      <c r="G305" s="5" t="s">
        <v>2152</v>
      </c>
      <c r="H305" s="16" t="s">
        <v>1493</v>
      </c>
      <c r="I305" s="18" t="s">
        <v>1482</v>
      </c>
      <c r="J305" s="5" t="s">
        <v>45</v>
      </c>
      <c r="K305" s="5"/>
      <c r="L305" s="26">
        <v>38869</v>
      </c>
      <c r="M305" s="26" t="str">
        <f t="shared" ca="1" si="27"/>
        <v>20 tahun 2 bulan</v>
      </c>
      <c r="N305" s="5" t="s">
        <v>31</v>
      </c>
      <c r="O305" s="26">
        <v>26616</v>
      </c>
      <c r="P305" s="26" t="str">
        <f t="shared" ca="1" si="24"/>
        <v>53 tahun</v>
      </c>
      <c r="Q305" s="5" t="s">
        <v>32</v>
      </c>
      <c r="R305" s="35">
        <v>4856026</v>
      </c>
      <c r="S305" s="25" t="s">
        <v>1494</v>
      </c>
      <c r="T305" s="5" t="s">
        <v>231</v>
      </c>
      <c r="U305" s="5" t="s">
        <v>35</v>
      </c>
      <c r="V305" s="25" t="s">
        <v>1495</v>
      </c>
      <c r="W305" s="25"/>
      <c r="X305" s="5"/>
      <c r="Y305" s="25" t="s">
        <v>1496</v>
      </c>
      <c r="Z305" s="5"/>
      <c r="AA305" s="9" t="s">
        <v>41</v>
      </c>
      <c r="AB305" s="6"/>
    </row>
    <row r="306" spans="1:28">
      <c r="A306" s="5">
        <f>IF(AA306="aktif",MAX($A$1:A305)+1,"")</f>
        <v>267</v>
      </c>
      <c r="B306" s="25" t="s">
        <v>1497</v>
      </c>
      <c r="C306" s="15" t="s">
        <v>1498</v>
      </c>
      <c r="D306" s="139" t="s">
        <v>78</v>
      </c>
      <c r="E306" s="18" t="s">
        <v>786</v>
      </c>
      <c r="F306" s="5" t="s">
        <v>2152</v>
      </c>
      <c r="G306" s="5" t="s">
        <v>2152</v>
      </c>
      <c r="H306" s="16" t="s">
        <v>1499</v>
      </c>
      <c r="I306" s="18" t="s">
        <v>1482</v>
      </c>
      <c r="J306" s="5" t="s">
        <v>45</v>
      </c>
      <c r="K306" s="5"/>
      <c r="L306" s="26">
        <v>38139</v>
      </c>
      <c r="M306" s="26" t="str">
        <f t="shared" ca="1" si="27"/>
        <v>22 tahun 2 bulan</v>
      </c>
      <c r="N306" s="5" t="s">
        <v>31</v>
      </c>
      <c r="O306" s="26">
        <v>30850</v>
      </c>
      <c r="P306" s="26" t="str">
        <f t="shared" ca="1" si="24"/>
        <v>42 tahun</v>
      </c>
      <c r="Q306" s="5" t="s">
        <v>32</v>
      </c>
      <c r="R306" s="35"/>
      <c r="S306" s="25" t="s">
        <v>1500</v>
      </c>
      <c r="T306" s="5" t="s">
        <v>628</v>
      </c>
      <c r="U306" s="5" t="s">
        <v>35</v>
      </c>
      <c r="V306" s="25" t="s">
        <v>1501</v>
      </c>
      <c r="W306" s="25" t="s">
        <v>1502</v>
      </c>
      <c r="X306" s="5">
        <v>656787488602000</v>
      </c>
      <c r="Y306" s="25" t="s">
        <v>1503</v>
      </c>
      <c r="Z306" s="5">
        <v>15047449325000</v>
      </c>
      <c r="AA306" s="9" t="s">
        <v>41</v>
      </c>
      <c r="AB306" s="6"/>
    </row>
    <row r="307" spans="1:28">
      <c r="A307" s="5">
        <f>IF(AA307="aktif",MAX($A$1:A306)+1,"")</f>
        <v>268</v>
      </c>
      <c r="B307" s="25"/>
      <c r="C307" s="15" t="s">
        <v>1504</v>
      </c>
      <c r="D307" s="139" t="s">
        <v>78</v>
      </c>
      <c r="E307" s="18" t="s">
        <v>786</v>
      </c>
      <c r="F307" s="5" t="s">
        <v>2152</v>
      </c>
      <c r="G307" s="5" t="s">
        <v>2152</v>
      </c>
      <c r="H307" s="16" t="s">
        <v>1505</v>
      </c>
      <c r="I307" s="18" t="s">
        <v>1482</v>
      </c>
      <c r="J307" s="5" t="s">
        <v>45</v>
      </c>
      <c r="K307" s="5"/>
      <c r="L307" s="26"/>
      <c r="M307" s="26"/>
      <c r="N307" s="5" t="s">
        <v>31</v>
      </c>
      <c r="O307" s="26"/>
      <c r="P307" s="26"/>
      <c r="Q307" s="5"/>
      <c r="R307" s="35"/>
      <c r="S307" s="25"/>
      <c r="V307" s="25"/>
      <c r="W307" s="25"/>
      <c r="X307" s="5"/>
      <c r="Y307" s="25"/>
      <c r="Z307" s="5"/>
      <c r="AA307" s="9" t="s">
        <v>41</v>
      </c>
      <c r="AB307" s="6"/>
    </row>
    <row r="308" spans="1:28">
      <c r="A308" s="5">
        <f>IF(AA308="aktif",MAX($A$1:A307)+1,"")</f>
        <v>269</v>
      </c>
      <c r="B308" s="25" t="s">
        <v>1506</v>
      </c>
      <c r="C308" s="15" t="s">
        <v>1507</v>
      </c>
      <c r="D308" s="139" t="s">
        <v>78</v>
      </c>
      <c r="E308" s="18" t="s">
        <v>786</v>
      </c>
      <c r="F308" s="5" t="s">
        <v>2152</v>
      </c>
      <c r="G308" s="5" t="s">
        <v>2152</v>
      </c>
      <c r="H308" s="16" t="s">
        <v>1481</v>
      </c>
      <c r="I308" s="18" t="s">
        <v>1508</v>
      </c>
      <c r="J308" s="5" t="s">
        <v>45</v>
      </c>
      <c r="K308" s="5"/>
      <c r="L308" s="26"/>
      <c r="M308" s="26" t="str">
        <f t="shared" ref="M308:M331" ca="1" si="28">IF(L308="","",DATEDIF(L308,TODAY(),"Y") &amp;" tahun " &amp; DATEDIF(L308,TODAY(),"YM")&amp;" bulan")</f>
        <v/>
      </c>
      <c r="N308" s="5" t="s">
        <v>31</v>
      </c>
      <c r="O308" s="26">
        <v>28705</v>
      </c>
      <c r="P308" s="26" t="str">
        <f t="shared" ref="P308:P331" ca="1" si="29">IF(O308="","",DATEDIF(O308,TODAY(),"Y")&amp;" tahun")</f>
        <v>48 tahun</v>
      </c>
      <c r="Q308" s="5" t="s">
        <v>32</v>
      </c>
      <c r="R308" s="35">
        <v>4856026</v>
      </c>
      <c r="S308" s="25" t="s">
        <v>1509</v>
      </c>
      <c r="T308" s="5" t="s">
        <v>238</v>
      </c>
      <c r="U308" s="5" t="s">
        <v>35</v>
      </c>
      <c r="V308" s="25" t="s">
        <v>1510</v>
      </c>
      <c r="W308" s="25" t="s">
        <v>1511</v>
      </c>
      <c r="X308" s="5"/>
      <c r="Y308" s="25"/>
      <c r="Z308" s="5">
        <v>18089051306</v>
      </c>
      <c r="AA308" s="9" t="s">
        <v>41</v>
      </c>
      <c r="AB308" s="6"/>
    </row>
    <row r="309" spans="1:28">
      <c r="A309" s="5">
        <f>IF(AA309="aktif",MAX($A$1:A308)+1,"")</f>
        <v>270</v>
      </c>
      <c r="B309" s="25"/>
      <c r="C309" s="15" t="s">
        <v>1512</v>
      </c>
      <c r="D309" s="139" t="s">
        <v>78</v>
      </c>
      <c r="E309" s="18" t="s">
        <v>786</v>
      </c>
      <c r="F309" s="5" t="s">
        <v>2152</v>
      </c>
      <c r="G309" s="5" t="s">
        <v>2152</v>
      </c>
      <c r="H309" s="16" t="s">
        <v>1488</v>
      </c>
      <c r="I309" s="18" t="s">
        <v>1508</v>
      </c>
      <c r="J309" s="5" t="s">
        <v>45</v>
      </c>
      <c r="K309" s="5"/>
      <c r="L309" s="26">
        <v>40695</v>
      </c>
      <c r="M309" s="26" t="str">
        <f t="shared" ca="1" si="28"/>
        <v>15 tahun 2 bulan</v>
      </c>
      <c r="N309" s="5" t="s">
        <v>31</v>
      </c>
      <c r="O309" s="26">
        <v>34033</v>
      </c>
      <c r="P309" s="26" t="str">
        <f t="shared" ca="1" si="29"/>
        <v>33 tahun</v>
      </c>
      <c r="Q309" s="5" t="s">
        <v>46</v>
      </c>
      <c r="R309" s="35">
        <v>4856026</v>
      </c>
      <c r="S309" s="25" t="s">
        <v>1513</v>
      </c>
      <c r="T309" s="5" t="s">
        <v>1514</v>
      </c>
      <c r="U309" s="5" t="s">
        <v>35</v>
      </c>
      <c r="V309" s="25" t="s">
        <v>1515</v>
      </c>
      <c r="W309" s="25" t="s">
        <v>1516</v>
      </c>
      <c r="X309" s="5"/>
      <c r="Y309" s="25" t="s">
        <v>1517</v>
      </c>
      <c r="Z309" s="5"/>
      <c r="AA309" s="9" t="s">
        <v>41</v>
      </c>
      <c r="AB309" s="6"/>
    </row>
    <row r="310" spans="1:28">
      <c r="A310" s="5">
        <f>IF(AA310="aktif",MAX($A$1:A309)+1,"")</f>
        <v>271</v>
      </c>
      <c r="B310" s="25" t="s">
        <v>1518</v>
      </c>
      <c r="C310" s="15" t="s">
        <v>1519</v>
      </c>
      <c r="D310" s="139" t="s">
        <v>78</v>
      </c>
      <c r="E310" s="18" t="s">
        <v>786</v>
      </c>
      <c r="F310" s="5" t="s">
        <v>2152</v>
      </c>
      <c r="G310" s="5" t="s">
        <v>2152</v>
      </c>
      <c r="H310" s="16" t="s">
        <v>1493</v>
      </c>
      <c r="I310" s="18" t="s">
        <v>1508</v>
      </c>
      <c r="J310" s="5" t="s">
        <v>45</v>
      </c>
      <c r="K310" s="5"/>
      <c r="L310" s="26">
        <v>37408</v>
      </c>
      <c r="M310" s="26" t="str">
        <f t="shared" ca="1" si="28"/>
        <v>24 tahun 2 bulan</v>
      </c>
      <c r="N310" s="5" t="s">
        <v>31</v>
      </c>
      <c r="O310" s="26">
        <v>30963</v>
      </c>
      <c r="P310" s="26" t="str">
        <f t="shared" ca="1" si="29"/>
        <v>41 tahun</v>
      </c>
      <c r="Q310" s="5" t="s">
        <v>32</v>
      </c>
      <c r="R310" s="35">
        <v>4856026</v>
      </c>
      <c r="S310" s="25" t="s">
        <v>1520</v>
      </c>
      <c r="T310" s="5" t="s">
        <v>1521</v>
      </c>
      <c r="U310" s="5" t="s">
        <v>35</v>
      </c>
      <c r="V310" s="25" t="s">
        <v>1522</v>
      </c>
      <c r="W310" s="25"/>
      <c r="X310" s="5"/>
      <c r="Y310" s="25" t="s">
        <v>1523</v>
      </c>
      <c r="Z310" s="5">
        <v>11032939131</v>
      </c>
      <c r="AA310" s="9" t="s">
        <v>41</v>
      </c>
      <c r="AB310" s="6"/>
    </row>
    <row r="311" spans="1:28">
      <c r="A311" s="5">
        <f>IF(AA311="aktif",MAX($A$1:A310)+1,"")</f>
        <v>272</v>
      </c>
      <c r="B311" s="25" t="s">
        <v>1524</v>
      </c>
      <c r="C311" s="15" t="s">
        <v>1525</v>
      </c>
      <c r="D311" s="139" t="s">
        <v>78</v>
      </c>
      <c r="E311" s="18" t="s">
        <v>786</v>
      </c>
      <c r="F311" s="5" t="s">
        <v>2152</v>
      </c>
      <c r="G311" s="5" t="s">
        <v>2152</v>
      </c>
      <c r="H311" s="16" t="s">
        <v>1526</v>
      </c>
      <c r="I311" s="18" t="s">
        <v>1508</v>
      </c>
      <c r="J311" s="5" t="s">
        <v>45</v>
      </c>
      <c r="K311" s="5"/>
      <c r="L311" s="26">
        <v>37530</v>
      </c>
      <c r="M311" s="26" t="str">
        <f t="shared" ca="1" si="28"/>
        <v>23 tahun 10 bulan</v>
      </c>
      <c r="N311" s="5" t="s">
        <v>31</v>
      </c>
      <c r="O311" s="26">
        <v>30639</v>
      </c>
      <c r="P311" s="26" t="str">
        <f t="shared" ca="1" si="29"/>
        <v>42 tahun</v>
      </c>
      <c r="Q311" s="5" t="s">
        <v>46</v>
      </c>
      <c r="R311" s="35"/>
      <c r="S311" s="25" t="s">
        <v>1527</v>
      </c>
      <c r="T311" s="5" t="s">
        <v>1528</v>
      </c>
      <c r="U311" s="5" t="s">
        <v>35</v>
      </c>
      <c r="V311" s="25" t="s">
        <v>1529</v>
      </c>
      <c r="W311" s="25"/>
      <c r="X311" s="5"/>
      <c r="Y311" s="25" t="s">
        <v>1530</v>
      </c>
      <c r="Z311" s="5">
        <v>11024137801000</v>
      </c>
      <c r="AA311" s="9" t="s">
        <v>41</v>
      </c>
      <c r="AB311" s="6"/>
    </row>
    <row r="312" spans="1:28">
      <c r="A312" s="5">
        <f>IF(AA312="aktif",MAX($A$1:A311)+1,"")</f>
        <v>273</v>
      </c>
      <c r="B312" s="25"/>
      <c r="C312" s="15" t="s">
        <v>1531</v>
      </c>
      <c r="D312" s="139" t="s">
        <v>78</v>
      </c>
      <c r="E312" s="18" t="s">
        <v>786</v>
      </c>
      <c r="F312" s="5" t="s">
        <v>2152</v>
      </c>
      <c r="G312" s="5" t="s">
        <v>2152</v>
      </c>
      <c r="H312" s="16" t="s">
        <v>1499</v>
      </c>
      <c r="I312" s="18" t="s">
        <v>1508</v>
      </c>
      <c r="J312" s="5" t="s">
        <v>45</v>
      </c>
      <c r="K312" s="5"/>
      <c r="L312" s="26">
        <v>40695</v>
      </c>
      <c r="M312" s="26" t="str">
        <f t="shared" ca="1" si="28"/>
        <v>15 tahun 2 bulan</v>
      </c>
      <c r="N312" s="5" t="s">
        <v>31</v>
      </c>
      <c r="O312" s="26">
        <v>31260</v>
      </c>
      <c r="P312" s="26" t="str">
        <f t="shared" ca="1" si="29"/>
        <v>41 tahun</v>
      </c>
      <c r="Q312" s="5" t="s">
        <v>121</v>
      </c>
      <c r="R312" s="35">
        <v>4856026</v>
      </c>
      <c r="S312" s="25" t="s">
        <v>1532</v>
      </c>
      <c r="T312" s="5" t="s">
        <v>1533</v>
      </c>
      <c r="U312" s="5" t="s">
        <v>35</v>
      </c>
      <c r="V312" s="25" t="s">
        <v>1534</v>
      </c>
      <c r="W312" s="25" t="s">
        <v>1535</v>
      </c>
      <c r="X312" s="5"/>
      <c r="Y312" s="25"/>
      <c r="Z312" s="25" t="s">
        <v>1536</v>
      </c>
      <c r="AA312" s="9" t="s">
        <v>41</v>
      </c>
      <c r="AB312" s="6"/>
    </row>
    <row r="313" spans="1:28">
      <c r="A313" s="5">
        <f>IF(AA313="aktif",MAX($A$1:A312)+1,"")</f>
        <v>274</v>
      </c>
      <c r="B313" s="25" t="s">
        <v>1537</v>
      </c>
      <c r="C313" s="15" t="s">
        <v>1538</v>
      </c>
      <c r="D313" s="139" t="s">
        <v>78</v>
      </c>
      <c r="E313" s="18" t="s">
        <v>786</v>
      </c>
      <c r="F313" s="5" t="s">
        <v>2152</v>
      </c>
      <c r="G313" s="5" t="s">
        <v>2152</v>
      </c>
      <c r="H313" s="16" t="s">
        <v>1481</v>
      </c>
      <c r="I313" s="18" t="s">
        <v>1539</v>
      </c>
      <c r="J313" s="5" t="s">
        <v>45</v>
      </c>
      <c r="K313" s="5"/>
      <c r="L313" s="26"/>
      <c r="M313" s="26" t="str">
        <f t="shared" ca="1" si="28"/>
        <v/>
      </c>
      <c r="N313" s="5" t="s">
        <v>31</v>
      </c>
      <c r="O313" s="26">
        <v>30414</v>
      </c>
      <c r="P313" s="26" t="str">
        <f t="shared" ca="1" si="29"/>
        <v>43 tahun</v>
      </c>
      <c r="Q313" s="5" t="s">
        <v>32</v>
      </c>
      <c r="R313" s="35">
        <v>4856026</v>
      </c>
      <c r="S313" s="25" t="s">
        <v>1540</v>
      </c>
      <c r="T313" s="5" t="s">
        <v>1541</v>
      </c>
      <c r="U313" s="5" t="s">
        <v>35</v>
      </c>
      <c r="V313" s="25" t="s">
        <v>1542</v>
      </c>
      <c r="W313" s="25" t="s">
        <v>1543</v>
      </c>
      <c r="X313" s="5"/>
      <c r="Y313" s="25" t="s">
        <v>1544</v>
      </c>
      <c r="Z313" s="5" t="s">
        <v>1540</v>
      </c>
      <c r="AA313" s="9" t="s">
        <v>41</v>
      </c>
      <c r="AB313" s="6"/>
    </row>
    <row r="314" spans="1:28">
      <c r="A314" s="5">
        <f>IF(AA314="aktif",MAX($A$1:A313)+1,"")</f>
        <v>275</v>
      </c>
      <c r="B314" s="25" t="s">
        <v>1545</v>
      </c>
      <c r="C314" s="15" t="s">
        <v>1546</v>
      </c>
      <c r="D314" s="139" t="s">
        <v>78</v>
      </c>
      <c r="E314" s="18" t="s">
        <v>786</v>
      </c>
      <c r="F314" s="5" t="s">
        <v>2152</v>
      </c>
      <c r="G314" s="5" t="s">
        <v>2152</v>
      </c>
      <c r="H314" s="16" t="s">
        <v>1488</v>
      </c>
      <c r="I314" s="18" t="s">
        <v>1539</v>
      </c>
      <c r="J314" s="5" t="s">
        <v>45</v>
      </c>
      <c r="K314" s="5"/>
      <c r="L314" s="26"/>
      <c r="M314" s="26" t="str">
        <f t="shared" ca="1" si="28"/>
        <v/>
      </c>
      <c r="N314" s="5" t="s">
        <v>31</v>
      </c>
      <c r="O314" s="26">
        <v>30158</v>
      </c>
      <c r="P314" s="26" t="str">
        <f t="shared" ca="1" si="29"/>
        <v>44 tahun</v>
      </c>
      <c r="Q314" s="5" t="s">
        <v>46</v>
      </c>
      <c r="R314" s="35">
        <v>4856026</v>
      </c>
      <c r="S314" s="25" t="s">
        <v>1547</v>
      </c>
      <c r="T314" s="5" t="s">
        <v>85</v>
      </c>
      <c r="U314" s="5" t="s">
        <v>35</v>
      </c>
      <c r="V314" s="25" t="s">
        <v>1548</v>
      </c>
      <c r="W314" s="25"/>
      <c r="X314" s="5"/>
      <c r="Y314" s="25" t="s">
        <v>1549</v>
      </c>
      <c r="Z314" s="5" t="s">
        <v>1547</v>
      </c>
      <c r="AA314" s="9" t="s">
        <v>41</v>
      </c>
      <c r="AB314" s="6"/>
    </row>
    <row r="315" spans="1:28">
      <c r="A315" s="5">
        <f>IF(AA315="aktif",MAX($A$1:A314)+1,"")</f>
        <v>276</v>
      </c>
      <c r="B315" s="25"/>
      <c r="C315" s="15" t="s">
        <v>1550</v>
      </c>
      <c r="D315" s="139" t="s">
        <v>78</v>
      </c>
      <c r="E315" s="18" t="s">
        <v>786</v>
      </c>
      <c r="F315" s="5" t="s">
        <v>2152</v>
      </c>
      <c r="G315" s="5" t="s">
        <v>2152</v>
      </c>
      <c r="H315" s="16" t="s">
        <v>1493</v>
      </c>
      <c r="I315" s="18" t="s">
        <v>1539</v>
      </c>
      <c r="J315" s="5" t="s">
        <v>45</v>
      </c>
      <c r="K315" s="5"/>
      <c r="L315" s="26"/>
      <c r="M315" s="26" t="str">
        <f t="shared" ca="1" si="28"/>
        <v/>
      </c>
      <c r="N315" s="5" t="s">
        <v>31</v>
      </c>
      <c r="O315" s="26">
        <v>31282</v>
      </c>
      <c r="P315" s="26" t="str">
        <f t="shared" ca="1" si="29"/>
        <v>40 tahun</v>
      </c>
      <c r="Q315" s="5"/>
      <c r="R315" s="35"/>
      <c r="S315" s="25"/>
      <c r="T315" s="5" t="s">
        <v>850</v>
      </c>
      <c r="U315" s="5" t="s">
        <v>165</v>
      </c>
      <c r="V315" s="25" t="s">
        <v>1551</v>
      </c>
      <c r="W315" s="25"/>
      <c r="X315" s="5"/>
      <c r="Y315" s="25"/>
      <c r="Z315" s="5"/>
      <c r="AA315" s="9" t="s">
        <v>41</v>
      </c>
      <c r="AB315" s="6"/>
    </row>
    <row r="316" spans="1:28">
      <c r="A316" s="5">
        <f>IF(AA316="aktif",MAX($A$1:A315)+1,"")</f>
        <v>277</v>
      </c>
      <c r="B316" s="25"/>
      <c r="C316" s="15" t="s">
        <v>1552</v>
      </c>
      <c r="D316" s="139" t="s">
        <v>78</v>
      </c>
      <c r="E316" s="18" t="s">
        <v>786</v>
      </c>
      <c r="F316" s="5" t="s">
        <v>2152</v>
      </c>
      <c r="G316" s="5" t="s">
        <v>2152</v>
      </c>
      <c r="H316" s="16" t="s">
        <v>1526</v>
      </c>
      <c r="I316" s="18" t="s">
        <v>1482</v>
      </c>
      <c r="J316" s="5" t="s">
        <v>45</v>
      </c>
      <c r="K316" s="5"/>
      <c r="L316" s="26">
        <v>43252</v>
      </c>
      <c r="M316" s="26" t="str">
        <f t="shared" ca="1" si="28"/>
        <v>8 tahun 2 bulan</v>
      </c>
      <c r="N316" s="5" t="s">
        <v>31</v>
      </c>
      <c r="O316" s="26">
        <v>33899</v>
      </c>
      <c r="P316" s="26" t="str">
        <f t="shared" ca="1" si="29"/>
        <v>33 tahun</v>
      </c>
      <c r="Q316" s="5" t="s">
        <v>46</v>
      </c>
      <c r="R316" s="35"/>
      <c r="S316" s="25" t="s">
        <v>1553</v>
      </c>
      <c r="T316" s="5" t="s">
        <v>1554</v>
      </c>
      <c r="U316" s="5" t="s">
        <v>35</v>
      </c>
      <c r="V316" s="25" t="s">
        <v>1555</v>
      </c>
      <c r="W316" s="25" t="s">
        <v>1556</v>
      </c>
      <c r="X316" s="5"/>
      <c r="Y316" s="25"/>
      <c r="Z316" s="5"/>
      <c r="AA316" s="9" t="s">
        <v>41</v>
      </c>
      <c r="AB316" s="6"/>
    </row>
    <row r="317" spans="1:28">
      <c r="A317" s="5">
        <f>IF(AA317="aktif",MAX($A$1:A316)+1,"")</f>
        <v>278</v>
      </c>
      <c r="B317" s="25"/>
      <c r="C317" s="15" t="s">
        <v>1557</v>
      </c>
      <c r="D317" s="139" t="s">
        <v>78</v>
      </c>
      <c r="E317" s="18" t="s">
        <v>786</v>
      </c>
      <c r="F317" s="5" t="s">
        <v>2152</v>
      </c>
      <c r="G317" s="5" t="s">
        <v>2152</v>
      </c>
      <c r="H317" s="16" t="s">
        <v>1558</v>
      </c>
      <c r="I317" s="18"/>
      <c r="J317" s="5" t="s">
        <v>45</v>
      </c>
      <c r="K317" s="5"/>
      <c r="L317" s="26"/>
      <c r="M317" s="26" t="str">
        <f t="shared" ca="1" si="28"/>
        <v/>
      </c>
      <c r="N317" s="5" t="s">
        <v>31</v>
      </c>
      <c r="O317" s="26">
        <v>29952</v>
      </c>
      <c r="P317" s="26" t="str">
        <f t="shared" ca="1" si="29"/>
        <v>44 tahun</v>
      </c>
      <c r="Q317" s="5" t="s">
        <v>46</v>
      </c>
      <c r="R317" s="35">
        <v>4856026</v>
      </c>
      <c r="S317" s="25" t="s">
        <v>1559</v>
      </c>
      <c r="T317" s="5" t="s">
        <v>1560</v>
      </c>
      <c r="U317" s="5" t="s">
        <v>35</v>
      </c>
      <c r="V317" s="25" t="s">
        <v>1561</v>
      </c>
      <c r="W317" s="25"/>
      <c r="X317" s="5" t="s">
        <v>1562</v>
      </c>
      <c r="Y317" s="25"/>
      <c r="Z317" s="5">
        <v>11024228659000</v>
      </c>
      <c r="AA317" s="9" t="s">
        <v>41</v>
      </c>
      <c r="AB317" s="6"/>
    </row>
    <row r="318" spans="1:28">
      <c r="A318" s="5">
        <f>IF(AA318="aktif",MAX($A$1:A317)+1,"")</f>
        <v>279</v>
      </c>
      <c r="B318" s="25"/>
      <c r="C318" s="15" t="s">
        <v>1563</v>
      </c>
      <c r="D318" s="139" t="s">
        <v>78</v>
      </c>
      <c r="E318" s="18" t="s">
        <v>786</v>
      </c>
      <c r="F318" s="5" t="s">
        <v>2152</v>
      </c>
      <c r="G318" s="5" t="s">
        <v>2152</v>
      </c>
      <c r="H318" s="16" t="s">
        <v>1558</v>
      </c>
      <c r="I318" s="18"/>
      <c r="J318" s="5" t="s">
        <v>45</v>
      </c>
      <c r="K318" s="5"/>
      <c r="L318" s="26"/>
      <c r="M318" s="26" t="str">
        <f t="shared" ca="1" si="28"/>
        <v/>
      </c>
      <c r="N318" s="5" t="s">
        <v>31</v>
      </c>
      <c r="O318" s="26">
        <v>28991</v>
      </c>
      <c r="P318" s="26" t="str">
        <f t="shared" ca="1" si="29"/>
        <v>47 tahun</v>
      </c>
      <c r="Q318" s="5" t="s">
        <v>32</v>
      </c>
      <c r="R318" s="35"/>
      <c r="S318" s="25" t="s">
        <v>1564</v>
      </c>
      <c r="T318" s="5" t="s">
        <v>755</v>
      </c>
      <c r="U318" s="5" t="s">
        <v>35</v>
      </c>
      <c r="V318" s="25" t="s">
        <v>1565</v>
      </c>
      <c r="W318" s="25"/>
      <c r="X318" s="5">
        <v>403566326602000</v>
      </c>
      <c r="Y318" s="25" t="s">
        <v>1566</v>
      </c>
      <c r="Z318" s="5">
        <v>11023345637000</v>
      </c>
      <c r="AA318" s="9" t="s">
        <v>41</v>
      </c>
      <c r="AB318" s="6"/>
    </row>
    <row r="319" spans="1:28">
      <c r="A319" s="5">
        <f>IF(AA319="aktif",MAX($A$1:A318)+1,"")</f>
        <v>280</v>
      </c>
      <c r="B319" s="25"/>
      <c r="C319" s="15" t="s">
        <v>1567</v>
      </c>
      <c r="D319" s="139" t="s">
        <v>937</v>
      </c>
      <c r="E319" s="18" t="s">
        <v>786</v>
      </c>
      <c r="F319" s="5" t="s">
        <v>2152</v>
      </c>
      <c r="G319" s="5" t="s">
        <v>2152</v>
      </c>
      <c r="H319" s="16" t="s">
        <v>1526</v>
      </c>
      <c r="I319" s="18" t="s">
        <v>1482</v>
      </c>
      <c r="J319" s="5" t="s">
        <v>71</v>
      </c>
      <c r="K319" s="5"/>
      <c r="L319" s="26">
        <v>45145</v>
      </c>
      <c r="M319" s="26" t="str">
        <f t="shared" ca="1" si="28"/>
        <v>3 tahun 0 bulan</v>
      </c>
      <c r="N319" s="5" t="s">
        <v>31</v>
      </c>
      <c r="O319" s="26">
        <v>38204</v>
      </c>
      <c r="P319" s="26" t="str">
        <f t="shared" ca="1" si="29"/>
        <v>22 tahun</v>
      </c>
      <c r="Q319" s="5" t="s">
        <v>46</v>
      </c>
      <c r="R319" s="35">
        <v>4450000</v>
      </c>
      <c r="S319" s="25" t="s">
        <v>1568</v>
      </c>
      <c r="T319" s="5" t="s">
        <v>343</v>
      </c>
      <c r="U319" s="5" t="s">
        <v>165</v>
      </c>
      <c r="V319" s="25" t="s">
        <v>1569</v>
      </c>
      <c r="W319" s="25" t="s">
        <v>1570</v>
      </c>
      <c r="X319" s="5"/>
      <c r="Y319" s="25"/>
      <c r="Z319" s="5"/>
      <c r="AA319" s="9" t="s">
        <v>41</v>
      </c>
      <c r="AB319" s="6"/>
    </row>
    <row r="320" spans="1:28">
      <c r="A320" s="5">
        <f>IF(AA320="aktif",MAX($A$1:A319)+1,"")</f>
        <v>281</v>
      </c>
      <c r="B320" s="25"/>
      <c r="C320" s="15" t="s">
        <v>1571</v>
      </c>
      <c r="D320" s="139" t="s">
        <v>937</v>
      </c>
      <c r="E320" s="18" t="s">
        <v>786</v>
      </c>
      <c r="F320" s="5" t="s">
        <v>2152</v>
      </c>
      <c r="G320" s="5" t="s">
        <v>2152</v>
      </c>
      <c r="H320" s="16" t="s">
        <v>1499</v>
      </c>
      <c r="I320" s="18" t="s">
        <v>1482</v>
      </c>
      <c r="J320" s="5" t="s">
        <v>71</v>
      </c>
      <c r="K320" s="5"/>
      <c r="L320" s="26">
        <v>43252</v>
      </c>
      <c r="M320" s="26" t="str">
        <f t="shared" ca="1" si="28"/>
        <v>8 tahun 2 bulan</v>
      </c>
      <c r="N320" s="5" t="s">
        <v>31</v>
      </c>
      <c r="O320" s="26">
        <v>36531</v>
      </c>
      <c r="P320" s="26" t="str">
        <f t="shared" ca="1" si="29"/>
        <v>26 tahun</v>
      </c>
      <c r="Q320" s="5" t="s">
        <v>46</v>
      </c>
      <c r="R320" s="35"/>
      <c r="S320" s="25" t="s">
        <v>1572</v>
      </c>
      <c r="T320" s="5" t="s">
        <v>1573</v>
      </c>
      <c r="U320" s="5" t="s">
        <v>165</v>
      </c>
      <c r="V320" s="25" t="s">
        <v>1574</v>
      </c>
      <c r="W320" s="25" t="s">
        <v>1574</v>
      </c>
      <c r="X320" s="5"/>
      <c r="Y320" s="25"/>
      <c r="Z320" s="5"/>
      <c r="AA320" s="9" t="s">
        <v>41</v>
      </c>
      <c r="AB320" s="6"/>
    </row>
    <row r="321" spans="1:28">
      <c r="A321" s="5">
        <f>IF(AA321="aktif",MAX($A$1:A320)+1,"")</f>
        <v>282</v>
      </c>
      <c r="B321" s="25"/>
      <c r="C321" s="15" t="s">
        <v>1575</v>
      </c>
      <c r="D321" s="139" t="s">
        <v>115</v>
      </c>
      <c r="E321" s="18" t="s">
        <v>786</v>
      </c>
      <c r="F321" s="5" t="s">
        <v>2152</v>
      </c>
      <c r="G321" s="5" t="s">
        <v>2152</v>
      </c>
      <c r="H321" s="16" t="s">
        <v>1526</v>
      </c>
      <c r="I321" s="18" t="s">
        <v>1508</v>
      </c>
      <c r="J321" s="5" t="s">
        <v>129</v>
      </c>
      <c r="K321" s="5"/>
      <c r="L321" s="26"/>
      <c r="M321" s="26" t="str">
        <f t="shared" ca="1" si="28"/>
        <v/>
      </c>
      <c r="N321" s="5" t="s">
        <v>31</v>
      </c>
      <c r="O321" s="26">
        <v>38274</v>
      </c>
      <c r="P321" s="26" t="str">
        <f t="shared" ca="1" si="29"/>
        <v>21 tahun</v>
      </c>
      <c r="Q321" s="5" t="s">
        <v>46</v>
      </c>
      <c r="R321" s="35"/>
      <c r="S321" s="25" t="s">
        <v>1576</v>
      </c>
      <c r="T321" s="5" t="s">
        <v>445</v>
      </c>
      <c r="U321" s="5" t="s">
        <v>165</v>
      </c>
      <c r="V321" s="25" t="s">
        <v>1577</v>
      </c>
      <c r="W321" s="25" t="s">
        <v>1578</v>
      </c>
      <c r="X321" s="5"/>
      <c r="Y321" s="25"/>
      <c r="Z321" s="5"/>
      <c r="AA321" s="9" t="s">
        <v>41</v>
      </c>
      <c r="AB321" s="6"/>
    </row>
    <row r="322" spans="1:28">
      <c r="A322" s="5">
        <f>IF(AA322="aktif",MAX($A$1:A321)+1,"")</f>
        <v>283</v>
      </c>
      <c r="B322" s="25"/>
      <c r="C322" s="15" t="s">
        <v>1596</v>
      </c>
      <c r="D322" s="139" t="s">
        <v>115</v>
      </c>
      <c r="E322" s="18" t="s">
        <v>786</v>
      </c>
      <c r="F322" s="5" t="s">
        <v>2152</v>
      </c>
      <c r="G322" s="5" t="s">
        <v>2152</v>
      </c>
      <c r="H322" s="16" t="s">
        <v>1488</v>
      </c>
      <c r="I322" s="18" t="s">
        <v>1482</v>
      </c>
      <c r="J322" s="5" t="s">
        <v>129</v>
      </c>
      <c r="K322" s="5"/>
      <c r="L322" s="26">
        <v>45536</v>
      </c>
      <c r="M322" s="26" t="str">
        <f t="shared" ca="1" si="28"/>
        <v>1 tahun 11 bulan</v>
      </c>
      <c r="N322" s="5" t="s">
        <v>31</v>
      </c>
      <c r="O322" s="26">
        <v>38487</v>
      </c>
      <c r="P322" s="26" t="str">
        <f t="shared" ca="1" si="29"/>
        <v>21 tahun</v>
      </c>
      <c r="Q322" s="5" t="s">
        <v>46</v>
      </c>
      <c r="R322" s="35"/>
      <c r="S322" s="25" t="s">
        <v>1597</v>
      </c>
      <c r="T322" s="5" t="s">
        <v>1598</v>
      </c>
      <c r="U322" s="5" t="s">
        <v>165</v>
      </c>
      <c r="V322" s="25" t="s">
        <v>1599</v>
      </c>
      <c r="W322" s="25" t="s">
        <v>1600</v>
      </c>
      <c r="X322" s="5"/>
      <c r="Y322" s="25"/>
      <c r="Z322" s="5"/>
      <c r="AA322" s="9" t="s">
        <v>41</v>
      </c>
      <c r="AB322" s="6"/>
    </row>
    <row r="323" spans="1:28">
      <c r="A323" s="5">
        <f>IF(AA323="aktif",MAX($A$1:A322)+1,"")</f>
        <v>284</v>
      </c>
      <c r="B323" s="25"/>
      <c r="C323" s="15" t="s">
        <v>1601</v>
      </c>
      <c r="D323" s="139" t="s">
        <v>115</v>
      </c>
      <c r="E323" s="18" t="s">
        <v>786</v>
      </c>
      <c r="F323" s="5" t="s">
        <v>2152</v>
      </c>
      <c r="G323" s="5" t="s">
        <v>2152</v>
      </c>
      <c r="H323" s="16" t="s">
        <v>1488</v>
      </c>
      <c r="I323" s="18" t="s">
        <v>1482</v>
      </c>
      <c r="J323" s="5" t="s">
        <v>129</v>
      </c>
      <c r="K323" s="5"/>
      <c r="L323" s="26">
        <v>45484</v>
      </c>
      <c r="M323" s="26" t="str">
        <f t="shared" ca="1" si="28"/>
        <v>2 tahun 0 bulan</v>
      </c>
      <c r="N323" s="5" t="s">
        <v>31</v>
      </c>
      <c r="O323" s="26">
        <v>35826</v>
      </c>
      <c r="P323" s="26" t="str">
        <f t="shared" ca="1" si="29"/>
        <v>28 tahun</v>
      </c>
      <c r="Q323" s="5" t="s">
        <v>46</v>
      </c>
      <c r="R323" s="35">
        <v>3300000</v>
      </c>
      <c r="S323" s="25" t="s">
        <v>1602</v>
      </c>
      <c r="T323" s="5" t="s">
        <v>617</v>
      </c>
      <c r="U323" s="5" t="s">
        <v>165</v>
      </c>
      <c r="V323" s="25" t="s">
        <v>1603</v>
      </c>
      <c r="W323" s="25" t="s">
        <v>1604</v>
      </c>
      <c r="X323" s="5"/>
      <c r="Y323" s="25"/>
      <c r="Z323" s="5"/>
      <c r="AA323" s="9" t="s">
        <v>41</v>
      </c>
      <c r="AB323" s="6"/>
    </row>
    <row r="324" spans="1:28">
      <c r="A324" s="5">
        <f>IF(AA324="aktif",MAX($A$1:A323)+1,"")</f>
        <v>285</v>
      </c>
      <c r="B324" s="25"/>
      <c r="C324" s="15" t="s">
        <v>1605</v>
      </c>
      <c r="D324" s="139" t="s">
        <v>115</v>
      </c>
      <c r="E324" s="18" t="s">
        <v>786</v>
      </c>
      <c r="F324" s="5" t="s">
        <v>2152</v>
      </c>
      <c r="G324" s="5" t="s">
        <v>2152</v>
      </c>
      <c r="H324" s="16" t="s">
        <v>1488</v>
      </c>
      <c r="I324" s="18" t="s">
        <v>1482</v>
      </c>
      <c r="J324" s="5" t="s">
        <v>129</v>
      </c>
      <c r="K324" s="5"/>
      <c r="L324" s="26"/>
      <c r="M324" s="26" t="str">
        <f t="shared" ca="1" si="28"/>
        <v/>
      </c>
      <c r="N324" s="5" t="s">
        <v>31</v>
      </c>
      <c r="O324" s="26">
        <v>33007</v>
      </c>
      <c r="P324" s="26" t="str">
        <f t="shared" ca="1" si="29"/>
        <v>36 tahun</v>
      </c>
      <c r="Q324" s="5"/>
      <c r="R324" s="35"/>
      <c r="S324" s="25" t="s">
        <v>1606</v>
      </c>
      <c r="T324" s="5" t="s">
        <v>611</v>
      </c>
      <c r="U324" s="5" t="s">
        <v>35</v>
      </c>
      <c r="V324" s="25" t="s">
        <v>1607</v>
      </c>
      <c r="W324" s="25" t="s">
        <v>1608</v>
      </c>
      <c r="X324" s="5"/>
      <c r="Y324" s="25"/>
      <c r="Z324" s="5"/>
      <c r="AA324" s="9" t="s">
        <v>41</v>
      </c>
      <c r="AB324" s="6"/>
    </row>
    <row r="325" spans="1:28">
      <c r="A325" s="5">
        <f>IF(AA325="aktif",MAX($A$1:A324)+1,"")</f>
        <v>286</v>
      </c>
      <c r="B325" s="25"/>
      <c r="C325" s="15" t="s">
        <v>1609</v>
      </c>
      <c r="D325" s="139" t="s">
        <v>115</v>
      </c>
      <c r="E325" s="18" t="s">
        <v>786</v>
      </c>
      <c r="F325" s="5" t="s">
        <v>2152</v>
      </c>
      <c r="G325" s="5" t="s">
        <v>2152</v>
      </c>
      <c r="H325" s="16" t="s">
        <v>1488</v>
      </c>
      <c r="I325" s="18" t="s">
        <v>1482</v>
      </c>
      <c r="J325" s="5" t="s">
        <v>129</v>
      </c>
      <c r="K325" s="5"/>
      <c r="L325" s="26">
        <v>45516</v>
      </c>
      <c r="M325" s="26" t="str">
        <f t="shared" ca="1" si="28"/>
        <v>1 tahun 11 bulan</v>
      </c>
      <c r="N325" s="5" t="s">
        <v>31</v>
      </c>
      <c r="O325" s="26">
        <v>38554</v>
      </c>
      <c r="P325" s="26" t="str">
        <f t="shared" ca="1" si="29"/>
        <v>21 tahun</v>
      </c>
      <c r="Q325" s="5" t="s">
        <v>32</v>
      </c>
      <c r="R325" s="35"/>
      <c r="S325" s="25" t="s">
        <v>1610</v>
      </c>
      <c r="T325" s="5" t="s">
        <v>1611</v>
      </c>
      <c r="U325" s="5" t="s">
        <v>165</v>
      </c>
      <c r="V325" s="25" t="s">
        <v>1612</v>
      </c>
      <c r="W325" s="25" t="s">
        <v>1613</v>
      </c>
      <c r="X325" s="5"/>
      <c r="Y325" s="25"/>
      <c r="Z325" s="5"/>
      <c r="AA325" s="9" t="s">
        <v>41</v>
      </c>
      <c r="AB325" s="6"/>
    </row>
    <row r="326" spans="1:28">
      <c r="A326" s="5">
        <f>IF(AA326="aktif",MAX($A$1:A325)+1,"")</f>
        <v>287</v>
      </c>
      <c r="B326" s="25"/>
      <c r="C326" s="15" t="s">
        <v>1614</v>
      </c>
      <c r="D326" s="139" t="s">
        <v>115</v>
      </c>
      <c r="E326" s="18" t="s">
        <v>786</v>
      </c>
      <c r="F326" s="5" t="s">
        <v>2152</v>
      </c>
      <c r="G326" s="5" t="s">
        <v>2152</v>
      </c>
      <c r="H326" s="16" t="s">
        <v>1488</v>
      </c>
      <c r="I326" s="18" t="s">
        <v>1482</v>
      </c>
      <c r="J326" s="5" t="s">
        <v>129</v>
      </c>
      <c r="K326" s="5"/>
      <c r="L326" s="26"/>
      <c r="M326" s="26" t="str">
        <f t="shared" ca="1" si="28"/>
        <v/>
      </c>
      <c r="N326" s="5" t="s">
        <v>31</v>
      </c>
      <c r="O326" s="26">
        <v>37763</v>
      </c>
      <c r="P326" s="26" t="str">
        <f t="shared" ca="1" si="29"/>
        <v>23 tahun</v>
      </c>
      <c r="Q326" s="5" t="s">
        <v>46</v>
      </c>
      <c r="R326" s="35">
        <v>1500000</v>
      </c>
      <c r="S326" s="25" t="s">
        <v>1615</v>
      </c>
      <c r="T326" s="5" t="s">
        <v>1417</v>
      </c>
      <c r="U326" s="5" t="s">
        <v>165</v>
      </c>
      <c r="V326" s="25" t="s">
        <v>1616</v>
      </c>
      <c r="W326" s="25"/>
      <c r="X326" s="5"/>
      <c r="Y326" s="25"/>
      <c r="Z326" s="5"/>
      <c r="AA326" s="9" t="s">
        <v>41</v>
      </c>
      <c r="AB326" s="6"/>
    </row>
    <row r="327" spans="1:28">
      <c r="A327" s="5">
        <f>IF(AA327="aktif",MAX($A$1:A326)+1,"")</f>
        <v>288</v>
      </c>
      <c r="B327" s="25"/>
      <c r="C327" s="15" t="s">
        <v>1617</v>
      </c>
      <c r="D327" s="139" t="s">
        <v>115</v>
      </c>
      <c r="E327" s="18" t="s">
        <v>786</v>
      </c>
      <c r="F327" s="5" t="s">
        <v>2152</v>
      </c>
      <c r="G327" s="5" t="s">
        <v>2152</v>
      </c>
      <c r="H327" s="16" t="s">
        <v>1488</v>
      </c>
      <c r="I327" s="18" t="s">
        <v>1482</v>
      </c>
      <c r="J327" s="5" t="s">
        <v>129</v>
      </c>
      <c r="K327" s="5"/>
      <c r="L327" s="26">
        <v>45736</v>
      </c>
      <c r="M327" s="26" t="str">
        <f t="shared" ca="1" si="28"/>
        <v>1 tahun 4 bulan</v>
      </c>
      <c r="N327" s="5" t="s">
        <v>31</v>
      </c>
      <c r="O327" s="26">
        <v>38028</v>
      </c>
      <c r="P327" s="26" t="str">
        <f t="shared" ca="1" si="29"/>
        <v>22 tahun</v>
      </c>
      <c r="Q327" s="5" t="s">
        <v>46</v>
      </c>
      <c r="R327" s="35"/>
      <c r="S327" s="25" t="s">
        <v>1618</v>
      </c>
      <c r="T327" s="5" t="s">
        <v>1619</v>
      </c>
      <c r="U327" s="5" t="s">
        <v>165</v>
      </c>
      <c r="V327" s="25" t="s">
        <v>1620</v>
      </c>
      <c r="W327" s="25"/>
      <c r="X327" s="5"/>
      <c r="Y327" s="25"/>
      <c r="Z327" s="5"/>
      <c r="AA327" s="9" t="s">
        <v>41</v>
      </c>
      <c r="AB327" s="6"/>
    </row>
    <row r="328" spans="1:28">
      <c r="A328" s="5">
        <f>IF(AA328="aktif",MAX($A$1:A327)+1,"")</f>
        <v>289</v>
      </c>
      <c r="B328" s="25"/>
      <c r="C328" s="15" t="s">
        <v>1621</v>
      </c>
      <c r="D328" s="139" t="s">
        <v>115</v>
      </c>
      <c r="E328" s="18" t="s">
        <v>786</v>
      </c>
      <c r="F328" s="5" t="s">
        <v>2152</v>
      </c>
      <c r="G328" s="5" t="s">
        <v>2152</v>
      </c>
      <c r="H328" s="16" t="s">
        <v>1488</v>
      </c>
      <c r="I328" s="18" t="s">
        <v>1508</v>
      </c>
      <c r="J328" s="5" t="s">
        <v>129</v>
      </c>
      <c r="K328" s="5"/>
      <c r="L328" s="26"/>
      <c r="M328" s="26" t="str">
        <f t="shared" ca="1" si="28"/>
        <v/>
      </c>
      <c r="N328" s="5" t="s">
        <v>31</v>
      </c>
      <c r="O328" s="26">
        <v>36868</v>
      </c>
      <c r="P328" s="26" t="str">
        <f t="shared" ca="1" si="29"/>
        <v>25 tahun</v>
      </c>
      <c r="Q328" s="5" t="s">
        <v>46</v>
      </c>
      <c r="R328" s="35"/>
      <c r="S328" s="25" t="s">
        <v>1622</v>
      </c>
      <c r="T328" s="5" t="s">
        <v>141</v>
      </c>
      <c r="U328" s="5" t="s">
        <v>165</v>
      </c>
      <c r="V328" s="25" t="s">
        <v>1623</v>
      </c>
      <c r="W328" s="25"/>
      <c r="X328" s="5"/>
      <c r="Y328" s="25"/>
      <c r="Z328" s="5"/>
      <c r="AA328" s="9" t="s">
        <v>41</v>
      </c>
      <c r="AB328" s="6"/>
    </row>
    <row r="329" spans="1:28">
      <c r="A329" s="5">
        <f>IF(AA329="aktif",MAX($A$1:A328)+1,"")</f>
        <v>290</v>
      </c>
      <c r="B329" s="25"/>
      <c r="C329" s="15" t="s">
        <v>1624</v>
      </c>
      <c r="D329" s="139" t="s">
        <v>115</v>
      </c>
      <c r="E329" s="18" t="s">
        <v>786</v>
      </c>
      <c r="F329" s="5" t="s">
        <v>2152</v>
      </c>
      <c r="G329" s="5" t="s">
        <v>2152</v>
      </c>
      <c r="H329" s="16" t="s">
        <v>1488</v>
      </c>
      <c r="I329" s="18"/>
      <c r="J329" s="5" t="s">
        <v>129</v>
      </c>
      <c r="K329" s="5"/>
      <c r="L329" s="26">
        <v>45444</v>
      </c>
      <c r="M329" s="26" t="str">
        <f t="shared" ca="1" si="28"/>
        <v>2 tahun 2 bulan</v>
      </c>
      <c r="N329" s="5" t="s">
        <v>31</v>
      </c>
      <c r="O329" s="26">
        <v>38669</v>
      </c>
      <c r="P329" s="26" t="str">
        <f t="shared" ca="1" si="29"/>
        <v>20 tahun</v>
      </c>
      <c r="Q329" s="5" t="s">
        <v>46</v>
      </c>
      <c r="R329" s="35"/>
      <c r="S329" s="25" t="s">
        <v>1625</v>
      </c>
      <c r="T329" s="5" t="s">
        <v>974</v>
      </c>
      <c r="U329" s="5" t="s">
        <v>165</v>
      </c>
      <c r="V329" s="25" t="s">
        <v>1626</v>
      </c>
      <c r="W329" s="25" t="s">
        <v>1627</v>
      </c>
      <c r="X329" s="5"/>
      <c r="Y329" s="25"/>
      <c r="Z329" s="5"/>
      <c r="AA329" s="9" t="s">
        <v>41</v>
      </c>
      <c r="AB329" s="6"/>
    </row>
    <row r="330" spans="1:28">
      <c r="A330" s="5">
        <f>IF(AA330="aktif",MAX($A$1:A329)+1,"")</f>
        <v>291</v>
      </c>
      <c r="B330" s="25"/>
      <c r="C330" s="15" t="s">
        <v>1628</v>
      </c>
      <c r="D330" s="139" t="s">
        <v>115</v>
      </c>
      <c r="E330" s="18" t="s">
        <v>786</v>
      </c>
      <c r="F330" s="5" t="s">
        <v>2152</v>
      </c>
      <c r="G330" s="5" t="s">
        <v>2152</v>
      </c>
      <c r="H330" s="16" t="s">
        <v>1488</v>
      </c>
      <c r="I330" s="18" t="s">
        <v>1508</v>
      </c>
      <c r="J330" s="5" t="s">
        <v>129</v>
      </c>
      <c r="K330" s="5"/>
      <c r="L330" s="26"/>
      <c r="M330" s="26" t="str">
        <f t="shared" ca="1" si="28"/>
        <v/>
      </c>
      <c r="N330" s="5" t="s">
        <v>31</v>
      </c>
      <c r="O330" s="26">
        <v>38775</v>
      </c>
      <c r="P330" s="26" t="str">
        <f t="shared" ca="1" si="29"/>
        <v>20 tahun</v>
      </c>
      <c r="Q330" s="5" t="s">
        <v>46</v>
      </c>
      <c r="R330" s="35"/>
      <c r="S330" s="25" t="s">
        <v>1629</v>
      </c>
      <c r="T330" s="5" t="s">
        <v>1630</v>
      </c>
      <c r="U330" s="5" t="s">
        <v>165</v>
      </c>
      <c r="V330" s="25" t="s">
        <v>1631</v>
      </c>
      <c r="W330" s="25"/>
      <c r="X330" s="5"/>
      <c r="Y330" s="25"/>
      <c r="Z330" s="5"/>
      <c r="AA330" s="9" t="s">
        <v>41</v>
      </c>
      <c r="AB330" s="6"/>
    </row>
    <row r="331" spans="1:28">
      <c r="A331" s="5">
        <f>IF(AA331="aktif",MAX($A$1:A330)+1,"")</f>
        <v>292</v>
      </c>
      <c r="B331" s="25"/>
      <c r="C331" s="15" t="s">
        <v>1632</v>
      </c>
      <c r="D331" s="139" t="s">
        <v>115</v>
      </c>
      <c r="E331" s="18" t="s">
        <v>786</v>
      </c>
      <c r="F331" s="5" t="s">
        <v>2152</v>
      </c>
      <c r="G331" s="5" t="s">
        <v>2152</v>
      </c>
      <c r="H331" s="16" t="s">
        <v>1488</v>
      </c>
      <c r="I331" s="18" t="s">
        <v>1508</v>
      </c>
      <c r="J331" s="5" t="s">
        <v>129</v>
      </c>
      <c r="K331" s="5"/>
      <c r="L331" s="26">
        <v>45505</v>
      </c>
      <c r="M331" s="26" t="str">
        <f t="shared" ca="1" si="28"/>
        <v>2 tahun 0 bulan</v>
      </c>
      <c r="N331" s="5" t="s">
        <v>31</v>
      </c>
      <c r="O331" s="26">
        <v>38604</v>
      </c>
      <c r="P331" s="26" t="str">
        <f t="shared" ca="1" si="29"/>
        <v>20 tahun</v>
      </c>
      <c r="Q331" s="5" t="s">
        <v>46</v>
      </c>
      <c r="R331" s="35">
        <v>2300000</v>
      </c>
      <c r="S331" s="25" t="s">
        <v>1633</v>
      </c>
      <c r="T331" s="5" t="s">
        <v>100</v>
      </c>
      <c r="U331" s="5" t="s">
        <v>165</v>
      </c>
      <c r="V331" s="25" t="s">
        <v>1634</v>
      </c>
      <c r="W331" s="25" t="s">
        <v>1635</v>
      </c>
      <c r="X331" s="5"/>
      <c r="Y331" s="25"/>
      <c r="Z331" s="5"/>
      <c r="AA331" s="9" t="s">
        <v>41</v>
      </c>
      <c r="AB331" s="6"/>
    </row>
    <row r="332" spans="1:28">
      <c r="A332" s="5">
        <f>IF(AA332="aktif",MAX($A$1:A331)+1,"")</f>
        <v>293</v>
      </c>
      <c r="B332" s="25"/>
      <c r="C332" s="15" t="s">
        <v>1636</v>
      </c>
      <c r="D332" s="139" t="s">
        <v>115</v>
      </c>
      <c r="E332" s="18" t="s">
        <v>786</v>
      </c>
      <c r="F332" s="5" t="s">
        <v>2152</v>
      </c>
      <c r="G332" s="5" t="s">
        <v>2152</v>
      </c>
      <c r="H332" s="16" t="s">
        <v>1488</v>
      </c>
      <c r="I332" s="18" t="s">
        <v>1508</v>
      </c>
      <c r="J332" s="5" t="s">
        <v>129</v>
      </c>
      <c r="K332" s="5"/>
      <c r="L332" s="26"/>
      <c r="M332" s="26"/>
      <c r="N332" s="5" t="s">
        <v>31</v>
      </c>
      <c r="O332" s="26"/>
      <c r="P332" s="26"/>
      <c r="Q332" s="5"/>
      <c r="R332" s="35"/>
      <c r="S332" s="25"/>
      <c r="V332" s="25"/>
      <c r="W332" s="25"/>
      <c r="X332" s="5"/>
      <c r="Y332" s="25"/>
      <c r="Z332" s="5"/>
      <c r="AA332" s="9" t="s">
        <v>41</v>
      </c>
      <c r="AB332" s="6"/>
    </row>
    <row r="333" spans="1:28">
      <c r="A333" s="5">
        <f>IF(AA333="aktif",MAX($A$1:A332)+1,"")</f>
        <v>294</v>
      </c>
      <c r="B333" s="25"/>
      <c r="C333" s="15" t="s">
        <v>1637</v>
      </c>
      <c r="D333" s="139" t="s">
        <v>115</v>
      </c>
      <c r="E333" s="18" t="s">
        <v>786</v>
      </c>
      <c r="F333" s="5" t="s">
        <v>2152</v>
      </c>
      <c r="G333" s="5" t="s">
        <v>2152</v>
      </c>
      <c r="H333" s="16" t="s">
        <v>1488</v>
      </c>
      <c r="I333" s="18" t="s">
        <v>1508</v>
      </c>
      <c r="J333" s="5" t="s">
        <v>129</v>
      </c>
      <c r="K333" s="5"/>
      <c r="L333" s="26">
        <v>42887</v>
      </c>
      <c r="M333" s="26" t="str">
        <f t="shared" ref="M333:M343" ca="1" si="30">IF(L333="","",DATEDIF(L333,TODAY(),"Y") &amp;" tahun " &amp; DATEDIF(L333,TODAY(),"YM")&amp;" bulan")</f>
        <v>9 tahun 2 bulan</v>
      </c>
      <c r="N333" s="5" t="s">
        <v>31</v>
      </c>
      <c r="O333" s="26">
        <v>35403</v>
      </c>
      <c r="P333" s="26" t="str">
        <f t="shared" ref="P333:P343" ca="1" si="31">IF(O333="","",DATEDIF(O333,TODAY(),"Y")&amp;" tahun")</f>
        <v>29 tahun</v>
      </c>
      <c r="Q333" s="5" t="s">
        <v>46</v>
      </c>
      <c r="R333" s="35"/>
      <c r="S333" s="25" t="s">
        <v>1638</v>
      </c>
      <c r="T333" s="5" t="s">
        <v>141</v>
      </c>
      <c r="U333" s="5" t="s">
        <v>35</v>
      </c>
      <c r="V333" s="25" t="s">
        <v>1639</v>
      </c>
      <c r="W333" s="25"/>
      <c r="X333" s="5"/>
      <c r="Y333" s="25"/>
      <c r="Z333" s="5"/>
      <c r="AA333" s="9" t="s">
        <v>41</v>
      </c>
      <c r="AB333" s="6"/>
    </row>
    <row r="334" spans="1:28">
      <c r="A334" s="5">
        <f>IF(AA334="aktif",MAX($A$1:A333)+1,"")</f>
        <v>295</v>
      </c>
      <c r="B334" s="25"/>
      <c r="C334" s="15" t="s">
        <v>1640</v>
      </c>
      <c r="D334" s="139" t="s">
        <v>115</v>
      </c>
      <c r="E334" s="18" t="s">
        <v>786</v>
      </c>
      <c r="F334" s="5" t="s">
        <v>2152</v>
      </c>
      <c r="G334" s="5" t="s">
        <v>2152</v>
      </c>
      <c r="H334" s="16" t="s">
        <v>1488</v>
      </c>
      <c r="I334" s="18" t="s">
        <v>1539</v>
      </c>
      <c r="J334" s="5" t="s">
        <v>129</v>
      </c>
      <c r="K334" s="5"/>
      <c r="L334" s="26">
        <v>43252</v>
      </c>
      <c r="M334" s="26" t="str">
        <f t="shared" ca="1" si="30"/>
        <v>8 tahun 2 bulan</v>
      </c>
      <c r="N334" s="5" t="s">
        <v>31</v>
      </c>
      <c r="O334" s="26">
        <v>34262</v>
      </c>
      <c r="P334" s="26" t="str">
        <f t="shared" ca="1" si="31"/>
        <v>32 tahun</v>
      </c>
      <c r="Q334" s="5" t="s">
        <v>46</v>
      </c>
      <c r="R334" s="35"/>
      <c r="S334" s="25" t="s">
        <v>1641</v>
      </c>
      <c r="T334" s="5" t="s">
        <v>1642</v>
      </c>
      <c r="U334" s="5" t="s">
        <v>165</v>
      </c>
      <c r="V334" s="25" t="s">
        <v>1643</v>
      </c>
      <c r="W334" s="25" t="s">
        <v>1644</v>
      </c>
      <c r="X334" s="5"/>
      <c r="Y334" s="25"/>
      <c r="Z334" s="5"/>
      <c r="AA334" s="9" t="s">
        <v>41</v>
      </c>
      <c r="AB334" s="6"/>
    </row>
    <row r="335" spans="1:28">
      <c r="A335" s="5">
        <f>IF(AA335="aktif",MAX($A$1:A334)+1,"")</f>
        <v>296</v>
      </c>
      <c r="B335" s="25"/>
      <c r="C335" s="15" t="s">
        <v>1645</v>
      </c>
      <c r="D335" s="139" t="s">
        <v>115</v>
      </c>
      <c r="E335" s="18" t="s">
        <v>786</v>
      </c>
      <c r="F335" s="5" t="s">
        <v>2152</v>
      </c>
      <c r="G335" s="5" t="s">
        <v>2152</v>
      </c>
      <c r="H335" s="16" t="s">
        <v>1488</v>
      </c>
      <c r="I335" s="18" t="s">
        <v>1539</v>
      </c>
      <c r="J335" s="5" t="s">
        <v>129</v>
      </c>
      <c r="K335" s="5"/>
      <c r="L335" s="26">
        <v>43617</v>
      </c>
      <c r="M335" s="26" t="str">
        <f t="shared" ca="1" si="30"/>
        <v>7 tahun 2 bulan</v>
      </c>
      <c r="N335" s="5" t="s">
        <v>31</v>
      </c>
      <c r="O335" s="26">
        <v>34663</v>
      </c>
      <c r="P335" s="26" t="str">
        <f t="shared" ca="1" si="31"/>
        <v>31 tahun</v>
      </c>
      <c r="Q335" s="5" t="s">
        <v>46</v>
      </c>
      <c r="R335" s="35"/>
      <c r="S335" s="25" t="s">
        <v>1646</v>
      </c>
      <c r="T335" s="5" t="s">
        <v>1647</v>
      </c>
      <c r="U335" s="5" t="s">
        <v>35</v>
      </c>
      <c r="V335" s="25" t="s">
        <v>1648</v>
      </c>
      <c r="W335" s="25" t="s">
        <v>1649</v>
      </c>
      <c r="X335" s="5"/>
      <c r="Y335" s="25"/>
      <c r="Z335" s="5"/>
      <c r="AA335" s="9" t="s">
        <v>41</v>
      </c>
      <c r="AB335" s="6"/>
    </row>
    <row r="336" spans="1:28">
      <c r="A336" s="5">
        <f>IF(AA336="aktif",MAX($A$1:A335)+1,"")</f>
        <v>297</v>
      </c>
      <c r="B336" s="25"/>
      <c r="C336" s="15" t="s">
        <v>1650</v>
      </c>
      <c r="D336" s="139" t="s">
        <v>115</v>
      </c>
      <c r="E336" s="18" t="s">
        <v>786</v>
      </c>
      <c r="F336" s="5" t="s">
        <v>2152</v>
      </c>
      <c r="G336" s="5" t="s">
        <v>2152</v>
      </c>
      <c r="H336" s="16" t="s">
        <v>1488</v>
      </c>
      <c r="I336" s="18" t="s">
        <v>1539</v>
      </c>
      <c r="J336" s="5" t="s">
        <v>129</v>
      </c>
      <c r="K336" s="5"/>
      <c r="L336" s="26">
        <v>45486</v>
      </c>
      <c r="M336" s="26" t="str">
        <f t="shared" ca="1" si="30"/>
        <v>2 tahun 0 bulan</v>
      </c>
      <c r="N336" s="5" t="s">
        <v>31</v>
      </c>
      <c r="O336" s="26">
        <v>37482</v>
      </c>
      <c r="P336" s="26" t="str">
        <f t="shared" ca="1" si="31"/>
        <v>23 tahun</v>
      </c>
      <c r="Q336" s="5" t="s">
        <v>46</v>
      </c>
      <c r="R336" s="35"/>
      <c r="S336" s="25" t="s">
        <v>1651</v>
      </c>
      <c r="T336" s="5" t="s">
        <v>1366</v>
      </c>
      <c r="U336" s="5" t="s">
        <v>165</v>
      </c>
      <c r="V336" s="25" t="s">
        <v>1652</v>
      </c>
      <c r="W336" s="25" t="s">
        <v>1653</v>
      </c>
      <c r="X336" s="5"/>
      <c r="Y336" s="25"/>
      <c r="Z336" s="5"/>
      <c r="AA336" s="9" t="s">
        <v>41</v>
      </c>
      <c r="AB336" s="6"/>
    </row>
    <row r="337" spans="1:28">
      <c r="A337" s="5">
        <f>IF(AA337="aktif",MAX($A$1:A336)+1,"")</f>
        <v>298</v>
      </c>
      <c r="B337" s="25"/>
      <c r="C337" s="15" t="s">
        <v>1654</v>
      </c>
      <c r="D337" s="139" t="s">
        <v>115</v>
      </c>
      <c r="E337" s="18" t="s">
        <v>786</v>
      </c>
      <c r="F337" s="5" t="s">
        <v>2152</v>
      </c>
      <c r="G337" s="5" t="s">
        <v>2152</v>
      </c>
      <c r="H337" s="16" t="s">
        <v>1488</v>
      </c>
      <c r="I337" s="18" t="s">
        <v>1539</v>
      </c>
      <c r="J337" s="5" t="s">
        <v>129</v>
      </c>
      <c r="K337" s="5"/>
      <c r="L337" s="26">
        <v>45444</v>
      </c>
      <c r="M337" s="26" t="str">
        <f t="shared" ca="1" si="30"/>
        <v>2 tahun 2 bulan</v>
      </c>
      <c r="N337" s="5" t="s">
        <v>31</v>
      </c>
      <c r="O337" s="26">
        <v>38609</v>
      </c>
      <c r="P337" s="26" t="str">
        <f t="shared" ca="1" si="31"/>
        <v>20 tahun</v>
      </c>
      <c r="Q337" s="5" t="s">
        <v>46</v>
      </c>
      <c r="R337" s="35"/>
      <c r="S337" s="25" t="s">
        <v>1655</v>
      </c>
      <c r="T337" s="5" t="s">
        <v>1656</v>
      </c>
      <c r="U337" s="5" t="s">
        <v>165</v>
      </c>
      <c r="V337" s="25" t="s">
        <v>1657</v>
      </c>
      <c r="W337" s="25" t="s">
        <v>1658</v>
      </c>
      <c r="X337" s="5"/>
      <c r="Y337" s="25"/>
      <c r="Z337" s="5"/>
      <c r="AA337" s="9" t="s">
        <v>41</v>
      </c>
      <c r="AB337" s="6"/>
    </row>
    <row r="338" spans="1:28">
      <c r="A338" s="5">
        <f>IF(AA338="aktif",MAX($A$1:A337)+1,"")</f>
        <v>299</v>
      </c>
      <c r="B338" s="25"/>
      <c r="C338" s="15" t="s">
        <v>1659</v>
      </c>
      <c r="D338" s="139" t="s">
        <v>115</v>
      </c>
      <c r="E338" s="18" t="s">
        <v>786</v>
      </c>
      <c r="F338" s="5" t="s">
        <v>2152</v>
      </c>
      <c r="G338" s="5" t="s">
        <v>2152</v>
      </c>
      <c r="H338" s="16" t="s">
        <v>1488</v>
      </c>
      <c r="I338" s="18" t="s">
        <v>1539</v>
      </c>
      <c r="J338" s="5" t="s">
        <v>129</v>
      </c>
      <c r="K338" s="5"/>
      <c r="L338" s="26"/>
      <c r="M338" s="26" t="str">
        <f t="shared" ca="1" si="30"/>
        <v/>
      </c>
      <c r="N338" s="5" t="s">
        <v>31</v>
      </c>
      <c r="O338" s="26">
        <v>38567</v>
      </c>
      <c r="P338" s="26" t="str">
        <f t="shared" ca="1" si="31"/>
        <v>21 tahun</v>
      </c>
      <c r="Q338" s="5" t="s">
        <v>46</v>
      </c>
      <c r="R338" s="35">
        <v>2800000</v>
      </c>
      <c r="S338" s="25" t="s">
        <v>1660</v>
      </c>
      <c r="T338" s="5" t="s">
        <v>263</v>
      </c>
      <c r="U338" s="5" t="s">
        <v>165</v>
      </c>
      <c r="V338" s="25" t="s">
        <v>1661</v>
      </c>
      <c r="W338" s="25"/>
      <c r="X338" s="5"/>
      <c r="Y338" s="25"/>
      <c r="Z338" s="5"/>
      <c r="AA338" s="9" t="s">
        <v>41</v>
      </c>
      <c r="AB338" s="6"/>
    </row>
    <row r="339" spans="1:28">
      <c r="A339" s="5">
        <f>IF(AA339="aktif",MAX($A$1:A338)+1,"")</f>
        <v>300</v>
      </c>
      <c r="B339" s="25"/>
      <c r="C339" s="15" t="s">
        <v>1662</v>
      </c>
      <c r="D339" s="139" t="s">
        <v>115</v>
      </c>
      <c r="E339" s="18" t="s">
        <v>786</v>
      </c>
      <c r="F339" s="5" t="s">
        <v>2152</v>
      </c>
      <c r="G339" s="5" t="s">
        <v>2152</v>
      </c>
      <c r="H339" s="16" t="s">
        <v>1488</v>
      </c>
      <c r="I339" s="18" t="s">
        <v>1539</v>
      </c>
      <c r="J339" s="5" t="s">
        <v>129</v>
      </c>
      <c r="K339" s="5"/>
      <c r="L339" s="26">
        <v>45444</v>
      </c>
      <c r="M339" s="26" t="str">
        <f t="shared" ca="1" si="30"/>
        <v>2 tahun 2 bulan</v>
      </c>
      <c r="N339" s="5" t="s">
        <v>31</v>
      </c>
      <c r="O339" s="26">
        <v>31990</v>
      </c>
      <c r="P339" s="26" t="str">
        <f t="shared" ca="1" si="31"/>
        <v>39 tahun</v>
      </c>
      <c r="Q339" s="5" t="s">
        <v>32</v>
      </c>
      <c r="R339" s="35">
        <v>2600000</v>
      </c>
      <c r="S339" s="25" t="s">
        <v>1663</v>
      </c>
      <c r="T339" s="5" t="s">
        <v>1153</v>
      </c>
      <c r="U339" s="5" t="s">
        <v>35</v>
      </c>
      <c r="V339" s="25" t="s">
        <v>1664</v>
      </c>
      <c r="W339" s="25" t="s">
        <v>1665</v>
      </c>
      <c r="X339" s="5"/>
      <c r="Y339" s="25"/>
      <c r="Z339" s="5"/>
      <c r="AA339" s="9" t="s">
        <v>41</v>
      </c>
      <c r="AB339" s="6"/>
    </row>
    <row r="340" spans="1:28">
      <c r="A340" s="5">
        <f>IF(AA340="aktif",MAX($A$1:A339)+1,"")</f>
        <v>301</v>
      </c>
      <c r="B340" s="25"/>
      <c r="C340" s="15" t="s">
        <v>1666</v>
      </c>
      <c r="D340" s="139" t="s">
        <v>115</v>
      </c>
      <c r="E340" s="18" t="s">
        <v>786</v>
      </c>
      <c r="F340" s="5" t="s">
        <v>2152</v>
      </c>
      <c r="G340" s="5" t="s">
        <v>2152</v>
      </c>
      <c r="H340" s="16" t="s">
        <v>1481</v>
      </c>
      <c r="I340" s="18" t="s">
        <v>1482</v>
      </c>
      <c r="J340" s="5" t="s">
        <v>129</v>
      </c>
      <c r="K340" s="5"/>
      <c r="L340" s="26"/>
      <c r="M340" s="26" t="str">
        <f t="shared" ca="1" si="30"/>
        <v/>
      </c>
      <c r="N340" s="5" t="s">
        <v>31</v>
      </c>
      <c r="O340" s="26">
        <v>26203</v>
      </c>
      <c r="P340" s="26" t="str">
        <f t="shared" ca="1" si="31"/>
        <v>54 tahun</v>
      </c>
      <c r="Q340" s="5" t="s">
        <v>32</v>
      </c>
      <c r="R340" s="35"/>
      <c r="S340" s="25" t="s">
        <v>1667</v>
      </c>
      <c r="T340" s="5" t="s">
        <v>1668</v>
      </c>
      <c r="U340" s="5" t="s">
        <v>35</v>
      </c>
      <c r="V340" s="25" t="s">
        <v>1669</v>
      </c>
      <c r="W340" s="25"/>
      <c r="X340" s="5"/>
      <c r="Y340" s="25"/>
      <c r="Z340" s="5"/>
      <c r="AA340" s="9" t="s">
        <v>41</v>
      </c>
      <c r="AB340" s="6"/>
    </row>
    <row r="341" spans="1:28">
      <c r="A341" s="5">
        <f>IF(AA341="aktif",MAX($A$1:A340)+1,"")</f>
        <v>302</v>
      </c>
      <c r="B341" s="25"/>
      <c r="C341" s="15" t="s">
        <v>1670</v>
      </c>
      <c r="D341" s="139" t="s">
        <v>115</v>
      </c>
      <c r="E341" s="18" t="s">
        <v>786</v>
      </c>
      <c r="F341" s="5" t="s">
        <v>2152</v>
      </c>
      <c r="G341" s="5" t="s">
        <v>2152</v>
      </c>
      <c r="H341" s="16" t="s">
        <v>1481</v>
      </c>
      <c r="I341" s="18" t="s">
        <v>1482</v>
      </c>
      <c r="J341" s="5" t="s">
        <v>129</v>
      </c>
      <c r="K341" s="5"/>
      <c r="L341" s="26">
        <v>43639</v>
      </c>
      <c r="M341" s="26" t="str">
        <f t="shared" ca="1" si="30"/>
        <v>7 tahun 1 bulan</v>
      </c>
      <c r="N341" s="5" t="s">
        <v>31</v>
      </c>
      <c r="O341" s="26">
        <v>36527</v>
      </c>
      <c r="P341" s="26" t="str">
        <f t="shared" ca="1" si="31"/>
        <v>26 tahun</v>
      </c>
      <c r="Q341" s="5" t="s">
        <v>32</v>
      </c>
      <c r="R341" s="35">
        <v>3600000</v>
      </c>
      <c r="S341" s="25" t="s">
        <v>1671</v>
      </c>
      <c r="T341" s="5" t="s">
        <v>1672</v>
      </c>
      <c r="U341" s="5" t="s">
        <v>35</v>
      </c>
      <c r="V341" s="25" t="s">
        <v>1673</v>
      </c>
      <c r="W341" s="25" t="s">
        <v>1674</v>
      </c>
      <c r="X341" s="5"/>
      <c r="Y341" s="25"/>
      <c r="Z341" s="5"/>
      <c r="AA341" s="9" t="s">
        <v>41</v>
      </c>
      <c r="AB341" s="6"/>
    </row>
    <row r="342" spans="1:28">
      <c r="A342" s="5">
        <f>IF(AA342="aktif",MAX($A$1:A341)+1,"")</f>
        <v>303</v>
      </c>
      <c r="B342" s="25"/>
      <c r="C342" s="15" t="s">
        <v>1675</v>
      </c>
      <c r="D342" s="139" t="s">
        <v>115</v>
      </c>
      <c r="E342" s="18" t="s">
        <v>786</v>
      </c>
      <c r="F342" s="5" t="s">
        <v>2152</v>
      </c>
      <c r="G342" s="5" t="s">
        <v>2152</v>
      </c>
      <c r="H342" s="16" t="s">
        <v>1481</v>
      </c>
      <c r="I342" s="18" t="s">
        <v>1482</v>
      </c>
      <c r="J342" s="5" t="s">
        <v>129</v>
      </c>
      <c r="K342" s="5"/>
      <c r="L342" s="26">
        <v>37742</v>
      </c>
      <c r="M342" s="26" t="str">
        <f t="shared" ca="1" si="30"/>
        <v>23 tahun 3 bulan</v>
      </c>
      <c r="N342" s="5" t="s">
        <v>31</v>
      </c>
      <c r="O342" s="26">
        <v>25344</v>
      </c>
      <c r="P342" s="26" t="str">
        <f t="shared" ca="1" si="31"/>
        <v>57 tahun</v>
      </c>
      <c r="Q342" s="5" t="s">
        <v>32</v>
      </c>
      <c r="R342" s="35">
        <v>3700000</v>
      </c>
      <c r="S342" s="25" t="s">
        <v>1676</v>
      </c>
      <c r="T342" s="5" t="s">
        <v>1677</v>
      </c>
      <c r="U342" s="5" t="s">
        <v>35</v>
      </c>
      <c r="V342" s="25" t="s">
        <v>1678</v>
      </c>
      <c r="W342" s="25" t="s">
        <v>1679</v>
      </c>
      <c r="X342" s="5"/>
      <c r="Y342" s="25"/>
      <c r="Z342" s="5"/>
      <c r="AA342" s="9" t="s">
        <v>41</v>
      </c>
      <c r="AB342" s="6"/>
    </row>
    <row r="343" spans="1:28">
      <c r="A343" s="5">
        <f>IF(AA343="aktif",MAX($A$1:A342)+1,"")</f>
        <v>304</v>
      </c>
      <c r="B343" s="25"/>
      <c r="C343" s="15" t="s">
        <v>1680</v>
      </c>
      <c r="D343" s="139" t="s">
        <v>115</v>
      </c>
      <c r="E343" s="18" t="s">
        <v>786</v>
      </c>
      <c r="F343" s="5" t="s">
        <v>2152</v>
      </c>
      <c r="G343" s="5" t="s">
        <v>2152</v>
      </c>
      <c r="H343" s="16" t="s">
        <v>1481</v>
      </c>
      <c r="I343" s="18" t="s">
        <v>1482</v>
      </c>
      <c r="J343" s="5" t="s">
        <v>129</v>
      </c>
      <c r="K343" s="5"/>
      <c r="L343" s="26">
        <v>45583</v>
      </c>
      <c r="M343" s="26" t="str">
        <f t="shared" ca="1" si="30"/>
        <v>1 tahun 9 bulan</v>
      </c>
      <c r="N343" s="5" t="s">
        <v>31</v>
      </c>
      <c r="O343" s="26">
        <v>35852</v>
      </c>
      <c r="P343" s="26" t="str">
        <f t="shared" ca="1" si="31"/>
        <v>28 tahun</v>
      </c>
      <c r="Q343" s="5" t="s">
        <v>46</v>
      </c>
      <c r="R343" s="35">
        <v>3200000</v>
      </c>
      <c r="S343" s="25" t="s">
        <v>1681</v>
      </c>
      <c r="T343" s="5" t="s">
        <v>1682</v>
      </c>
      <c r="U343" s="5" t="s">
        <v>165</v>
      </c>
      <c r="V343" s="25" t="s">
        <v>1683</v>
      </c>
      <c r="W343" s="25" t="s">
        <v>1684</v>
      </c>
      <c r="X343" s="5"/>
      <c r="Y343" s="25"/>
      <c r="Z343" s="5"/>
      <c r="AA343" s="9" t="s">
        <v>41</v>
      </c>
      <c r="AB343" s="6"/>
    </row>
    <row r="344" spans="1:28">
      <c r="A344" s="5">
        <f>IF(AA344="aktif",MAX($A$1:A343)+1,"")</f>
        <v>305</v>
      </c>
      <c r="B344" s="25"/>
      <c r="C344" s="15" t="s">
        <v>1685</v>
      </c>
      <c r="D344" s="139" t="s">
        <v>115</v>
      </c>
      <c r="E344" s="18" t="s">
        <v>786</v>
      </c>
      <c r="F344" s="5" t="s">
        <v>2152</v>
      </c>
      <c r="G344" s="5" t="s">
        <v>2152</v>
      </c>
      <c r="H344" s="16" t="s">
        <v>1481</v>
      </c>
      <c r="I344" s="18" t="s">
        <v>1482</v>
      </c>
      <c r="J344" s="5" t="s">
        <v>129</v>
      </c>
      <c r="K344" s="5"/>
      <c r="L344" s="26"/>
      <c r="M344" s="26"/>
      <c r="N344" s="5" t="s">
        <v>31</v>
      </c>
      <c r="O344" s="26"/>
      <c r="P344" s="26"/>
      <c r="Q344" s="5"/>
      <c r="R344" s="35"/>
      <c r="S344" s="25"/>
      <c r="V344" s="25"/>
      <c r="W344" s="25"/>
      <c r="X344" s="5"/>
      <c r="Y344" s="25"/>
      <c r="Z344" s="5"/>
      <c r="AA344" s="9" t="s">
        <v>41</v>
      </c>
      <c r="AB344" s="6"/>
    </row>
    <row r="345" spans="1:28">
      <c r="A345" s="5">
        <f>IF(AA345="aktif",MAX($A$1:A344)+1,"")</f>
        <v>306</v>
      </c>
      <c r="B345" s="25"/>
      <c r="C345" s="15" t="s">
        <v>1686</v>
      </c>
      <c r="D345" s="139" t="s">
        <v>115</v>
      </c>
      <c r="E345" s="18" t="s">
        <v>786</v>
      </c>
      <c r="F345" s="5" t="s">
        <v>2152</v>
      </c>
      <c r="G345" s="5" t="s">
        <v>2152</v>
      </c>
      <c r="H345" s="16" t="s">
        <v>1481</v>
      </c>
      <c r="I345" s="18" t="s">
        <v>1482</v>
      </c>
      <c r="J345" s="5" t="s">
        <v>129</v>
      </c>
      <c r="K345" s="5"/>
      <c r="L345" s="26"/>
      <c r="M345" s="26" t="str">
        <f t="shared" ref="M345:M354" ca="1" si="32">IF(L345="","",DATEDIF(L345,TODAY(),"Y") &amp;" tahun " &amp; DATEDIF(L345,TODAY(),"YM")&amp;" bulan")</f>
        <v/>
      </c>
      <c r="N345" s="5" t="s">
        <v>31</v>
      </c>
      <c r="O345" s="26">
        <v>36214</v>
      </c>
      <c r="P345" s="26" t="str">
        <f t="shared" ref="P345:P373" ca="1" si="33">IF(O345="","",DATEDIF(O345,TODAY(),"Y")&amp;" tahun")</f>
        <v>27 tahun</v>
      </c>
      <c r="Q345" s="5" t="s">
        <v>1687</v>
      </c>
      <c r="R345" s="35"/>
      <c r="S345" s="25" t="s">
        <v>1688</v>
      </c>
      <c r="T345" s="5" t="s">
        <v>1689</v>
      </c>
      <c r="U345" s="5" t="s">
        <v>165</v>
      </c>
      <c r="V345" s="25" t="s">
        <v>1690</v>
      </c>
      <c r="W345" s="25"/>
      <c r="X345" s="5"/>
      <c r="Y345" s="25"/>
      <c r="Z345" s="5"/>
      <c r="AA345" s="9" t="s">
        <v>41</v>
      </c>
      <c r="AB345" s="6"/>
    </row>
    <row r="346" spans="1:28">
      <c r="A346" s="5">
        <f>IF(AA346="aktif",MAX($A$1:A345)+1,"")</f>
        <v>307</v>
      </c>
      <c r="B346" s="25"/>
      <c r="C346" s="15" t="s">
        <v>1691</v>
      </c>
      <c r="D346" s="139" t="s">
        <v>115</v>
      </c>
      <c r="E346" s="18" t="s">
        <v>786</v>
      </c>
      <c r="F346" s="5" t="s">
        <v>2152</v>
      </c>
      <c r="G346" s="5" t="s">
        <v>2152</v>
      </c>
      <c r="H346" s="16" t="s">
        <v>1481</v>
      </c>
      <c r="I346" s="18" t="s">
        <v>1482</v>
      </c>
      <c r="J346" s="5" t="s">
        <v>129</v>
      </c>
      <c r="K346" s="5"/>
      <c r="L346" s="26">
        <v>45444</v>
      </c>
      <c r="M346" s="26" t="str">
        <f t="shared" ca="1" si="32"/>
        <v>2 tahun 2 bulan</v>
      </c>
      <c r="N346" s="5" t="s">
        <v>31</v>
      </c>
      <c r="O346" s="26">
        <v>38062</v>
      </c>
      <c r="P346" s="26" t="str">
        <f t="shared" ca="1" si="33"/>
        <v>22 tahun</v>
      </c>
      <c r="Q346" s="5" t="s">
        <v>46</v>
      </c>
      <c r="R346" s="35">
        <v>3400000</v>
      </c>
      <c r="S346" s="25" t="s">
        <v>1692</v>
      </c>
      <c r="T346" s="5" t="s">
        <v>1693</v>
      </c>
      <c r="U346" s="5" t="s">
        <v>165</v>
      </c>
      <c r="V346" s="25" t="s">
        <v>1694</v>
      </c>
      <c r="W346" s="25"/>
      <c r="X346" s="5"/>
      <c r="Y346" s="25"/>
      <c r="Z346" s="5"/>
      <c r="AA346" s="9" t="s">
        <v>41</v>
      </c>
      <c r="AB346" s="6"/>
    </row>
    <row r="347" spans="1:28">
      <c r="A347" s="5">
        <f>IF(AA347="aktif",MAX($A$1:A346)+1,"")</f>
        <v>308</v>
      </c>
      <c r="B347" s="25"/>
      <c r="C347" s="15" t="s">
        <v>1695</v>
      </c>
      <c r="D347" s="139" t="s">
        <v>115</v>
      </c>
      <c r="E347" s="18" t="s">
        <v>786</v>
      </c>
      <c r="F347" s="5" t="s">
        <v>2152</v>
      </c>
      <c r="G347" s="5" t="s">
        <v>2152</v>
      </c>
      <c r="H347" s="16" t="s">
        <v>1481</v>
      </c>
      <c r="I347" s="18" t="s">
        <v>1508</v>
      </c>
      <c r="J347" s="5" t="s">
        <v>129</v>
      </c>
      <c r="K347" s="5"/>
      <c r="L347" s="26">
        <v>42515</v>
      </c>
      <c r="M347" s="26" t="str">
        <f t="shared" ca="1" si="32"/>
        <v>10 tahun 2 bulan</v>
      </c>
      <c r="N347" s="5" t="s">
        <v>31</v>
      </c>
      <c r="O347" s="26">
        <v>32961</v>
      </c>
      <c r="P347" s="26" t="str">
        <f t="shared" ca="1" si="33"/>
        <v>36 tahun</v>
      </c>
      <c r="Q347" s="5" t="s">
        <v>46</v>
      </c>
      <c r="R347" s="35">
        <v>4000000</v>
      </c>
      <c r="S347" s="25" t="s">
        <v>1696</v>
      </c>
      <c r="T347" s="5" t="s">
        <v>1697</v>
      </c>
      <c r="U347" s="5" t="s">
        <v>35</v>
      </c>
      <c r="V347" s="25" t="s">
        <v>1698</v>
      </c>
      <c r="W347" s="25" t="s">
        <v>1698</v>
      </c>
      <c r="X347" s="5"/>
      <c r="Y347" s="25"/>
      <c r="Z347" s="5"/>
      <c r="AA347" s="9" t="s">
        <v>41</v>
      </c>
      <c r="AB347" s="6"/>
    </row>
    <row r="348" spans="1:28">
      <c r="A348" s="5">
        <f>IF(AA348="aktif",MAX($A$1:A347)+1,"")</f>
        <v>309</v>
      </c>
      <c r="B348" s="25"/>
      <c r="C348" s="15" t="s">
        <v>1699</v>
      </c>
      <c r="D348" s="139" t="s">
        <v>115</v>
      </c>
      <c r="E348" s="18" t="s">
        <v>786</v>
      </c>
      <c r="F348" s="5" t="s">
        <v>2152</v>
      </c>
      <c r="G348" s="5" t="s">
        <v>2152</v>
      </c>
      <c r="H348" s="16" t="s">
        <v>1481</v>
      </c>
      <c r="I348" s="18" t="s">
        <v>1508</v>
      </c>
      <c r="J348" s="5" t="s">
        <v>129</v>
      </c>
      <c r="K348" s="5"/>
      <c r="L348" s="26">
        <v>43617</v>
      </c>
      <c r="M348" s="26" t="str">
        <f t="shared" ca="1" si="32"/>
        <v>7 tahun 2 bulan</v>
      </c>
      <c r="N348" s="5" t="s">
        <v>31</v>
      </c>
      <c r="O348" s="26">
        <v>36727</v>
      </c>
      <c r="P348" s="26" t="str">
        <f t="shared" ca="1" si="33"/>
        <v>26 tahun</v>
      </c>
      <c r="Q348" s="5" t="s">
        <v>46</v>
      </c>
      <c r="R348" s="35">
        <v>4083000</v>
      </c>
      <c r="S348" s="25" t="s">
        <v>1700</v>
      </c>
      <c r="T348" s="5" t="s">
        <v>360</v>
      </c>
      <c r="U348" s="5" t="s">
        <v>165</v>
      </c>
      <c r="V348" s="25" t="s">
        <v>1701</v>
      </c>
      <c r="W348" s="25" t="s">
        <v>1702</v>
      </c>
      <c r="X348" s="5"/>
      <c r="Y348" s="25"/>
      <c r="Z348" s="5"/>
      <c r="AA348" s="9" t="s">
        <v>41</v>
      </c>
      <c r="AB348" s="6"/>
    </row>
    <row r="349" spans="1:28">
      <c r="A349" s="5">
        <f>IF(AA349="aktif",MAX($A$1:A348)+1,"")</f>
        <v>310</v>
      </c>
      <c r="B349" s="25"/>
      <c r="C349" s="147" t="s">
        <v>1703</v>
      </c>
      <c r="D349" s="139" t="s">
        <v>115</v>
      </c>
      <c r="E349" s="18" t="s">
        <v>786</v>
      </c>
      <c r="F349" s="5" t="s">
        <v>2152</v>
      </c>
      <c r="G349" s="5" t="s">
        <v>2152</v>
      </c>
      <c r="H349" s="16" t="s">
        <v>1481</v>
      </c>
      <c r="I349" s="18" t="s">
        <v>1508</v>
      </c>
      <c r="J349" s="5" t="s">
        <v>129</v>
      </c>
      <c r="K349" s="5"/>
      <c r="L349" s="26">
        <v>45390</v>
      </c>
      <c r="M349" s="26" t="str">
        <f t="shared" ca="1" si="32"/>
        <v>2 tahun 4 bulan</v>
      </c>
      <c r="N349" s="5" t="s">
        <v>31</v>
      </c>
      <c r="O349" s="26">
        <v>32340</v>
      </c>
      <c r="P349" s="26" t="str">
        <f t="shared" ca="1" si="33"/>
        <v>38 tahun</v>
      </c>
      <c r="Q349" s="5" t="s">
        <v>32</v>
      </c>
      <c r="R349" s="35"/>
      <c r="S349" s="25" t="s">
        <v>1704</v>
      </c>
      <c r="T349" s="5" t="s">
        <v>1514</v>
      </c>
      <c r="U349" s="5" t="s">
        <v>35</v>
      </c>
      <c r="V349" s="25" t="s">
        <v>1705</v>
      </c>
      <c r="W349" s="25" t="s">
        <v>1706</v>
      </c>
      <c r="X349" s="5"/>
      <c r="Y349" s="25"/>
      <c r="Z349" s="5"/>
      <c r="AA349" s="9" t="s">
        <v>41</v>
      </c>
      <c r="AB349" s="6"/>
    </row>
    <row r="350" spans="1:28">
      <c r="A350" s="5">
        <f>IF(AA350="aktif",MAX($A$1:A349)+1,"")</f>
        <v>311</v>
      </c>
      <c r="B350" s="25"/>
      <c r="C350" s="15" t="s">
        <v>1707</v>
      </c>
      <c r="D350" s="139" t="s">
        <v>115</v>
      </c>
      <c r="E350" s="18" t="s">
        <v>786</v>
      </c>
      <c r="F350" s="5" t="s">
        <v>2152</v>
      </c>
      <c r="G350" s="5" t="s">
        <v>2152</v>
      </c>
      <c r="H350" s="16" t="s">
        <v>1481</v>
      </c>
      <c r="I350" s="18" t="s">
        <v>1508</v>
      </c>
      <c r="J350" s="5" t="s">
        <v>129</v>
      </c>
      <c r="K350" s="5"/>
      <c r="L350" s="26">
        <v>42995</v>
      </c>
      <c r="M350" s="26" t="str">
        <f t="shared" ca="1" si="32"/>
        <v>8 tahun 10 bulan</v>
      </c>
      <c r="N350" s="5" t="s">
        <v>31</v>
      </c>
      <c r="O350" s="26">
        <v>36329</v>
      </c>
      <c r="P350" s="26" t="str">
        <f t="shared" ca="1" si="33"/>
        <v>27 tahun</v>
      </c>
      <c r="Q350" s="5" t="s">
        <v>46</v>
      </c>
      <c r="R350" s="35">
        <v>3000000</v>
      </c>
      <c r="S350" s="25" t="s">
        <v>1708</v>
      </c>
      <c r="T350" s="5" t="s">
        <v>1709</v>
      </c>
      <c r="U350" s="5" t="s">
        <v>35</v>
      </c>
      <c r="V350" s="25" t="s">
        <v>1710</v>
      </c>
      <c r="W350" s="25" t="s">
        <v>1710</v>
      </c>
      <c r="X350" s="5"/>
      <c r="Y350" s="25"/>
      <c r="Z350" s="5"/>
      <c r="AA350" s="9" t="s">
        <v>41</v>
      </c>
      <c r="AB350" s="6"/>
    </row>
    <row r="351" spans="1:28">
      <c r="A351" s="5">
        <f>IF(AA351="aktif",MAX($A$1:A350)+1,"")</f>
        <v>312</v>
      </c>
      <c r="B351" s="25"/>
      <c r="C351" s="15" t="s">
        <v>1711</v>
      </c>
      <c r="D351" s="139" t="s">
        <v>115</v>
      </c>
      <c r="E351" s="18" t="s">
        <v>786</v>
      </c>
      <c r="F351" s="5" t="s">
        <v>2152</v>
      </c>
      <c r="G351" s="5" t="s">
        <v>2152</v>
      </c>
      <c r="H351" s="16" t="s">
        <v>1481</v>
      </c>
      <c r="I351" s="18" t="s">
        <v>1508</v>
      </c>
      <c r="J351" s="5" t="s">
        <v>129</v>
      </c>
      <c r="K351" s="5"/>
      <c r="L351" s="26">
        <v>45627</v>
      </c>
      <c r="M351" s="26" t="str">
        <f t="shared" ca="1" si="32"/>
        <v>1 tahun 8 bulan</v>
      </c>
      <c r="N351" s="5" t="s">
        <v>31</v>
      </c>
      <c r="O351" s="26">
        <v>38651</v>
      </c>
      <c r="P351" s="26" t="str">
        <f t="shared" ca="1" si="33"/>
        <v>20 tahun</v>
      </c>
      <c r="Q351" s="5" t="s">
        <v>46</v>
      </c>
      <c r="R351" s="35">
        <v>2251000</v>
      </c>
      <c r="S351" s="25" t="s">
        <v>1712</v>
      </c>
      <c r="T351" s="5" t="s">
        <v>1713</v>
      </c>
      <c r="U351" s="5" t="s">
        <v>165</v>
      </c>
      <c r="V351" s="25" t="s">
        <v>1714</v>
      </c>
      <c r="W351" s="25" t="s">
        <v>1715</v>
      </c>
      <c r="X351" s="5"/>
      <c r="Y351" s="25"/>
      <c r="Z351" s="5"/>
      <c r="AA351" s="9" t="s">
        <v>41</v>
      </c>
      <c r="AB351" s="6"/>
    </row>
    <row r="352" spans="1:28">
      <c r="A352" s="5">
        <f>IF(AA352="aktif",MAX($A$1:A351)+1,"")</f>
        <v>313</v>
      </c>
      <c r="B352" s="25"/>
      <c r="C352" s="15" t="s">
        <v>1716</v>
      </c>
      <c r="D352" s="139" t="s">
        <v>115</v>
      </c>
      <c r="E352" s="18" t="s">
        <v>786</v>
      </c>
      <c r="F352" s="5" t="s">
        <v>2152</v>
      </c>
      <c r="G352" s="5" t="s">
        <v>2152</v>
      </c>
      <c r="H352" s="16" t="s">
        <v>1481</v>
      </c>
      <c r="I352" s="18" t="s">
        <v>1508</v>
      </c>
      <c r="J352" s="5" t="s">
        <v>129</v>
      </c>
      <c r="K352" s="5"/>
      <c r="L352" s="26">
        <v>45477</v>
      </c>
      <c r="M352" s="26" t="str">
        <f t="shared" ca="1" si="32"/>
        <v>2 tahun 1 bulan</v>
      </c>
      <c r="N352" s="5" t="s">
        <v>31</v>
      </c>
      <c r="O352" s="26">
        <v>36346</v>
      </c>
      <c r="P352" s="26" t="str">
        <f t="shared" ca="1" si="33"/>
        <v>27 tahun</v>
      </c>
      <c r="Q352" s="5" t="s">
        <v>46</v>
      </c>
      <c r="R352" s="35">
        <v>3600000</v>
      </c>
      <c r="S352" s="25" t="s">
        <v>1717</v>
      </c>
      <c r="T352" s="5" t="s">
        <v>355</v>
      </c>
      <c r="U352" s="5" t="s">
        <v>165</v>
      </c>
      <c r="V352" s="25" t="s">
        <v>1718</v>
      </c>
      <c r="W352" s="25" t="s">
        <v>1719</v>
      </c>
      <c r="X352" s="5"/>
      <c r="Y352" s="25"/>
      <c r="Z352" s="5"/>
      <c r="AA352" s="9" t="s">
        <v>41</v>
      </c>
      <c r="AB352" s="6"/>
    </row>
    <row r="353" spans="1:28">
      <c r="A353" s="5">
        <f>IF(AA353="aktif",MAX($A$1:A352)+1,"")</f>
        <v>314</v>
      </c>
      <c r="B353" s="25"/>
      <c r="C353" s="15" t="s">
        <v>1720</v>
      </c>
      <c r="D353" s="139" t="s">
        <v>115</v>
      </c>
      <c r="E353" s="18" t="s">
        <v>786</v>
      </c>
      <c r="F353" s="5" t="s">
        <v>2152</v>
      </c>
      <c r="G353" s="5" t="s">
        <v>2152</v>
      </c>
      <c r="H353" s="16" t="s">
        <v>1481</v>
      </c>
      <c r="I353" s="18" t="s">
        <v>1508</v>
      </c>
      <c r="J353" s="5" t="s">
        <v>129</v>
      </c>
      <c r="K353" s="5"/>
      <c r="L353" s="26">
        <v>45078</v>
      </c>
      <c r="M353" s="26" t="str">
        <f t="shared" ca="1" si="32"/>
        <v>3 tahun 2 bulan</v>
      </c>
      <c r="N353" s="5" t="s">
        <v>31</v>
      </c>
      <c r="O353" s="26">
        <v>38228</v>
      </c>
      <c r="P353" s="26" t="str">
        <f t="shared" ca="1" si="33"/>
        <v>21 tahun</v>
      </c>
      <c r="Q353" s="5" t="s">
        <v>46</v>
      </c>
      <c r="R353" s="35">
        <v>4500000</v>
      </c>
      <c r="S353" s="25" t="s">
        <v>1721</v>
      </c>
      <c r="T353" s="5" t="s">
        <v>1709</v>
      </c>
      <c r="U353" s="5" t="s">
        <v>35</v>
      </c>
      <c r="V353" s="25" t="s">
        <v>1722</v>
      </c>
      <c r="W353" s="25" t="s">
        <v>1723</v>
      </c>
      <c r="X353" s="5"/>
      <c r="Y353" s="25"/>
      <c r="Z353" s="5"/>
      <c r="AA353" s="9" t="s">
        <v>41</v>
      </c>
      <c r="AB353" s="6"/>
    </row>
    <row r="354" spans="1:28">
      <c r="A354" s="5">
        <f>IF(AA354="aktif",MAX($A$1:A353)+1,"")</f>
        <v>315</v>
      </c>
      <c r="B354" s="25"/>
      <c r="C354" s="15" t="s">
        <v>1724</v>
      </c>
      <c r="D354" s="139" t="s">
        <v>115</v>
      </c>
      <c r="E354" s="18" t="s">
        <v>786</v>
      </c>
      <c r="F354" s="5" t="s">
        <v>2152</v>
      </c>
      <c r="G354" s="5" t="s">
        <v>2152</v>
      </c>
      <c r="H354" s="16" t="s">
        <v>1481</v>
      </c>
      <c r="I354" s="18" t="s">
        <v>1539</v>
      </c>
      <c r="J354" s="5" t="s">
        <v>129</v>
      </c>
      <c r="K354" s="5"/>
      <c r="L354" s="26"/>
      <c r="M354" s="26" t="str">
        <f t="shared" ca="1" si="32"/>
        <v/>
      </c>
      <c r="N354" s="5" t="s">
        <v>31</v>
      </c>
      <c r="O354" s="26">
        <v>31090</v>
      </c>
      <c r="P354" s="26" t="str">
        <f t="shared" ca="1" si="33"/>
        <v>41 tahun</v>
      </c>
      <c r="Q354" s="5" t="s">
        <v>32</v>
      </c>
      <c r="R354" s="35">
        <v>3600000</v>
      </c>
      <c r="S354" s="25" t="s">
        <v>1725</v>
      </c>
      <c r="T354" s="5" t="s">
        <v>1726</v>
      </c>
      <c r="U354" s="5" t="s">
        <v>35</v>
      </c>
      <c r="V354" s="25" t="s">
        <v>1727</v>
      </c>
      <c r="W354" s="25" t="s">
        <v>1728</v>
      </c>
      <c r="X354" s="5"/>
      <c r="Y354" s="25"/>
      <c r="Z354" s="5"/>
      <c r="AA354" s="9" t="s">
        <v>41</v>
      </c>
      <c r="AB354" s="6"/>
    </row>
    <row r="355" spans="1:28">
      <c r="A355" s="5">
        <f>IF(AA355="aktif",MAX($A$1:A354)+1,"")</f>
        <v>316</v>
      </c>
      <c r="B355" s="25"/>
      <c r="C355" s="15" t="s">
        <v>1729</v>
      </c>
      <c r="D355" s="139" t="s">
        <v>115</v>
      </c>
      <c r="E355" s="18" t="s">
        <v>786</v>
      </c>
      <c r="F355" s="5" t="s">
        <v>2152</v>
      </c>
      <c r="G355" s="5" t="s">
        <v>2152</v>
      </c>
      <c r="H355" s="16" t="s">
        <v>1481</v>
      </c>
      <c r="I355" s="18" t="s">
        <v>1539</v>
      </c>
      <c r="J355" s="5" t="s">
        <v>129</v>
      </c>
      <c r="K355" s="5"/>
      <c r="L355" s="26">
        <v>45917</v>
      </c>
      <c r="M355" s="26" t="str">
        <f ca="1">DATEDIF(L355,TODAY(),"Y") &amp;" tahun " &amp; DATEDIF(L355,TODAY(),"YM")&amp;" bulan"</f>
        <v>0 tahun 10 bulan</v>
      </c>
      <c r="N355" s="5" t="s">
        <v>31</v>
      </c>
      <c r="O355" s="26">
        <v>37071</v>
      </c>
      <c r="P355" s="26" t="str">
        <f t="shared" ca="1" si="33"/>
        <v>25 tahun</v>
      </c>
      <c r="Q355" s="5" t="s">
        <v>46</v>
      </c>
      <c r="R355" s="9"/>
      <c r="S355" s="27" t="s">
        <v>1730</v>
      </c>
      <c r="T355" s="5" t="s">
        <v>1731</v>
      </c>
      <c r="U355" s="5" t="s">
        <v>81</v>
      </c>
      <c r="V355" s="27" t="s">
        <v>1732</v>
      </c>
      <c r="W355" s="27" t="s">
        <v>1733</v>
      </c>
      <c r="X355" s="9"/>
      <c r="Y355" s="27"/>
      <c r="Z355" s="9"/>
      <c r="AA355" s="9" t="s">
        <v>41</v>
      </c>
      <c r="AB355" s="6"/>
    </row>
    <row r="356" spans="1:28">
      <c r="A356" s="5">
        <f>IF(AA356="aktif",MAX($A$1:A355)+1,"")</f>
        <v>317</v>
      </c>
      <c r="B356" s="25"/>
      <c r="C356" s="15" t="s">
        <v>1734</v>
      </c>
      <c r="D356" s="139" t="s">
        <v>115</v>
      </c>
      <c r="E356" s="18" t="s">
        <v>786</v>
      </c>
      <c r="F356" s="5" t="s">
        <v>2152</v>
      </c>
      <c r="G356" s="5" t="s">
        <v>2152</v>
      </c>
      <c r="H356" s="16" t="s">
        <v>1481</v>
      </c>
      <c r="I356" s="18" t="s">
        <v>1539</v>
      </c>
      <c r="J356" s="5" t="s">
        <v>129</v>
      </c>
      <c r="K356" s="5"/>
      <c r="L356" s="26"/>
      <c r="M356" s="26" t="str">
        <f t="shared" ref="M356:M373" ca="1" si="34">IF(L356="","",DATEDIF(L356,TODAY(),"Y") &amp;" tahun " &amp; DATEDIF(L356,TODAY(),"YM")&amp;" bulan")</f>
        <v/>
      </c>
      <c r="N356" s="5" t="s">
        <v>31</v>
      </c>
      <c r="O356" s="26">
        <v>36836</v>
      </c>
      <c r="P356" s="26" t="str">
        <f t="shared" ca="1" si="33"/>
        <v>25 tahun</v>
      </c>
      <c r="Q356" s="5" t="s">
        <v>46</v>
      </c>
      <c r="R356" s="35">
        <v>3600000</v>
      </c>
      <c r="S356" s="25" t="s">
        <v>1735</v>
      </c>
      <c r="T356" s="5" t="s">
        <v>1736</v>
      </c>
      <c r="U356" s="5" t="s">
        <v>165</v>
      </c>
      <c r="V356" s="25" t="s">
        <v>1737</v>
      </c>
      <c r="W356" s="25" t="s">
        <v>1738</v>
      </c>
      <c r="X356" s="5"/>
      <c r="Y356" s="25"/>
      <c r="Z356" s="5"/>
      <c r="AA356" s="9" t="s">
        <v>41</v>
      </c>
      <c r="AB356" s="6"/>
    </row>
    <row r="357" spans="1:28">
      <c r="A357" s="5">
        <f>IF(AA357="aktif",MAX($A$1:A356)+1,"")</f>
        <v>318</v>
      </c>
      <c r="B357" s="25"/>
      <c r="C357" s="15" t="s">
        <v>1739</v>
      </c>
      <c r="D357" s="139" t="s">
        <v>115</v>
      </c>
      <c r="E357" s="18" t="s">
        <v>786</v>
      </c>
      <c r="F357" s="5" t="s">
        <v>2152</v>
      </c>
      <c r="G357" s="5" t="s">
        <v>2152</v>
      </c>
      <c r="H357" s="16" t="s">
        <v>1481</v>
      </c>
      <c r="I357" s="18" t="s">
        <v>1539</v>
      </c>
      <c r="J357" s="5" t="s">
        <v>129</v>
      </c>
      <c r="K357" s="5"/>
      <c r="L357" s="26">
        <v>45240</v>
      </c>
      <c r="M357" s="26" t="str">
        <f t="shared" ca="1" si="34"/>
        <v>2 tahun 9 bulan</v>
      </c>
      <c r="N357" s="5" t="s">
        <v>31</v>
      </c>
      <c r="O357" s="26">
        <v>38427</v>
      </c>
      <c r="P357" s="26" t="str">
        <f t="shared" ca="1" si="33"/>
        <v>21 tahun</v>
      </c>
      <c r="Q357" s="5" t="s">
        <v>46</v>
      </c>
      <c r="R357" s="35">
        <v>3500000</v>
      </c>
      <c r="S357" s="25" t="s">
        <v>1740</v>
      </c>
      <c r="T357" s="5" t="s">
        <v>1741</v>
      </c>
      <c r="U357" s="5" t="s">
        <v>165</v>
      </c>
      <c r="V357" s="25" t="s">
        <v>1742</v>
      </c>
      <c r="W357" s="25" t="s">
        <v>1743</v>
      </c>
      <c r="X357" s="5"/>
      <c r="Y357" s="25"/>
      <c r="Z357" s="5"/>
      <c r="AA357" s="9" t="s">
        <v>41</v>
      </c>
      <c r="AB357" s="6"/>
    </row>
    <row r="358" spans="1:28">
      <c r="A358" s="5">
        <f>IF(AA358="aktif",MAX($A$1:A357)+1,"")</f>
        <v>319</v>
      </c>
      <c r="B358" s="25"/>
      <c r="C358" s="15" t="s">
        <v>1744</v>
      </c>
      <c r="D358" s="139" t="s">
        <v>115</v>
      </c>
      <c r="E358" s="18" t="s">
        <v>786</v>
      </c>
      <c r="F358" s="5" t="s">
        <v>2152</v>
      </c>
      <c r="G358" s="5" t="s">
        <v>2152</v>
      </c>
      <c r="H358" s="16" t="s">
        <v>1481</v>
      </c>
      <c r="I358" s="18" t="s">
        <v>1539</v>
      </c>
      <c r="J358" s="5" t="s">
        <v>129</v>
      </c>
      <c r="K358" s="5"/>
      <c r="L358" s="26">
        <v>45505</v>
      </c>
      <c r="M358" s="26" t="str">
        <f t="shared" ca="1" si="34"/>
        <v>2 tahun 0 bulan</v>
      </c>
      <c r="N358" s="5" t="s">
        <v>31</v>
      </c>
      <c r="O358" s="26">
        <v>37532</v>
      </c>
      <c r="P358" s="26" t="str">
        <f t="shared" ca="1" si="33"/>
        <v>23 tahun</v>
      </c>
      <c r="Q358" s="5" t="s">
        <v>32</v>
      </c>
      <c r="R358" s="35"/>
      <c r="S358" s="25" t="s">
        <v>1745</v>
      </c>
      <c r="T358" s="5" t="s">
        <v>1746</v>
      </c>
      <c r="U358" s="5" t="s">
        <v>165</v>
      </c>
      <c r="V358" s="25" t="s">
        <v>1747</v>
      </c>
      <c r="W358" s="25" t="s">
        <v>1748</v>
      </c>
      <c r="X358" s="5"/>
      <c r="Y358" s="25"/>
      <c r="Z358" s="5"/>
      <c r="AA358" s="9" t="s">
        <v>41</v>
      </c>
      <c r="AB358" s="6"/>
    </row>
    <row r="359" spans="1:28">
      <c r="A359" s="5">
        <f>IF(AA359="aktif",MAX($A$1:A358)+1,"")</f>
        <v>320</v>
      </c>
      <c r="B359" s="25"/>
      <c r="C359" s="15" t="s">
        <v>1749</v>
      </c>
      <c r="D359" s="139" t="s">
        <v>115</v>
      </c>
      <c r="E359" s="18" t="s">
        <v>786</v>
      </c>
      <c r="F359" s="5" t="s">
        <v>2152</v>
      </c>
      <c r="G359" s="5" t="s">
        <v>2152</v>
      </c>
      <c r="H359" s="16" t="s">
        <v>1481</v>
      </c>
      <c r="I359" s="18" t="s">
        <v>1539</v>
      </c>
      <c r="J359" s="5" t="s">
        <v>129</v>
      </c>
      <c r="K359" s="5"/>
      <c r="L359" s="26"/>
      <c r="M359" s="26" t="str">
        <f t="shared" ca="1" si="34"/>
        <v/>
      </c>
      <c r="N359" s="5" t="s">
        <v>31</v>
      </c>
      <c r="O359" s="26">
        <v>37807</v>
      </c>
      <c r="P359" s="26" t="str">
        <f t="shared" ca="1" si="33"/>
        <v>23 tahun</v>
      </c>
      <c r="Q359" s="5" t="s">
        <v>32</v>
      </c>
      <c r="R359" s="35"/>
      <c r="S359" s="25" t="s">
        <v>1750</v>
      </c>
      <c r="T359" s="5" t="s">
        <v>1751</v>
      </c>
      <c r="U359" s="5" t="s">
        <v>165</v>
      </c>
      <c r="V359" s="25" t="s">
        <v>1752</v>
      </c>
      <c r="W359" s="25" t="s">
        <v>1753</v>
      </c>
      <c r="X359" s="5"/>
      <c r="Y359" s="25"/>
      <c r="Z359" s="5"/>
      <c r="AA359" s="9" t="s">
        <v>41</v>
      </c>
      <c r="AB359" s="6"/>
    </row>
    <row r="360" spans="1:28">
      <c r="A360" s="5">
        <f>IF(AA360="aktif",MAX($A$1:A359)+1,"")</f>
        <v>321</v>
      </c>
      <c r="B360" s="25"/>
      <c r="C360" s="15" t="s">
        <v>1754</v>
      </c>
      <c r="D360" s="139" t="s">
        <v>115</v>
      </c>
      <c r="E360" s="18" t="s">
        <v>786</v>
      </c>
      <c r="F360" s="5" t="s">
        <v>2152</v>
      </c>
      <c r="G360" s="5" t="s">
        <v>2152</v>
      </c>
      <c r="H360" s="16" t="s">
        <v>1481</v>
      </c>
      <c r="I360" s="18" t="s">
        <v>1539</v>
      </c>
      <c r="J360" s="5" t="s">
        <v>129</v>
      </c>
      <c r="K360" s="5"/>
      <c r="L360" s="26"/>
      <c r="M360" s="26" t="str">
        <f t="shared" ca="1" si="34"/>
        <v/>
      </c>
      <c r="N360" s="5" t="s">
        <v>31</v>
      </c>
      <c r="O360" s="26">
        <v>35594</v>
      </c>
      <c r="P360" s="26" t="str">
        <f t="shared" ca="1" si="33"/>
        <v>29 tahun</v>
      </c>
      <c r="Q360" s="5" t="s">
        <v>46</v>
      </c>
      <c r="R360" s="35">
        <v>3200000</v>
      </c>
      <c r="S360" s="25" t="s">
        <v>1755</v>
      </c>
      <c r="T360" s="5" t="s">
        <v>100</v>
      </c>
      <c r="U360" s="5" t="s">
        <v>165</v>
      </c>
      <c r="V360" s="25" t="s">
        <v>1756</v>
      </c>
      <c r="W360" s="25" t="s">
        <v>1635</v>
      </c>
      <c r="X360" s="5"/>
      <c r="Y360" s="25"/>
      <c r="Z360" s="5"/>
      <c r="AA360" s="9" t="s">
        <v>41</v>
      </c>
      <c r="AB360" s="6"/>
    </row>
    <row r="361" spans="1:28">
      <c r="A361" s="5">
        <f>IF(AA361="aktif",MAX($A$1:A360)+1,"")</f>
        <v>322</v>
      </c>
      <c r="B361" s="25"/>
      <c r="C361" s="15" t="s">
        <v>1757</v>
      </c>
      <c r="D361" s="139" t="s">
        <v>115</v>
      </c>
      <c r="E361" s="18" t="s">
        <v>786</v>
      </c>
      <c r="F361" s="5" t="s">
        <v>2152</v>
      </c>
      <c r="G361" s="5" t="s">
        <v>2152</v>
      </c>
      <c r="H361" s="16" t="s">
        <v>1758</v>
      </c>
      <c r="I361" s="18" t="s">
        <v>1482</v>
      </c>
      <c r="J361" s="5" t="s">
        <v>129</v>
      </c>
      <c r="K361" s="5"/>
      <c r="L361" s="26"/>
      <c r="M361" s="26" t="str">
        <f t="shared" ca="1" si="34"/>
        <v/>
      </c>
      <c r="N361" s="5" t="s">
        <v>55</v>
      </c>
      <c r="O361" s="26">
        <v>26492</v>
      </c>
      <c r="P361" s="26" t="str">
        <f t="shared" ca="1" si="33"/>
        <v>54 tahun</v>
      </c>
      <c r="Q361" s="5" t="s">
        <v>121</v>
      </c>
      <c r="R361" s="35">
        <v>2600000</v>
      </c>
      <c r="S361" s="25" t="s">
        <v>1759</v>
      </c>
      <c r="T361" s="5" t="s">
        <v>1760</v>
      </c>
      <c r="U361" s="5" t="s">
        <v>35</v>
      </c>
      <c r="V361" s="25" t="s">
        <v>1761</v>
      </c>
      <c r="W361" s="25" t="s">
        <v>1762</v>
      </c>
      <c r="X361" s="5"/>
      <c r="Y361" s="25"/>
      <c r="Z361" s="5"/>
      <c r="AA361" s="9" t="s">
        <v>41</v>
      </c>
      <c r="AB361" s="6"/>
    </row>
    <row r="362" spans="1:28">
      <c r="A362" s="5">
        <f>IF(AA362="aktif",MAX($A$1:A361)+1,"")</f>
        <v>323</v>
      </c>
      <c r="B362" s="25"/>
      <c r="C362" s="15" t="s">
        <v>1763</v>
      </c>
      <c r="D362" s="139" t="s">
        <v>115</v>
      </c>
      <c r="E362" s="18" t="s">
        <v>786</v>
      </c>
      <c r="F362" s="5" t="s">
        <v>2152</v>
      </c>
      <c r="G362" s="5" t="s">
        <v>2152</v>
      </c>
      <c r="H362" s="16" t="s">
        <v>1758</v>
      </c>
      <c r="I362" s="18" t="s">
        <v>1482</v>
      </c>
      <c r="J362" s="5" t="s">
        <v>129</v>
      </c>
      <c r="K362" s="5"/>
      <c r="L362" s="26"/>
      <c r="M362" s="26" t="str">
        <f t="shared" ca="1" si="34"/>
        <v/>
      </c>
      <c r="N362" s="5" t="s">
        <v>55</v>
      </c>
      <c r="O362" s="26">
        <v>26798</v>
      </c>
      <c r="P362" s="26" t="str">
        <f t="shared" ca="1" si="33"/>
        <v>53 tahun</v>
      </c>
      <c r="Q362" s="5"/>
      <c r="R362" s="35">
        <v>2600000</v>
      </c>
      <c r="S362" s="25" t="s">
        <v>1764</v>
      </c>
      <c r="T362" s="5" t="s">
        <v>669</v>
      </c>
      <c r="U362" s="5" t="s">
        <v>35</v>
      </c>
      <c r="V362" s="25" t="s">
        <v>1765</v>
      </c>
      <c r="W362" s="25" t="s">
        <v>1766</v>
      </c>
      <c r="X362" s="5"/>
      <c r="Y362" s="25"/>
      <c r="Z362" s="5"/>
      <c r="AA362" s="9" t="s">
        <v>41</v>
      </c>
      <c r="AB362" s="6"/>
    </row>
    <row r="363" spans="1:28">
      <c r="A363" s="5">
        <f>IF(AA363="aktif",MAX($A$1:A362)+1,"")</f>
        <v>324</v>
      </c>
      <c r="B363" s="25"/>
      <c r="C363" s="15" t="s">
        <v>1767</v>
      </c>
      <c r="D363" s="139" t="s">
        <v>115</v>
      </c>
      <c r="E363" s="18" t="s">
        <v>786</v>
      </c>
      <c r="F363" s="5" t="s">
        <v>2152</v>
      </c>
      <c r="G363" s="5" t="s">
        <v>2152</v>
      </c>
      <c r="H363" s="16" t="s">
        <v>1758</v>
      </c>
      <c r="I363" s="18" t="s">
        <v>1482</v>
      </c>
      <c r="J363" s="5" t="s">
        <v>129</v>
      </c>
      <c r="K363" s="5"/>
      <c r="L363" s="26"/>
      <c r="M363" s="26" t="str">
        <f t="shared" ca="1" si="34"/>
        <v/>
      </c>
      <c r="N363" s="5" t="s">
        <v>55</v>
      </c>
      <c r="O363" s="26">
        <v>26374</v>
      </c>
      <c r="P363" s="26" t="str">
        <f t="shared" ca="1" si="33"/>
        <v>54 tahun</v>
      </c>
      <c r="Q363" s="5" t="s">
        <v>121</v>
      </c>
      <c r="R363" s="35">
        <v>2600000</v>
      </c>
      <c r="S363" s="25" t="s">
        <v>1768</v>
      </c>
      <c r="T363" s="5" t="s">
        <v>1769</v>
      </c>
      <c r="U363" s="5" t="s">
        <v>35</v>
      </c>
      <c r="V363" s="25" t="s">
        <v>1770</v>
      </c>
      <c r="W363" s="25"/>
      <c r="X363" s="5"/>
      <c r="Y363" s="25"/>
      <c r="Z363" s="5"/>
      <c r="AA363" s="9" t="s">
        <v>41</v>
      </c>
      <c r="AB363" s="6"/>
    </row>
    <row r="364" spans="1:28">
      <c r="A364" s="5">
        <f>IF(AA364="aktif",MAX($A$1:A363)+1,"")</f>
        <v>325</v>
      </c>
      <c r="B364" s="25"/>
      <c r="C364" s="15" t="s">
        <v>1771</v>
      </c>
      <c r="D364" s="139" t="s">
        <v>115</v>
      </c>
      <c r="E364" s="18" t="s">
        <v>786</v>
      </c>
      <c r="F364" s="5" t="s">
        <v>2152</v>
      </c>
      <c r="G364" s="5" t="s">
        <v>2152</v>
      </c>
      <c r="H364" s="16" t="s">
        <v>1758</v>
      </c>
      <c r="I364" s="18" t="s">
        <v>1482</v>
      </c>
      <c r="J364" s="5" t="s">
        <v>129</v>
      </c>
      <c r="K364" s="5"/>
      <c r="L364" s="26"/>
      <c r="M364" s="26" t="str">
        <f t="shared" ca="1" si="34"/>
        <v/>
      </c>
      <c r="N364" s="5" t="s">
        <v>55</v>
      </c>
      <c r="O364" s="26">
        <v>26053</v>
      </c>
      <c r="P364" s="26" t="str">
        <f t="shared" ca="1" si="33"/>
        <v>55 tahun</v>
      </c>
      <c r="Q364" s="5" t="s">
        <v>121</v>
      </c>
      <c r="R364" s="35">
        <v>2600000</v>
      </c>
      <c r="S364" s="25" t="s">
        <v>1772</v>
      </c>
      <c r="T364" s="5" t="s">
        <v>1773</v>
      </c>
      <c r="U364" s="5" t="s">
        <v>35</v>
      </c>
      <c r="V364" s="25" t="s">
        <v>1774</v>
      </c>
      <c r="W364" s="25" t="s">
        <v>1775</v>
      </c>
      <c r="X364" s="5"/>
      <c r="Y364" s="25"/>
      <c r="Z364" s="5"/>
      <c r="AA364" s="9" t="s">
        <v>41</v>
      </c>
      <c r="AB364" s="6"/>
    </row>
    <row r="365" spans="1:28">
      <c r="A365" s="5">
        <f>IF(AA365="aktif",MAX($A$1:A364)+1,"")</f>
        <v>326</v>
      </c>
      <c r="B365" s="25"/>
      <c r="C365" s="15" t="s">
        <v>1776</v>
      </c>
      <c r="D365" s="139" t="s">
        <v>115</v>
      </c>
      <c r="E365" s="18" t="s">
        <v>786</v>
      </c>
      <c r="F365" s="5" t="s">
        <v>2152</v>
      </c>
      <c r="G365" s="5" t="s">
        <v>2152</v>
      </c>
      <c r="H365" s="16" t="s">
        <v>1758</v>
      </c>
      <c r="I365" s="18" t="s">
        <v>1482</v>
      </c>
      <c r="J365" s="5" t="s">
        <v>129</v>
      </c>
      <c r="K365" s="5"/>
      <c r="L365" s="26">
        <v>40695</v>
      </c>
      <c r="M365" s="26" t="str">
        <f t="shared" ca="1" si="34"/>
        <v>15 tahun 2 bulan</v>
      </c>
      <c r="N365" s="5" t="s">
        <v>55</v>
      </c>
      <c r="O365" s="26">
        <v>25355</v>
      </c>
      <c r="P365" s="26" t="str">
        <f t="shared" ca="1" si="33"/>
        <v>57 tahun</v>
      </c>
      <c r="Q365" s="5" t="s">
        <v>121</v>
      </c>
      <c r="R365" s="35">
        <v>2600000</v>
      </c>
      <c r="S365" s="25" t="s">
        <v>1777</v>
      </c>
      <c r="T365" s="5" t="s">
        <v>1778</v>
      </c>
      <c r="U365" s="5" t="s">
        <v>165</v>
      </c>
      <c r="V365" s="25" t="s">
        <v>1779</v>
      </c>
      <c r="W365" s="25" t="s">
        <v>1780</v>
      </c>
      <c r="X365" s="5"/>
      <c r="Y365" s="25"/>
      <c r="Z365" s="5"/>
      <c r="AA365" s="9" t="s">
        <v>41</v>
      </c>
      <c r="AB365" s="6"/>
    </row>
    <row r="366" spans="1:28">
      <c r="A366" s="5">
        <f>IF(AA366="aktif",MAX($A$1:A365)+1,"")</f>
        <v>327</v>
      </c>
      <c r="B366" s="25"/>
      <c r="C366" s="15" t="s">
        <v>1781</v>
      </c>
      <c r="D366" s="139" t="s">
        <v>115</v>
      </c>
      <c r="E366" s="18" t="s">
        <v>786</v>
      </c>
      <c r="F366" s="5" t="s">
        <v>2152</v>
      </c>
      <c r="G366" s="5" t="s">
        <v>2152</v>
      </c>
      <c r="H366" s="16" t="s">
        <v>1758</v>
      </c>
      <c r="I366" s="18" t="s">
        <v>1482</v>
      </c>
      <c r="J366" s="5" t="s">
        <v>129</v>
      </c>
      <c r="K366" s="5"/>
      <c r="L366" s="26"/>
      <c r="M366" s="26" t="str">
        <f t="shared" ca="1" si="34"/>
        <v/>
      </c>
      <c r="N366" s="5" t="s">
        <v>55</v>
      </c>
      <c r="O366" s="26">
        <v>27490</v>
      </c>
      <c r="P366" s="26" t="str">
        <f t="shared" ca="1" si="33"/>
        <v>51 tahun</v>
      </c>
      <c r="Q366" s="5" t="s">
        <v>121</v>
      </c>
      <c r="R366" s="35"/>
      <c r="S366" s="25" t="s">
        <v>1782</v>
      </c>
      <c r="T366" s="5" t="s">
        <v>617</v>
      </c>
      <c r="U366" s="5" t="s">
        <v>35</v>
      </c>
      <c r="V366" s="25" t="s">
        <v>1783</v>
      </c>
      <c r="W366" s="25"/>
      <c r="X366" s="5"/>
      <c r="Y366" s="25"/>
      <c r="Z366" s="5"/>
      <c r="AA366" s="9" t="s">
        <v>41</v>
      </c>
      <c r="AB366" s="6"/>
    </row>
    <row r="367" spans="1:28">
      <c r="A367" s="5">
        <f>IF(AA367="aktif",MAX($A$1:A366)+1,"")</f>
        <v>328</v>
      </c>
      <c r="B367" s="25"/>
      <c r="C367" s="15" t="s">
        <v>1784</v>
      </c>
      <c r="D367" s="139" t="s">
        <v>115</v>
      </c>
      <c r="E367" s="18" t="s">
        <v>786</v>
      </c>
      <c r="F367" s="5" t="s">
        <v>2152</v>
      </c>
      <c r="G367" s="5" t="s">
        <v>2152</v>
      </c>
      <c r="H367" s="16" t="s">
        <v>1758</v>
      </c>
      <c r="I367" s="18" t="s">
        <v>1482</v>
      </c>
      <c r="J367" s="5" t="s">
        <v>129</v>
      </c>
      <c r="K367" s="5"/>
      <c r="L367" s="26"/>
      <c r="M367" s="26" t="str">
        <f t="shared" ca="1" si="34"/>
        <v/>
      </c>
      <c r="N367" s="5" t="s">
        <v>55</v>
      </c>
      <c r="O367" s="26">
        <v>28238</v>
      </c>
      <c r="P367" s="26" t="str">
        <f t="shared" ca="1" si="33"/>
        <v>49 tahun</v>
      </c>
      <c r="Q367" s="5" t="s">
        <v>121</v>
      </c>
      <c r="R367" s="35"/>
      <c r="S367" s="25" t="s">
        <v>1785</v>
      </c>
      <c r="T367" s="5" t="s">
        <v>284</v>
      </c>
      <c r="U367" s="5" t="s">
        <v>35</v>
      </c>
      <c r="V367" s="25" t="s">
        <v>1786</v>
      </c>
      <c r="W367" s="25"/>
      <c r="X367" s="5"/>
      <c r="Y367" s="25"/>
      <c r="Z367" s="5"/>
      <c r="AA367" s="9" t="s">
        <v>41</v>
      </c>
      <c r="AB367" s="6"/>
    </row>
    <row r="368" spans="1:28">
      <c r="A368" s="5">
        <f>IF(AA368="aktif",MAX($A$1:A367)+1,"")</f>
        <v>329</v>
      </c>
      <c r="B368" s="25"/>
      <c r="C368" s="15" t="s">
        <v>1787</v>
      </c>
      <c r="D368" s="139" t="s">
        <v>115</v>
      </c>
      <c r="E368" s="18" t="s">
        <v>786</v>
      </c>
      <c r="F368" s="5" t="s">
        <v>2152</v>
      </c>
      <c r="G368" s="5" t="s">
        <v>2152</v>
      </c>
      <c r="H368" s="16" t="s">
        <v>1758</v>
      </c>
      <c r="I368" s="18" t="s">
        <v>1482</v>
      </c>
      <c r="J368" s="5" t="s">
        <v>129</v>
      </c>
      <c r="K368" s="5"/>
      <c r="L368" s="26"/>
      <c r="M368" s="26" t="str">
        <f t="shared" ca="1" si="34"/>
        <v/>
      </c>
      <c r="N368" s="5" t="s">
        <v>55</v>
      </c>
      <c r="O368" s="26">
        <v>31271</v>
      </c>
      <c r="P368" s="26" t="str">
        <f t="shared" ca="1" si="33"/>
        <v>40 tahun</v>
      </c>
      <c r="Q368" s="5" t="s">
        <v>158</v>
      </c>
      <c r="R368" s="35"/>
      <c r="S368" s="25" t="s">
        <v>1788</v>
      </c>
      <c r="T368" s="5" t="s">
        <v>850</v>
      </c>
      <c r="U368" s="5" t="s">
        <v>165</v>
      </c>
      <c r="V368" s="25" t="s">
        <v>1789</v>
      </c>
      <c r="W368" s="25" t="s">
        <v>1790</v>
      </c>
      <c r="X368" s="5"/>
      <c r="Y368" s="25"/>
      <c r="Z368" s="5"/>
      <c r="AA368" s="9" t="s">
        <v>41</v>
      </c>
      <c r="AB368" s="6"/>
    </row>
    <row r="369" spans="1:28">
      <c r="A369" s="5">
        <f>IF(AA369="aktif",MAX($A$1:A368)+1,"")</f>
        <v>330</v>
      </c>
      <c r="B369" s="25"/>
      <c r="C369" s="15" t="s">
        <v>1791</v>
      </c>
      <c r="D369" s="139" t="s">
        <v>115</v>
      </c>
      <c r="E369" s="18" t="s">
        <v>786</v>
      </c>
      <c r="F369" s="5" t="s">
        <v>2152</v>
      </c>
      <c r="G369" s="5" t="s">
        <v>2152</v>
      </c>
      <c r="H369" s="16" t="s">
        <v>1758</v>
      </c>
      <c r="I369" s="18" t="s">
        <v>1482</v>
      </c>
      <c r="J369" s="5" t="s">
        <v>129</v>
      </c>
      <c r="K369" s="5"/>
      <c r="L369" s="26">
        <v>40330</v>
      </c>
      <c r="M369" s="26" t="str">
        <f t="shared" ca="1" si="34"/>
        <v>16 tahun 2 bulan</v>
      </c>
      <c r="N369" s="5" t="s">
        <v>55</v>
      </c>
      <c r="O369" s="26">
        <v>31038</v>
      </c>
      <c r="P369" s="26" t="str">
        <f t="shared" ca="1" si="33"/>
        <v>41 tahun</v>
      </c>
      <c r="Q369" s="5" t="s">
        <v>158</v>
      </c>
      <c r="R369" s="35">
        <v>2500000</v>
      </c>
      <c r="S369" s="25" t="s">
        <v>1792</v>
      </c>
      <c r="T369" s="5" t="s">
        <v>617</v>
      </c>
      <c r="U369" s="5" t="s">
        <v>35</v>
      </c>
      <c r="V369" s="25" t="s">
        <v>1793</v>
      </c>
      <c r="W369" s="25"/>
      <c r="X369" s="5"/>
      <c r="Y369" s="25" t="s">
        <v>1794</v>
      </c>
      <c r="Z369" s="5"/>
      <c r="AA369" s="9" t="s">
        <v>41</v>
      </c>
      <c r="AB369" s="6"/>
    </row>
    <row r="370" spans="1:28">
      <c r="A370" s="5">
        <f>IF(AA370="aktif",MAX($A$1:A369)+1,"")</f>
        <v>331</v>
      </c>
      <c r="B370" s="25"/>
      <c r="C370" s="15" t="s">
        <v>1795</v>
      </c>
      <c r="D370" s="139" t="s">
        <v>115</v>
      </c>
      <c r="E370" s="18" t="s">
        <v>786</v>
      </c>
      <c r="F370" s="5" t="s">
        <v>2152</v>
      </c>
      <c r="G370" s="5" t="s">
        <v>2152</v>
      </c>
      <c r="H370" s="16" t="s">
        <v>1758</v>
      </c>
      <c r="I370" s="18" t="s">
        <v>1482</v>
      </c>
      <c r="J370" s="5" t="s">
        <v>129</v>
      </c>
      <c r="K370" s="5"/>
      <c r="L370" s="26">
        <v>44735</v>
      </c>
      <c r="M370" s="26" t="str">
        <f t="shared" ca="1" si="34"/>
        <v>4 tahun 1 bulan</v>
      </c>
      <c r="N370" s="5" t="s">
        <v>55</v>
      </c>
      <c r="O370" s="26">
        <v>37222</v>
      </c>
      <c r="P370" s="26" t="str">
        <f t="shared" ca="1" si="33"/>
        <v>24 tahun</v>
      </c>
      <c r="Q370" s="5" t="s">
        <v>46</v>
      </c>
      <c r="R370" s="35">
        <v>2600000</v>
      </c>
      <c r="S370" s="25" t="s">
        <v>1796</v>
      </c>
      <c r="T370" s="5" t="s">
        <v>74</v>
      </c>
      <c r="U370" s="5" t="s">
        <v>165</v>
      </c>
      <c r="V370" s="25" t="s">
        <v>1797</v>
      </c>
      <c r="W370" s="25" t="s">
        <v>1798</v>
      </c>
      <c r="X370" s="5"/>
      <c r="Y370" s="25"/>
      <c r="Z370" s="5"/>
      <c r="AA370" s="9" t="s">
        <v>41</v>
      </c>
      <c r="AB370" s="6"/>
    </row>
    <row r="371" spans="1:28">
      <c r="A371" s="5">
        <f>IF(AA371="aktif",MAX($A$1:A370)+1,"")</f>
        <v>332</v>
      </c>
      <c r="B371" s="25"/>
      <c r="C371" s="15" t="s">
        <v>1799</v>
      </c>
      <c r="D371" s="139" t="s">
        <v>115</v>
      </c>
      <c r="E371" s="18" t="s">
        <v>786</v>
      </c>
      <c r="F371" s="5" t="s">
        <v>2152</v>
      </c>
      <c r="G371" s="5" t="s">
        <v>2152</v>
      </c>
      <c r="H371" s="16" t="s">
        <v>1758</v>
      </c>
      <c r="I371" s="18" t="s">
        <v>1482</v>
      </c>
      <c r="J371" s="5" t="s">
        <v>129</v>
      </c>
      <c r="K371" s="5"/>
      <c r="L371" s="26">
        <v>45078</v>
      </c>
      <c r="M371" s="26" t="str">
        <f t="shared" ca="1" si="34"/>
        <v>3 tahun 2 bulan</v>
      </c>
      <c r="N371" s="5" t="s">
        <v>55</v>
      </c>
      <c r="O371" s="26">
        <v>37866</v>
      </c>
      <c r="P371" s="26" t="str">
        <f t="shared" ca="1" si="33"/>
        <v>22 tahun</v>
      </c>
      <c r="Q371" s="5" t="s">
        <v>46</v>
      </c>
      <c r="R371" s="35"/>
      <c r="S371" s="25" t="s">
        <v>1800</v>
      </c>
      <c r="T371" s="5" t="s">
        <v>1801</v>
      </c>
      <c r="U371" s="5" t="s">
        <v>165</v>
      </c>
      <c r="V371" s="25" t="s">
        <v>1802</v>
      </c>
      <c r="W371" s="25" t="s">
        <v>1803</v>
      </c>
      <c r="X371" s="5"/>
      <c r="Y371" s="25"/>
      <c r="Z371" s="5"/>
      <c r="AA371" s="9" t="s">
        <v>41</v>
      </c>
      <c r="AB371" s="6"/>
    </row>
    <row r="372" spans="1:28">
      <c r="A372" s="5">
        <f>IF(AA372="aktif",MAX($A$1:A371)+1,"")</f>
        <v>333</v>
      </c>
      <c r="B372" s="25"/>
      <c r="C372" s="15" t="s">
        <v>1804</v>
      </c>
      <c r="D372" s="139" t="s">
        <v>115</v>
      </c>
      <c r="E372" s="18" t="s">
        <v>786</v>
      </c>
      <c r="F372" s="5" t="s">
        <v>2152</v>
      </c>
      <c r="G372" s="5" t="s">
        <v>2152</v>
      </c>
      <c r="H372" s="16" t="s">
        <v>1758</v>
      </c>
      <c r="I372" s="18" t="s">
        <v>1482</v>
      </c>
      <c r="J372" s="5" t="s">
        <v>129</v>
      </c>
      <c r="K372" s="5"/>
      <c r="L372" s="26"/>
      <c r="M372" s="26" t="str">
        <f t="shared" ca="1" si="34"/>
        <v/>
      </c>
      <c r="N372" s="5" t="s">
        <v>55</v>
      </c>
      <c r="O372" s="26">
        <v>34686</v>
      </c>
      <c r="P372" s="26" t="str">
        <f t="shared" ca="1" si="33"/>
        <v>31 tahun</v>
      </c>
      <c r="Q372" s="5" t="s">
        <v>46</v>
      </c>
      <c r="R372" s="35"/>
      <c r="S372" s="25" t="s">
        <v>1805</v>
      </c>
      <c r="T372" s="5" t="s">
        <v>1806</v>
      </c>
      <c r="U372" s="5" t="s">
        <v>35</v>
      </c>
      <c r="V372" s="25" t="s">
        <v>1807</v>
      </c>
      <c r="W372" s="25" t="s">
        <v>1808</v>
      </c>
      <c r="X372" s="5"/>
      <c r="Y372" s="25"/>
      <c r="Z372" s="5"/>
      <c r="AA372" s="9" t="s">
        <v>41</v>
      </c>
      <c r="AB372" s="6"/>
    </row>
    <row r="373" spans="1:28">
      <c r="A373" s="5">
        <f>IF(AA373="aktif",MAX($A$1:A372)+1,"")</f>
        <v>334</v>
      </c>
      <c r="B373" s="25"/>
      <c r="C373" s="15" t="s">
        <v>1809</v>
      </c>
      <c r="D373" s="139" t="s">
        <v>115</v>
      </c>
      <c r="E373" s="18" t="s">
        <v>786</v>
      </c>
      <c r="F373" s="5" t="s">
        <v>2152</v>
      </c>
      <c r="G373" s="5" t="s">
        <v>2152</v>
      </c>
      <c r="H373" s="16" t="s">
        <v>1758</v>
      </c>
      <c r="I373" s="18" t="s">
        <v>1482</v>
      </c>
      <c r="J373" s="5" t="s">
        <v>129</v>
      </c>
      <c r="K373" s="5"/>
      <c r="L373" s="26"/>
      <c r="M373" s="26" t="str">
        <f t="shared" ca="1" si="34"/>
        <v/>
      </c>
      <c r="N373" s="5" t="s">
        <v>55</v>
      </c>
      <c r="O373" s="26">
        <v>36613</v>
      </c>
      <c r="P373" s="26" t="str">
        <f t="shared" ca="1" si="33"/>
        <v>26 tahun</v>
      </c>
      <c r="Q373" s="5" t="s">
        <v>46</v>
      </c>
      <c r="R373" s="35"/>
      <c r="S373" s="25" t="s">
        <v>1810</v>
      </c>
      <c r="T373" s="5" t="s">
        <v>1253</v>
      </c>
      <c r="U373" s="5" t="s">
        <v>35</v>
      </c>
      <c r="V373" s="25" t="s">
        <v>1811</v>
      </c>
      <c r="W373" s="25" t="s">
        <v>1812</v>
      </c>
      <c r="X373" s="5"/>
      <c r="Y373" s="25"/>
      <c r="Z373" s="5"/>
      <c r="AA373" s="9" t="s">
        <v>41</v>
      </c>
      <c r="AB373" s="6"/>
    </row>
    <row r="374" spans="1:28">
      <c r="A374" s="5">
        <f>IF(AA374="aktif",MAX($A$1:A373)+1,"")</f>
        <v>335</v>
      </c>
      <c r="B374" s="25"/>
      <c r="C374" s="15" t="s">
        <v>1813</v>
      </c>
      <c r="D374" s="139" t="s">
        <v>115</v>
      </c>
      <c r="E374" s="18" t="s">
        <v>786</v>
      </c>
      <c r="F374" s="5" t="s">
        <v>2152</v>
      </c>
      <c r="G374" s="5" t="s">
        <v>2152</v>
      </c>
      <c r="H374" s="16" t="s">
        <v>1758</v>
      </c>
      <c r="I374" s="18" t="s">
        <v>1482</v>
      </c>
      <c r="J374" s="5" t="s">
        <v>129</v>
      </c>
      <c r="K374" s="5"/>
      <c r="L374" s="26"/>
      <c r="M374" s="26"/>
      <c r="N374" s="5" t="s">
        <v>55</v>
      </c>
      <c r="O374" s="26"/>
      <c r="P374" s="26"/>
      <c r="Q374" s="5"/>
      <c r="R374" s="35"/>
      <c r="S374" s="25"/>
      <c r="V374" s="25"/>
      <c r="W374" s="25"/>
      <c r="X374" s="5"/>
      <c r="Y374" s="25"/>
      <c r="Z374" s="5"/>
      <c r="AA374" s="9" t="s">
        <v>41</v>
      </c>
      <c r="AB374" s="6"/>
    </row>
    <row r="375" spans="1:28">
      <c r="A375" s="5">
        <f>IF(AA375="aktif",MAX($A$1:A374)+1,"")</f>
        <v>336</v>
      </c>
      <c r="B375" s="25"/>
      <c r="C375" s="15" t="s">
        <v>1814</v>
      </c>
      <c r="D375" s="139" t="s">
        <v>115</v>
      </c>
      <c r="E375" s="18" t="s">
        <v>786</v>
      </c>
      <c r="F375" s="5" t="s">
        <v>2152</v>
      </c>
      <c r="G375" s="5" t="s">
        <v>2152</v>
      </c>
      <c r="H375" s="16" t="s">
        <v>1758</v>
      </c>
      <c r="I375" s="18" t="s">
        <v>1482</v>
      </c>
      <c r="J375" s="5" t="s">
        <v>129</v>
      </c>
      <c r="K375" s="5"/>
      <c r="L375" s="26"/>
      <c r="M375" s="26" t="str">
        <f t="shared" ref="M375:M387" ca="1" si="35">IF(L375="","",DATEDIF(L375,TODAY(),"Y") &amp;" tahun " &amp; DATEDIF(L375,TODAY(),"YM")&amp;" bulan")</f>
        <v/>
      </c>
      <c r="N375" s="5" t="s">
        <v>55</v>
      </c>
      <c r="O375" s="26">
        <v>31909</v>
      </c>
      <c r="P375" s="26" t="str">
        <f t="shared" ref="P375:P387" ca="1" si="36">IF(O375="","",DATEDIF(O375,TODAY(),"Y")&amp;" tahun")</f>
        <v>39 tahun</v>
      </c>
      <c r="Q375" s="5" t="s">
        <v>32</v>
      </c>
      <c r="R375" s="35"/>
      <c r="S375" s="25" t="s">
        <v>1815</v>
      </c>
      <c r="T375" s="5" t="s">
        <v>1816</v>
      </c>
      <c r="U375" s="5" t="s">
        <v>35</v>
      </c>
      <c r="V375" s="32" t="s">
        <v>1817</v>
      </c>
      <c r="W375" s="25" t="s">
        <v>858</v>
      </c>
      <c r="X375" s="5"/>
      <c r="Y375" s="25"/>
      <c r="Z375" s="5"/>
      <c r="AA375" s="9" t="s">
        <v>41</v>
      </c>
      <c r="AB375" s="6"/>
    </row>
    <row r="376" spans="1:28">
      <c r="A376" s="5">
        <f>IF(AA376="aktif",MAX($A$1:A375)+1,"")</f>
        <v>337</v>
      </c>
      <c r="B376" s="25"/>
      <c r="C376" s="15" t="s">
        <v>1818</v>
      </c>
      <c r="D376" s="139" t="s">
        <v>115</v>
      </c>
      <c r="E376" s="18" t="s">
        <v>786</v>
      </c>
      <c r="F376" s="5" t="s">
        <v>2152</v>
      </c>
      <c r="G376" s="5" t="s">
        <v>2152</v>
      </c>
      <c r="H376" s="16" t="s">
        <v>1758</v>
      </c>
      <c r="I376" s="18" t="s">
        <v>1508</v>
      </c>
      <c r="J376" s="5" t="s">
        <v>129</v>
      </c>
      <c r="K376" s="5"/>
      <c r="L376" s="26"/>
      <c r="M376" s="26" t="str">
        <f t="shared" ca="1" si="35"/>
        <v/>
      </c>
      <c r="N376" s="5" t="s">
        <v>55</v>
      </c>
      <c r="O376" s="26">
        <v>25359</v>
      </c>
      <c r="P376" s="26" t="str">
        <f t="shared" ca="1" si="36"/>
        <v>57 tahun</v>
      </c>
      <c r="Q376" s="5" t="s">
        <v>32</v>
      </c>
      <c r="R376" s="35">
        <v>1900000</v>
      </c>
      <c r="S376" s="25" t="s">
        <v>1819</v>
      </c>
      <c r="T376" s="5" t="s">
        <v>920</v>
      </c>
      <c r="U376" s="5" t="s">
        <v>35</v>
      </c>
      <c r="V376" s="25" t="s">
        <v>1820</v>
      </c>
      <c r="W376" s="25" t="s">
        <v>1821</v>
      </c>
      <c r="X376" s="5"/>
      <c r="Y376" s="25"/>
      <c r="Z376" s="5"/>
      <c r="AA376" s="9" t="s">
        <v>41</v>
      </c>
      <c r="AB376" s="6"/>
    </row>
    <row r="377" spans="1:28">
      <c r="A377" s="5">
        <f>IF(AA377="aktif",MAX($A$1:A376)+1,"")</f>
        <v>338</v>
      </c>
      <c r="B377" s="25"/>
      <c r="C377" s="15" t="s">
        <v>1822</v>
      </c>
      <c r="D377" s="139" t="s">
        <v>115</v>
      </c>
      <c r="E377" s="18" t="s">
        <v>786</v>
      </c>
      <c r="F377" s="5" t="s">
        <v>2152</v>
      </c>
      <c r="G377" s="5" t="s">
        <v>2152</v>
      </c>
      <c r="H377" s="16" t="s">
        <v>1758</v>
      </c>
      <c r="I377" s="18" t="s">
        <v>1508</v>
      </c>
      <c r="J377" s="5" t="s">
        <v>129</v>
      </c>
      <c r="K377" s="5"/>
      <c r="L377" s="26"/>
      <c r="M377" s="26" t="str">
        <f t="shared" ca="1" si="35"/>
        <v/>
      </c>
      <c r="N377" s="5" t="s">
        <v>55</v>
      </c>
      <c r="O377" s="26">
        <v>26030</v>
      </c>
      <c r="P377" s="26" t="str">
        <f t="shared" ca="1" si="36"/>
        <v>55 tahun</v>
      </c>
      <c r="Q377" s="5" t="s">
        <v>121</v>
      </c>
      <c r="R377" s="35">
        <v>1800000</v>
      </c>
      <c r="S377" s="25" t="s">
        <v>1823</v>
      </c>
      <c r="T377" s="5" t="s">
        <v>1824</v>
      </c>
      <c r="U377" s="5" t="s">
        <v>35</v>
      </c>
      <c r="V377" s="25" t="s">
        <v>1825</v>
      </c>
      <c r="W377" s="25"/>
      <c r="X377" s="5"/>
      <c r="Y377" s="25"/>
      <c r="Z377" s="5"/>
      <c r="AA377" s="9" t="s">
        <v>41</v>
      </c>
      <c r="AB377" s="6"/>
    </row>
    <row r="378" spans="1:28">
      <c r="A378" s="5">
        <f>IF(AA378="aktif",MAX($A$1:A377)+1,"")</f>
        <v>339</v>
      </c>
      <c r="B378" s="25"/>
      <c r="C378" s="15" t="s">
        <v>1826</v>
      </c>
      <c r="D378" s="139" t="s">
        <v>115</v>
      </c>
      <c r="E378" s="18" t="s">
        <v>786</v>
      </c>
      <c r="F378" s="5" t="s">
        <v>2152</v>
      </c>
      <c r="G378" s="5" t="s">
        <v>2152</v>
      </c>
      <c r="H378" s="16" t="s">
        <v>1758</v>
      </c>
      <c r="I378" s="18" t="s">
        <v>1508</v>
      </c>
      <c r="J378" s="5" t="s">
        <v>129</v>
      </c>
      <c r="K378" s="5"/>
      <c r="L378" s="26">
        <v>40330</v>
      </c>
      <c r="M378" s="26" t="str">
        <f t="shared" ca="1" si="35"/>
        <v>16 tahun 2 bulan</v>
      </c>
      <c r="N378" s="5" t="s">
        <v>55</v>
      </c>
      <c r="O378" s="26">
        <v>28447</v>
      </c>
      <c r="P378" s="26" t="str">
        <f t="shared" ca="1" si="36"/>
        <v>48 tahun</v>
      </c>
      <c r="Q378" s="5"/>
      <c r="R378" s="35">
        <v>1900000</v>
      </c>
      <c r="S378" s="25" t="s">
        <v>1827</v>
      </c>
      <c r="T378" s="5" t="s">
        <v>1828</v>
      </c>
      <c r="U378" s="5" t="s">
        <v>35</v>
      </c>
      <c r="V378" s="25" t="s">
        <v>1829</v>
      </c>
      <c r="W378" s="25" t="s">
        <v>1830</v>
      </c>
      <c r="X378" s="5"/>
      <c r="Y378" s="25"/>
      <c r="Z378" s="5"/>
      <c r="AA378" s="9" t="s">
        <v>41</v>
      </c>
      <c r="AB378" s="6"/>
    </row>
    <row r="379" spans="1:28">
      <c r="A379" s="5">
        <f>IF(AA379="aktif",MAX($A$1:A378)+1,"")</f>
        <v>340</v>
      </c>
      <c r="B379" s="25"/>
      <c r="C379" s="15" t="s">
        <v>1831</v>
      </c>
      <c r="D379" s="139" t="s">
        <v>115</v>
      </c>
      <c r="E379" s="18" t="s">
        <v>786</v>
      </c>
      <c r="F379" s="5" t="s">
        <v>2152</v>
      </c>
      <c r="G379" s="5" t="s">
        <v>2152</v>
      </c>
      <c r="H379" s="16" t="s">
        <v>1758</v>
      </c>
      <c r="I379" s="18" t="s">
        <v>1508</v>
      </c>
      <c r="J379" s="5" t="s">
        <v>129</v>
      </c>
      <c r="K379" s="5"/>
      <c r="L379" s="26">
        <v>38504</v>
      </c>
      <c r="M379" s="26" t="str">
        <f t="shared" ca="1" si="35"/>
        <v>21 tahun 2 bulan</v>
      </c>
      <c r="N379" s="5" t="s">
        <v>55</v>
      </c>
      <c r="O379" s="26">
        <v>24990</v>
      </c>
      <c r="P379" s="26" t="str">
        <f t="shared" ca="1" si="36"/>
        <v>58 tahun</v>
      </c>
      <c r="Q379" s="5" t="s">
        <v>121</v>
      </c>
      <c r="R379" s="35">
        <v>1800000</v>
      </c>
      <c r="S379" s="25" t="s">
        <v>1832</v>
      </c>
      <c r="T379" s="5" t="s">
        <v>100</v>
      </c>
      <c r="U379" s="5" t="s">
        <v>35</v>
      </c>
      <c r="V379" s="25" t="s">
        <v>1833</v>
      </c>
      <c r="W379" s="25" t="s">
        <v>1834</v>
      </c>
      <c r="X379" s="5"/>
      <c r="Y379" s="25"/>
      <c r="Z379" s="5"/>
      <c r="AA379" s="9" t="s">
        <v>41</v>
      </c>
      <c r="AB379" s="6"/>
    </row>
    <row r="380" spans="1:28">
      <c r="A380" s="5">
        <f>IF(AA380="aktif",MAX($A$1:A379)+1,"")</f>
        <v>341</v>
      </c>
      <c r="B380" s="25"/>
      <c r="C380" s="15" t="s">
        <v>1835</v>
      </c>
      <c r="D380" s="139" t="s">
        <v>115</v>
      </c>
      <c r="E380" s="18" t="s">
        <v>786</v>
      </c>
      <c r="F380" s="5" t="s">
        <v>2152</v>
      </c>
      <c r="G380" s="5" t="s">
        <v>2152</v>
      </c>
      <c r="H380" s="16" t="s">
        <v>1758</v>
      </c>
      <c r="I380" s="18" t="s">
        <v>1508</v>
      </c>
      <c r="J380" s="5" t="s">
        <v>129</v>
      </c>
      <c r="K380" s="5"/>
      <c r="L380" s="26">
        <v>43252</v>
      </c>
      <c r="M380" s="26" t="str">
        <f t="shared" ca="1" si="35"/>
        <v>8 tahun 2 bulan</v>
      </c>
      <c r="N380" s="5" t="s">
        <v>55</v>
      </c>
      <c r="O380" s="26">
        <v>28970</v>
      </c>
      <c r="P380" s="26" t="str">
        <f t="shared" ca="1" si="36"/>
        <v>47 tahun</v>
      </c>
      <c r="Q380" s="5" t="s">
        <v>121</v>
      </c>
      <c r="R380" s="35">
        <v>1600000</v>
      </c>
      <c r="S380" s="25" t="s">
        <v>1836</v>
      </c>
      <c r="T380" s="5" t="s">
        <v>1837</v>
      </c>
      <c r="U380" s="5" t="s">
        <v>35</v>
      </c>
      <c r="V380" s="25" t="s">
        <v>1838</v>
      </c>
      <c r="W380" s="25" t="s">
        <v>1839</v>
      </c>
      <c r="X380" s="5"/>
      <c r="Y380" s="25"/>
      <c r="Z380" s="5"/>
      <c r="AA380" s="9" t="s">
        <v>41</v>
      </c>
      <c r="AB380" s="6"/>
    </row>
    <row r="381" spans="1:28">
      <c r="A381" s="5">
        <f>IF(AA381="aktif",MAX($A$1:A380)+1,"")</f>
        <v>342</v>
      </c>
      <c r="B381" s="25"/>
      <c r="C381" s="15" t="s">
        <v>1840</v>
      </c>
      <c r="D381" s="139" t="s">
        <v>115</v>
      </c>
      <c r="E381" s="18" t="s">
        <v>786</v>
      </c>
      <c r="F381" s="5" t="s">
        <v>2152</v>
      </c>
      <c r="G381" s="5" t="s">
        <v>2152</v>
      </c>
      <c r="H381" s="16" t="s">
        <v>1758</v>
      </c>
      <c r="I381" s="18" t="s">
        <v>1508</v>
      </c>
      <c r="J381" s="5" t="s">
        <v>129</v>
      </c>
      <c r="K381" s="5"/>
      <c r="L381" s="26">
        <v>40330</v>
      </c>
      <c r="M381" s="26" t="str">
        <f t="shared" ca="1" si="35"/>
        <v>16 tahun 2 bulan</v>
      </c>
      <c r="N381" s="5" t="s">
        <v>31</v>
      </c>
      <c r="O381" s="26">
        <v>25497</v>
      </c>
      <c r="P381" s="26" t="str">
        <f t="shared" ca="1" si="36"/>
        <v>56 tahun</v>
      </c>
      <c r="Q381" s="5" t="s">
        <v>32</v>
      </c>
      <c r="R381" s="35">
        <v>1800000</v>
      </c>
      <c r="S381" s="25" t="s">
        <v>1841</v>
      </c>
      <c r="T381" s="5" t="s">
        <v>1842</v>
      </c>
      <c r="U381" s="5" t="s">
        <v>35</v>
      </c>
      <c r="V381" s="25"/>
      <c r="W381" s="25" t="s">
        <v>1843</v>
      </c>
      <c r="X381" s="5"/>
      <c r="Y381" s="25"/>
      <c r="Z381" s="5"/>
      <c r="AA381" s="9" t="s">
        <v>41</v>
      </c>
      <c r="AB381" s="6"/>
    </row>
    <row r="382" spans="1:28">
      <c r="A382" s="5">
        <f>IF(AA382="aktif",MAX($A$1:A381)+1,"")</f>
        <v>343</v>
      </c>
      <c r="B382" s="25"/>
      <c r="C382" s="15" t="s">
        <v>1844</v>
      </c>
      <c r="D382" s="139" t="s">
        <v>115</v>
      </c>
      <c r="E382" s="18" t="s">
        <v>786</v>
      </c>
      <c r="F382" s="5" t="s">
        <v>2152</v>
      </c>
      <c r="G382" s="5" t="s">
        <v>2152</v>
      </c>
      <c r="H382" s="16" t="s">
        <v>1758</v>
      </c>
      <c r="I382" s="18" t="s">
        <v>1508</v>
      </c>
      <c r="J382" s="5" t="s">
        <v>129</v>
      </c>
      <c r="K382" s="5"/>
      <c r="L382" s="26"/>
      <c r="M382" s="26" t="str">
        <f t="shared" ca="1" si="35"/>
        <v/>
      </c>
      <c r="N382" s="5" t="s">
        <v>55</v>
      </c>
      <c r="O382" s="26">
        <v>30823</v>
      </c>
      <c r="P382" s="26" t="str">
        <f t="shared" ca="1" si="36"/>
        <v>42 tahun</v>
      </c>
      <c r="Q382" s="5" t="s">
        <v>46</v>
      </c>
      <c r="R382" s="35">
        <v>1300000</v>
      </c>
      <c r="S382" s="25" t="s">
        <v>1845</v>
      </c>
      <c r="T382" s="5" t="s">
        <v>445</v>
      </c>
      <c r="U382" s="5" t="s">
        <v>35</v>
      </c>
      <c r="V382" s="25" t="s">
        <v>1846</v>
      </c>
      <c r="W382" s="25"/>
      <c r="X382" s="5"/>
      <c r="Y382" s="25"/>
      <c r="Z382" s="5"/>
      <c r="AA382" s="9" t="s">
        <v>41</v>
      </c>
      <c r="AB382" s="6"/>
    </row>
    <row r="383" spans="1:28">
      <c r="A383" s="5">
        <f>IF(AA383="aktif",MAX($A$1:A382)+1,"")</f>
        <v>344</v>
      </c>
      <c r="B383" s="25"/>
      <c r="C383" s="15" t="s">
        <v>1847</v>
      </c>
      <c r="D383" s="139" t="s">
        <v>115</v>
      </c>
      <c r="E383" s="18" t="s">
        <v>786</v>
      </c>
      <c r="F383" s="5" t="s">
        <v>2152</v>
      </c>
      <c r="G383" s="5" t="s">
        <v>2152</v>
      </c>
      <c r="H383" s="16" t="s">
        <v>1758</v>
      </c>
      <c r="I383" s="18" t="s">
        <v>1508</v>
      </c>
      <c r="J383" s="5" t="s">
        <v>129</v>
      </c>
      <c r="K383" s="5"/>
      <c r="L383" s="26"/>
      <c r="M383" s="26" t="str">
        <f t="shared" ca="1" si="35"/>
        <v/>
      </c>
      <c r="N383" s="5" t="s">
        <v>55</v>
      </c>
      <c r="O383" s="26">
        <v>29774</v>
      </c>
      <c r="P383" s="26" t="str">
        <f t="shared" ca="1" si="36"/>
        <v>45 tahun</v>
      </c>
      <c r="Q383" s="5" t="s">
        <v>46</v>
      </c>
      <c r="R383" s="35"/>
      <c r="S383" s="25" t="s">
        <v>1848</v>
      </c>
      <c r="T383" s="5" t="s">
        <v>617</v>
      </c>
      <c r="U383" s="5" t="s">
        <v>35</v>
      </c>
      <c r="V383" s="25" t="s">
        <v>619</v>
      </c>
      <c r="W383" s="25"/>
      <c r="X383" s="5"/>
      <c r="Y383" s="25"/>
      <c r="Z383" s="5"/>
      <c r="AA383" s="9" t="s">
        <v>41</v>
      </c>
      <c r="AB383" s="6"/>
    </row>
    <row r="384" spans="1:28">
      <c r="A384" s="5">
        <f>IF(AA384="aktif",MAX($A$1:A383)+1,"")</f>
        <v>345</v>
      </c>
      <c r="B384" s="25"/>
      <c r="C384" s="15" t="s">
        <v>1849</v>
      </c>
      <c r="D384" s="139" t="s">
        <v>115</v>
      </c>
      <c r="E384" s="18" t="s">
        <v>786</v>
      </c>
      <c r="F384" s="5" t="s">
        <v>2152</v>
      </c>
      <c r="G384" s="5" t="s">
        <v>2152</v>
      </c>
      <c r="H384" s="16" t="s">
        <v>1758</v>
      </c>
      <c r="I384" s="18" t="s">
        <v>1508</v>
      </c>
      <c r="J384" s="5" t="s">
        <v>129</v>
      </c>
      <c r="K384" s="5"/>
      <c r="L384" s="26"/>
      <c r="M384" s="26" t="str">
        <f t="shared" ca="1" si="35"/>
        <v/>
      </c>
      <c r="N384" s="5" t="s">
        <v>55</v>
      </c>
      <c r="O384" s="26">
        <v>30479</v>
      </c>
      <c r="P384" s="26" t="str">
        <f t="shared" ca="1" si="36"/>
        <v>43 tahun</v>
      </c>
      <c r="Q384" s="5" t="s">
        <v>32</v>
      </c>
      <c r="R384" s="35">
        <v>1800000</v>
      </c>
      <c r="S384" s="25" t="s">
        <v>1850</v>
      </c>
      <c r="T384" s="5" t="s">
        <v>1460</v>
      </c>
      <c r="U384" s="5" t="s">
        <v>35</v>
      </c>
      <c r="V384" s="25" t="s">
        <v>1851</v>
      </c>
      <c r="W384" s="25"/>
      <c r="X384" s="5"/>
      <c r="Y384" s="25"/>
      <c r="Z384" s="5"/>
      <c r="AA384" s="9" t="s">
        <v>41</v>
      </c>
      <c r="AB384" s="6"/>
    </row>
    <row r="385" spans="1:28">
      <c r="A385" s="5">
        <f>IF(AA385="aktif",MAX($A$1:A384)+1,"")</f>
        <v>346</v>
      </c>
      <c r="B385" s="25"/>
      <c r="C385" s="15" t="s">
        <v>1852</v>
      </c>
      <c r="D385" s="139" t="s">
        <v>115</v>
      </c>
      <c r="E385" s="18" t="s">
        <v>786</v>
      </c>
      <c r="F385" s="5" t="s">
        <v>2152</v>
      </c>
      <c r="G385" s="5" t="s">
        <v>2152</v>
      </c>
      <c r="H385" s="16" t="s">
        <v>1758</v>
      </c>
      <c r="I385" s="18" t="s">
        <v>1508</v>
      </c>
      <c r="J385" s="5" t="s">
        <v>129</v>
      </c>
      <c r="K385" s="5"/>
      <c r="L385" s="26">
        <v>45444</v>
      </c>
      <c r="M385" s="26" t="str">
        <f t="shared" ca="1" si="35"/>
        <v>2 tahun 2 bulan</v>
      </c>
      <c r="N385" s="5" t="s">
        <v>55</v>
      </c>
      <c r="O385" s="26">
        <v>33349</v>
      </c>
      <c r="P385" s="26" t="str">
        <f t="shared" ca="1" si="36"/>
        <v>35 tahun</v>
      </c>
      <c r="Q385" s="5" t="s">
        <v>46</v>
      </c>
      <c r="R385" s="35">
        <v>1800000</v>
      </c>
      <c r="S385" s="25" t="s">
        <v>1853</v>
      </c>
      <c r="T385" s="5" t="s">
        <v>100</v>
      </c>
      <c r="U385" s="5" t="s">
        <v>35</v>
      </c>
      <c r="V385" s="25" t="s">
        <v>1854</v>
      </c>
      <c r="W385" s="25" t="s">
        <v>1855</v>
      </c>
      <c r="X385" s="5"/>
      <c r="Y385" s="25"/>
      <c r="Z385" s="5"/>
      <c r="AA385" s="9" t="s">
        <v>41</v>
      </c>
      <c r="AB385" s="6"/>
    </row>
    <row r="386" spans="1:28">
      <c r="A386" s="5">
        <f>IF(AA386="aktif",MAX($A$1:A385)+1,"")</f>
        <v>347</v>
      </c>
      <c r="B386" s="25"/>
      <c r="C386" s="15" t="s">
        <v>1856</v>
      </c>
      <c r="D386" s="139" t="s">
        <v>115</v>
      </c>
      <c r="E386" s="18" t="s">
        <v>786</v>
      </c>
      <c r="F386" s="5" t="s">
        <v>2152</v>
      </c>
      <c r="G386" s="5" t="s">
        <v>2152</v>
      </c>
      <c r="H386" s="16" t="s">
        <v>1758</v>
      </c>
      <c r="I386" s="18" t="s">
        <v>1508</v>
      </c>
      <c r="J386" s="5" t="s">
        <v>129</v>
      </c>
      <c r="K386" s="5"/>
      <c r="L386" s="26">
        <v>45255</v>
      </c>
      <c r="M386" s="26" t="str">
        <f t="shared" ca="1" si="35"/>
        <v>2 tahun 8 bulan</v>
      </c>
      <c r="N386" s="5" t="s">
        <v>55</v>
      </c>
      <c r="O386" s="26">
        <v>37374</v>
      </c>
      <c r="P386" s="26" t="str">
        <f t="shared" ca="1" si="36"/>
        <v>24 tahun</v>
      </c>
      <c r="Q386" s="5" t="s">
        <v>46</v>
      </c>
      <c r="R386" s="35">
        <v>1800000</v>
      </c>
      <c r="S386" s="25" t="s">
        <v>1857</v>
      </c>
      <c r="T386" s="5" t="s">
        <v>177</v>
      </c>
      <c r="U386" s="5" t="s">
        <v>165</v>
      </c>
      <c r="V386" s="25" t="s">
        <v>1858</v>
      </c>
      <c r="W386" s="25" t="s">
        <v>1859</v>
      </c>
      <c r="X386" s="5"/>
      <c r="Y386" s="25"/>
      <c r="Z386" s="5"/>
      <c r="AA386" s="9" t="s">
        <v>41</v>
      </c>
      <c r="AB386" s="6"/>
    </row>
    <row r="387" spans="1:28">
      <c r="A387" s="5">
        <f>IF(AA387="aktif",MAX($A$1:A386)+1,"")</f>
        <v>348</v>
      </c>
      <c r="B387" s="25"/>
      <c r="C387" s="15" t="s">
        <v>1860</v>
      </c>
      <c r="D387" s="139" t="s">
        <v>115</v>
      </c>
      <c r="E387" s="18" t="s">
        <v>786</v>
      </c>
      <c r="F387" s="5" t="s">
        <v>2152</v>
      </c>
      <c r="G387" s="5" t="s">
        <v>2152</v>
      </c>
      <c r="H387" s="16" t="s">
        <v>1758</v>
      </c>
      <c r="I387" s="18" t="s">
        <v>1508</v>
      </c>
      <c r="J387" s="5" t="s">
        <v>129</v>
      </c>
      <c r="K387" s="5"/>
      <c r="L387" s="26">
        <v>45078</v>
      </c>
      <c r="M387" s="26" t="str">
        <f t="shared" ca="1" si="35"/>
        <v>3 tahun 2 bulan</v>
      </c>
      <c r="N387" s="5" t="s">
        <v>55</v>
      </c>
      <c r="O387" s="26">
        <v>37872</v>
      </c>
      <c r="P387" s="26" t="str">
        <f t="shared" ca="1" si="36"/>
        <v>22 tahun</v>
      </c>
      <c r="Q387" s="5" t="s">
        <v>46</v>
      </c>
      <c r="R387" s="35">
        <v>1800000</v>
      </c>
      <c r="S387" s="25" t="s">
        <v>1861</v>
      </c>
      <c r="T387" s="5" t="s">
        <v>177</v>
      </c>
      <c r="U387" s="5" t="s">
        <v>165</v>
      </c>
      <c r="V387" s="25" t="s">
        <v>1862</v>
      </c>
      <c r="W387" s="25" t="s">
        <v>1863</v>
      </c>
      <c r="X387" s="5"/>
      <c r="Y387" s="25"/>
      <c r="Z387" s="5"/>
      <c r="AA387" s="9" t="s">
        <v>41</v>
      </c>
      <c r="AB387" s="6"/>
    </row>
    <row r="388" spans="1:28">
      <c r="A388" s="5">
        <f>IF(AA388="aktif",MAX($A$1:A387)+1,"")</f>
        <v>349</v>
      </c>
      <c r="B388" s="25"/>
      <c r="C388" s="15" t="s">
        <v>1864</v>
      </c>
      <c r="D388" s="139" t="s">
        <v>115</v>
      </c>
      <c r="E388" s="18" t="s">
        <v>786</v>
      </c>
      <c r="F388" s="5" t="s">
        <v>2152</v>
      </c>
      <c r="G388" s="5" t="s">
        <v>2152</v>
      </c>
      <c r="H388" s="16" t="s">
        <v>1758</v>
      </c>
      <c r="I388" s="18" t="s">
        <v>1508</v>
      </c>
      <c r="J388" s="5" t="s">
        <v>129</v>
      </c>
      <c r="K388" s="5"/>
      <c r="L388" s="26"/>
      <c r="M388" s="26"/>
      <c r="N388" s="5" t="s">
        <v>55</v>
      </c>
      <c r="O388" s="26"/>
      <c r="P388" s="26"/>
      <c r="Q388" s="5"/>
      <c r="R388" s="35"/>
      <c r="S388" s="25"/>
      <c r="V388" s="25"/>
      <c r="W388" s="25"/>
      <c r="X388" s="5"/>
      <c r="Y388" s="25"/>
      <c r="Z388" s="5"/>
      <c r="AA388" s="9" t="s">
        <v>41</v>
      </c>
      <c r="AB388" s="6"/>
    </row>
    <row r="389" spans="1:28">
      <c r="A389" s="5">
        <f>IF(AA389="aktif",MAX($A$1:A388)+1,"")</f>
        <v>350</v>
      </c>
      <c r="B389" s="25"/>
      <c r="C389" s="15" t="s">
        <v>1865</v>
      </c>
      <c r="D389" s="139" t="s">
        <v>115</v>
      </c>
      <c r="E389" s="18" t="s">
        <v>786</v>
      </c>
      <c r="F389" s="5" t="s">
        <v>2152</v>
      </c>
      <c r="G389" s="5" t="s">
        <v>2152</v>
      </c>
      <c r="H389" s="16" t="s">
        <v>1758</v>
      </c>
      <c r="I389" s="18" t="s">
        <v>1508</v>
      </c>
      <c r="J389" s="5" t="s">
        <v>129</v>
      </c>
      <c r="K389" s="5"/>
      <c r="L389" s="26">
        <v>45480</v>
      </c>
      <c r="M389" s="26" t="str">
        <f t="shared" ref="M389:M400" ca="1" si="37">IF(L389="","",DATEDIF(L389,TODAY(),"Y") &amp;" tahun " &amp; DATEDIF(L389,TODAY(),"YM")&amp;" bulan")</f>
        <v>2 tahun 1 bulan</v>
      </c>
      <c r="N389" s="5" t="s">
        <v>55</v>
      </c>
      <c r="O389" s="26">
        <v>38531</v>
      </c>
      <c r="P389" s="26" t="str">
        <f t="shared" ref="P389:P400" ca="1" si="38">IF(O389="","",DATEDIF(O389,TODAY(),"Y")&amp;" tahun")</f>
        <v>21 tahun</v>
      </c>
      <c r="Q389" s="5" t="s">
        <v>32</v>
      </c>
      <c r="R389" s="35">
        <v>1800000</v>
      </c>
      <c r="S389" s="25" t="s">
        <v>1866</v>
      </c>
      <c r="T389" s="5" t="s">
        <v>1867</v>
      </c>
      <c r="U389" s="5" t="s">
        <v>165</v>
      </c>
      <c r="V389" s="25" t="s">
        <v>1868</v>
      </c>
      <c r="W389" s="25" t="s">
        <v>1869</v>
      </c>
      <c r="X389" s="5"/>
      <c r="Y389" s="25"/>
      <c r="Z389" s="5"/>
      <c r="AA389" s="9" t="s">
        <v>41</v>
      </c>
      <c r="AB389" s="6"/>
    </row>
    <row r="390" spans="1:28">
      <c r="A390" s="5">
        <f>IF(AA390="aktif",MAX($A$1:A389)+1,"")</f>
        <v>351</v>
      </c>
      <c r="B390" s="25"/>
      <c r="C390" s="15" t="s">
        <v>1870</v>
      </c>
      <c r="D390" s="139" t="s">
        <v>115</v>
      </c>
      <c r="E390" s="18" t="s">
        <v>786</v>
      </c>
      <c r="F390" s="5" t="s">
        <v>2152</v>
      </c>
      <c r="G390" s="5" t="s">
        <v>2152</v>
      </c>
      <c r="H390" s="16" t="s">
        <v>1758</v>
      </c>
      <c r="I390" s="18" t="s">
        <v>1508</v>
      </c>
      <c r="J390" s="5" t="s">
        <v>129</v>
      </c>
      <c r="K390" s="5"/>
      <c r="L390" s="26">
        <v>45444</v>
      </c>
      <c r="M390" s="26" t="str">
        <f t="shared" ca="1" si="37"/>
        <v>2 tahun 2 bulan</v>
      </c>
      <c r="N390" s="5" t="s">
        <v>55</v>
      </c>
      <c r="O390" s="26">
        <v>38562</v>
      </c>
      <c r="P390" s="26" t="str">
        <f t="shared" ca="1" si="38"/>
        <v>21 tahun</v>
      </c>
      <c r="Q390" s="5" t="s">
        <v>46</v>
      </c>
      <c r="R390" s="35">
        <v>1700000</v>
      </c>
      <c r="S390" s="25" t="s">
        <v>1871</v>
      </c>
      <c r="T390" s="5" t="s">
        <v>1837</v>
      </c>
      <c r="U390" s="5" t="s">
        <v>165</v>
      </c>
      <c r="V390" s="25" t="s">
        <v>1839</v>
      </c>
      <c r="W390" s="25" t="s">
        <v>1838</v>
      </c>
      <c r="X390" s="5"/>
      <c r="Y390" s="25"/>
      <c r="Z390" s="5"/>
      <c r="AA390" s="9" t="s">
        <v>41</v>
      </c>
      <c r="AB390" s="6"/>
    </row>
    <row r="391" spans="1:28">
      <c r="A391" s="5">
        <f>IF(AA391="aktif",MAX($A$1:A390)+1,"")</f>
        <v>352</v>
      </c>
      <c r="B391" s="25"/>
      <c r="C391" s="15" t="s">
        <v>1872</v>
      </c>
      <c r="D391" s="139" t="s">
        <v>115</v>
      </c>
      <c r="E391" s="18" t="s">
        <v>786</v>
      </c>
      <c r="F391" s="5" t="s">
        <v>2152</v>
      </c>
      <c r="G391" s="5" t="s">
        <v>2152</v>
      </c>
      <c r="H391" s="16" t="s">
        <v>1758</v>
      </c>
      <c r="I391" s="18" t="s">
        <v>1508</v>
      </c>
      <c r="J391" s="5" t="s">
        <v>129</v>
      </c>
      <c r="K391" s="5"/>
      <c r="L391" s="26"/>
      <c r="M391" s="26" t="str">
        <f t="shared" ca="1" si="37"/>
        <v/>
      </c>
      <c r="N391" s="5" t="s">
        <v>55</v>
      </c>
      <c r="O391" s="26">
        <v>30048</v>
      </c>
      <c r="P391" s="26" t="str">
        <f t="shared" ca="1" si="38"/>
        <v>44 tahun</v>
      </c>
      <c r="Q391" s="5"/>
      <c r="R391" s="35"/>
      <c r="S391" s="25" t="s">
        <v>1873</v>
      </c>
      <c r="T391" s="5" t="s">
        <v>343</v>
      </c>
      <c r="U391" s="5" t="s">
        <v>35</v>
      </c>
      <c r="V391" s="25" t="s">
        <v>1874</v>
      </c>
      <c r="W391" s="25"/>
      <c r="X391" s="5"/>
      <c r="Y391" s="25"/>
      <c r="Z391" s="5"/>
      <c r="AA391" s="9" t="s">
        <v>41</v>
      </c>
      <c r="AB391" s="6"/>
    </row>
    <row r="392" spans="1:28">
      <c r="A392" s="5">
        <f>IF(AA392="aktif",MAX($A$1:A391)+1,"")</f>
        <v>353</v>
      </c>
      <c r="B392" s="25"/>
      <c r="C392" s="15" t="s">
        <v>1875</v>
      </c>
      <c r="D392" s="139" t="s">
        <v>115</v>
      </c>
      <c r="E392" s="18" t="s">
        <v>786</v>
      </c>
      <c r="F392" s="5" t="s">
        <v>2152</v>
      </c>
      <c r="G392" s="5" t="s">
        <v>2152</v>
      </c>
      <c r="H392" s="16" t="s">
        <v>1758</v>
      </c>
      <c r="I392" s="18" t="s">
        <v>1876</v>
      </c>
      <c r="J392" s="5" t="s">
        <v>129</v>
      </c>
      <c r="K392" s="5"/>
      <c r="L392" s="26"/>
      <c r="M392" s="26" t="str">
        <f t="shared" ca="1" si="37"/>
        <v/>
      </c>
      <c r="N392" s="5" t="s">
        <v>55</v>
      </c>
      <c r="O392" s="26">
        <v>29140</v>
      </c>
      <c r="P392" s="26" t="str">
        <f t="shared" ca="1" si="38"/>
        <v>46 tahun</v>
      </c>
      <c r="Q392" s="5" t="s">
        <v>121</v>
      </c>
      <c r="R392" s="35">
        <v>2700000</v>
      </c>
      <c r="S392" s="25" t="s">
        <v>1877</v>
      </c>
      <c r="T392" s="5" t="s">
        <v>1878</v>
      </c>
      <c r="U392" s="5" t="s">
        <v>35</v>
      </c>
      <c r="V392" s="25" t="s">
        <v>1879</v>
      </c>
      <c r="W392" s="25"/>
      <c r="X392" s="5"/>
      <c r="Y392" s="25"/>
      <c r="Z392" s="5"/>
      <c r="AA392" s="9" t="s">
        <v>41</v>
      </c>
      <c r="AB392" s="6"/>
    </row>
    <row r="393" spans="1:28">
      <c r="A393" s="5">
        <f>IF(AA393="aktif",MAX($A$1:A392)+1,"")</f>
        <v>354</v>
      </c>
      <c r="B393" s="25"/>
      <c r="C393" s="15" t="s">
        <v>1880</v>
      </c>
      <c r="D393" s="139" t="s">
        <v>115</v>
      </c>
      <c r="E393" s="18" t="s">
        <v>786</v>
      </c>
      <c r="F393" s="5" t="s">
        <v>2152</v>
      </c>
      <c r="G393" s="5" t="s">
        <v>2152</v>
      </c>
      <c r="H393" s="16" t="s">
        <v>1758</v>
      </c>
      <c r="I393" s="18" t="s">
        <v>1876</v>
      </c>
      <c r="J393" s="5" t="s">
        <v>129</v>
      </c>
      <c r="K393" s="5"/>
      <c r="L393" s="26"/>
      <c r="M393" s="26" t="str">
        <f t="shared" ca="1" si="37"/>
        <v/>
      </c>
      <c r="N393" s="5" t="s">
        <v>55</v>
      </c>
      <c r="O393" s="26">
        <v>29725</v>
      </c>
      <c r="P393" s="26" t="str">
        <f t="shared" ca="1" si="38"/>
        <v>45 tahun</v>
      </c>
      <c r="Q393" s="5" t="s">
        <v>121</v>
      </c>
      <c r="R393" s="35">
        <v>2800000</v>
      </c>
      <c r="S393" s="25" t="s">
        <v>1881</v>
      </c>
      <c r="T393" s="5" t="s">
        <v>1882</v>
      </c>
      <c r="U393" s="5" t="s">
        <v>35</v>
      </c>
      <c r="V393" s="25" t="s">
        <v>1883</v>
      </c>
      <c r="W393" s="25"/>
      <c r="X393" s="5"/>
      <c r="Y393" s="25"/>
      <c r="Z393" s="5"/>
      <c r="AA393" s="9" t="s">
        <v>41</v>
      </c>
      <c r="AB393" s="6"/>
    </row>
    <row r="394" spans="1:28">
      <c r="A394" s="5">
        <f>IF(AA394="aktif",MAX($A$1:A393)+1,"")</f>
        <v>355</v>
      </c>
      <c r="B394" s="25"/>
      <c r="C394" s="15" t="s">
        <v>1884</v>
      </c>
      <c r="D394" s="139" t="s">
        <v>115</v>
      </c>
      <c r="E394" s="18" t="s">
        <v>786</v>
      </c>
      <c r="F394" s="5" t="s">
        <v>2152</v>
      </c>
      <c r="G394" s="5" t="s">
        <v>2152</v>
      </c>
      <c r="H394" s="16" t="s">
        <v>1758</v>
      </c>
      <c r="I394" s="18" t="s">
        <v>1876</v>
      </c>
      <c r="J394" s="5" t="s">
        <v>129</v>
      </c>
      <c r="K394" s="5"/>
      <c r="L394" s="26"/>
      <c r="M394" s="26" t="str">
        <f t="shared" ca="1" si="37"/>
        <v/>
      </c>
      <c r="N394" s="5" t="s">
        <v>55</v>
      </c>
      <c r="O394" s="26">
        <v>26347</v>
      </c>
      <c r="P394" s="26" t="str">
        <f t="shared" ca="1" si="38"/>
        <v>54 tahun</v>
      </c>
      <c r="Q394" s="5" t="s">
        <v>121</v>
      </c>
      <c r="R394" s="35">
        <v>2260000</v>
      </c>
      <c r="S394" s="25" t="s">
        <v>1885</v>
      </c>
      <c r="T394" s="5" t="s">
        <v>1471</v>
      </c>
      <c r="U394" s="5" t="s">
        <v>35</v>
      </c>
      <c r="V394" s="25" t="s">
        <v>1886</v>
      </c>
      <c r="W394" s="25" t="s">
        <v>386</v>
      </c>
      <c r="X394" s="5"/>
      <c r="Y394" s="25"/>
      <c r="Z394" s="5"/>
      <c r="AA394" s="9" t="s">
        <v>41</v>
      </c>
      <c r="AB394" s="6"/>
    </row>
    <row r="395" spans="1:28">
      <c r="A395" s="5">
        <f>IF(AA395="aktif",MAX($A$1:A394)+1,"")</f>
        <v>356</v>
      </c>
      <c r="B395" s="25"/>
      <c r="C395" s="15" t="s">
        <v>1887</v>
      </c>
      <c r="D395" s="139" t="s">
        <v>115</v>
      </c>
      <c r="E395" s="18" t="s">
        <v>786</v>
      </c>
      <c r="F395" s="5" t="s">
        <v>2152</v>
      </c>
      <c r="G395" s="5" t="s">
        <v>2152</v>
      </c>
      <c r="H395" s="16" t="s">
        <v>1758</v>
      </c>
      <c r="I395" s="18" t="s">
        <v>1876</v>
      </c>
      <c r="J395" s="5" t="s">
        <v>129</v>
      </c>
      <c r="K395" s="5"/>
      <c r="L395" s="26"/>
      <c r="M395" s="26" t="str">
        <f t="shared" ca="1" si="37"/>
        <v/>
      </c>
      <c r="N395" s="5" t="s">
        <v>55</v>
      </c>
      <c r="O395" s="26">
        <v>29609</v>
      </c>
      <c r="P395" s="26" t="str">
        <f t="shared" ca="1" si="38"/>
        <v>45 tahun</v>
      </c>
      <c r="Q395" s="5" t="s">
        <v>46</v>
      </c>
      <c r="R395" s="35">
        <v>2600000</v>
      </c>
      <c r="S395" s="25" t="s">
        <v>1888</v>
      </c>
      <c r="T395" s="5" t="s">
        <v>355</v>
      </c>
      <c r="U395" s="5" t="s">
        <v>35</v>
      </c>
      <c r="V395" s="25" t="s">
        <v>1889</v>
      </c>
      <c r="W395" s="25"/>
      <c r="X395" s="5"/>
      <c r="Y395" s="25"/>
      <c r="Z395" s="5"/>
      <c r="AA395" s="9" t="s">
        <v>41</v>
      </c>
      <c r="AB395" s="6"/>
    </row>
    <row r="396" spans="1:28">
      <c r="A396" s="5">
        <f>IF(AA396="aktif",MAX($A$1:A395)+1,"")</f>
        <v>357</v>
      </c>
      <c r="B396" s="25"/>
      <c r="C396" s="15" t="s">
        <v>1890</v>
      </c>
      <c r="D396" s="139" t="s">
        <v>115</v>
      </c>
      <c r="E396" s="18" t="s">
        <v>786</v>
      </c>
      <c r="F396" s="5" t="s">
        <v>2152</v>
      </c>
      <c r="G396" s="5" t="s">
        <v>2152</v>
      </c>
      <c r="H396" s="16" t="s">
        <v>1758</v>
      </c>
      <c r="I396" s="18" t="s">
        <v>1876</v>
      </c>
      <c r="J396" s="5" t="s">
        <v>129</v>
      </c>
      <c r="K396" s="5"/>
      <c r="L396" s="26"/>
      <c r="M396" s="26" t="str">
        <f t="shared" ca="1" si="37"/>
        <v/>
      </c>
      <c r="N396" s="5" t="s">
        <v>55</v>
      </c>
      <c r="O396" s="26">
        <v>26350</v>
      </c>
      <c r="P396" s="26" t="str">
        <f t="shared" ca="1" si="38"/>
        <v>54 tahun</v>
      </c>
      <c r="Q396" s="5" t="s">
        <v>158</v>
      </c>
      <c r="R396" s="35">
        <v>2600000</v>
      </c>
      <c r="S396" s="25" t="s">
        <v>1891</v>
      </c>
      <c r="T396" s="5" t="s">
        <v>1892</v>
      </c>
      <c r="U396" s="5" t="s">
        <v>35</v>
      </c>
      <c r="V396" s="25" t="s">
        <v>1893</v>
      </c>
      <c r="W396" s="25"/>
      <c r="X396" s="5"/>
      <c r="Y396" s="25"/>
      <c r="Z396" s="5"/>
      <c r="AA396" s="9" t="s">
        <v>41</v>
      </c>
      <c r="AB396" s="6"/>
    </row>
    <row r="397" spans="1:28">
      <c r="A397" s="5">
        <f>IF(AA397="aktif",MAX($A$1:A396)+1,"")</f>
        <v>358</v>
      </c>
      <c r="B397" s="25"/>
      <c r="C397" s="15" t="s">
        <v>1894</v>
      </c>
      <c r="D397" s="139" t="s">
        <v>115</v>
      </c>
      <c r="E397" s="18" t="s">
        <v>786</v>
      </c>
      <c r="F397" s="5" t="s">
        <v>2152</v>
      </c>
      <c r="G397" s="5" t="s">
        <v>2152</v>
      </c>
      <c r="H397" s="16" t="s">
        <v>1758</v>
      </c>
      <c r="I397" s="18" t="s">
        <v>1876</v>
      </c>
      <c r="J397" s="5" t="s">
        <v>129</v>
      </c>
      <c r="K397" s="5"/>
      <c r="L397" s="26"/>
      <c r="M397" s="26" t="str">
        <f t="shared" ca="1" si="37"/>
        <v/>
      </c>
      <c r="N397" s="5" t="s">
        <v>55</v>
      </c>
      <c r="O397" s="26">
        <v>33180</v>
      </c>
      <c r="P397" s="26" t="str">
        <f t="shared" ca="1" si="38"/>
        <v>35 tahun</v>
      </c>
      <c r="Q397" s="5" t="s">
        <v>158</v>
      </c>
      <c r="R397" s="35">
        <v>2500000</v>
      </c>
      <c r="S397" s="25" t="s">
        <v>1895</v>
      </c>
      <c r="T397" s="5" t="s">
        <v>1896</v>
      </c>
      <c r="U397" s="5" t="s">
        <v>35</v>
      </c>
      <c r="V397" s="25" t="s">
        <v>1897</v>
      </c>
      <c r="W397" s="25"/>
      <c r="X397" s="5"/>
      <c r="Y397" s="25"/>
      <c r="Z397" s="5"/>
      <c r="AA397" s="9" t="s">
        <v>41</v>
      </c>
      <c r="AB397" s="6"/>
    </row>
    <row r="398" spans="1:28">
      <c r="A398" s="5">
        <f>IF(AA398="aktif",MAX($A$1:A397)+1,"")</f>
        <v>359</v>
      </c>
      <c r="B398" s="25"/>
      <c r="C398" s="15" t="s">
        <v>1898</v>
      </c>
      <c r="D398" s="139" t="s">
        <v>115</v>
      </c>
      <c r="E398" s="18" t="s">
        <v>786</v>
      </c>
      <c r="F398" s="5" t="s">
        <v>2152</v>
      </c>
      <c r="G398" s="5" t="s">
        <v>2152</v>
      </c>
      <c r="H398" s="16" t="s">
        <v>1758</v>
      </c>
      <c r="I398" s="18" t="s">
        <v>1876</v>
      </c>
      <c r="J398" s="5" t="s">
        <v>129</v>
      </c>
      <c r="K398" s="5"/>
      <c r="L398" s="26"/>
      <c r="M398" s="26" t="str">
        <f t="shared" ca="1" si="37"/>
        <v/>
      </c>
      <c r="N398" s="5" t="s">
        <v>55</v>
      </c>
      <c r="O398" s="26">
        <v>31085</v>
      </c>
      <c r="P398" s="26" t="str">
        <f t="shared" ca="1" si="38"/>
        <v>41 tahun</v>
      </c>
      <c r="Q398" s="5" t="s">
        <v>121</v>
      </c>
      <c r="R398" s="35">
        <v>2490200</v>
      </c>
      <c r="S398" s="25" t="s">
        <v>1899</v>
      </c>
      <c r="T398" s="5" t="s">
        <v>1878</v>
      </c>
      <c r="U398" s="5" t="s">
        <v>35</v>
      </c>
      <c r="V398" s="25" t="s">
        <v>1900</v>
      </c>
      <c r="W398" s="25"/>
      <c r="X398" s="5"/>
      <c r="Y398" s="25"/>
      <c r="Z398" s="5"/>
      <c r="AA398" s="9" t="s">
        <v>41</v>
      </c>
      <c r="AB398" s="6"/>
    </row>
    <row r="399" spans="1:28">
      <c r="A399" s="5">
        <f>IF(AA399="aktif",MAX($A$1:A398)+1,"")</f>
        <v>360</v>
      </c>
      <c r="B399" s="25"/>
      <c r="C399" s="15" t="s">
        <v>1901</v>
      </c>
      <c r="D399" s="139" t="s">
        <v>115</v>
      </c>
      <c r="E399" s="18" t="s">
        <v>786</v>
      </c>
      <c r="F399" s="5" t="s">
        <v>2152</v>
      </c>
      <c r="G399" s="5" t="s">
        <v>2152</v>
      </c>
      <c r="H399" s="16" t="s">
        <v>1758</v>
      </c>
      <c r="I399" s="18" t="s">
        <v>1876</v>
      </c>
      <c r="J399" s="5" t="s">
        <v>129</v>
      </c>
      <c r="K399" s="5"/>
      <c r="L399" s="26"/>
      <c r="M399" s="26" t="str">
        <f t="shared" ca="1" si="37"/>
        <v/>
      </c>
      <c r="N399" s="5" t="s">
        <v>55</v>
      </c>
      <c r="O399" s="26">
        <v>36046</v>
      </c>
      <c r="P399" s="26" t="str">
        <f t="shared" ca="1" si="38"/>
        <v>27 tahun</v>
      </c>
      <c r="Q399" s="5" t="s">
        <v>32</v>
      </c>
      <c r="R399" s="35">
        <v>2600000</v>
      </c>
      <c r="S399" s="25" t="s">
        <v>1902</v>
      </c>
      <c r="T399" s="5" t="s">
        <v>141</v>
      </c>
      <c r="U399" s="5" t="s">
        <v>35</v>
      </c>
      <c r="V399" s="25" t="s">
        <v>1903</v>
      </c>
      <c r="W399" s="25"/>
      <c r="X399" s="5"/>
      <c r="Y399" s="25"/>
      <c r="Z399" s="5"/>
      <c r="AA399" s="9" t="s">
        <v>41</v>
      </c>
      <c r="AB399" s="6"/>
    </row>
    <row r="400" spans="1:28">
      <c r="A400" s="5">
        <f>IF(AA400="aktif",MAX($A$1:A399)+1,"")</f>
        <v>361</v>
      </c>
      <c r="B400" s="25"/>
      <c r="C400" s="15" t="s">
        <v>1904</v>
      </c>
      <c r="D400" s="139" t="s">
        <v>115</v>
      </c>
      <c r="E400" s="18" t="s">
        <v>786</v>
      </c>
      <c r="F400" s="5" t="s">
        <v>2152</v>
      </c>
      <c r="G400" s="5" t="s">
        <v>2152</v>
      </c>
      <c r="H400" s="16" t="s">
        <v>1758</v>
      </c>
      <c r="I400" s="18" t="s">
        <v>1876</v>
      </c>
      <c r="J400" s="5" t="s">
        <v>129</v>
      </c>
      <c r="K400" s="5"/>
      <c r="L400" s="26">
        <v>45223</v>
      </c>
      <c r="M400" s="26" t="str">
        <f t="shared" ca="1" si="37"/>
        <v>2 tahun 9 bulan</v>
      </c>
      <c r="N400" s="5" t="s">
        <v>55</v>
      </c>
      <c r="O400" s="26">
        <v>33612</v>
      </c>
      <c r="P400" s="26" t="str">
        <f t="shared" ca="1" si="38"/>
        <v>34 tahun</v>
      </c>
      <c r="Q400" s="5" t="s">
        <v>1905</v>
      </c>
      <c r="R400" s="35">
        <v>2350000</v>
      </c>
      <c r="S400" s="25" t="s">
        <v>1906</v>
      </c>
      <c r="T400" s="5" t="s">
        <v>1907</v>
      </c>
      <c r="U400" s="5" t="s">
        <v>35</v>
      </c>
      <c r="V400" s="25" t="s">
        <v>1908</v>
      </c>
      <c r="W400" s="25"/>
      <c r="X400" s="5"/>
      <c r="Y400" s="25"/>
      <c r="Z400" s="5"/>
      <c r="AA400" s="9" t="s">
        <v>41</v>
      </c>
      <c r="AB400" s="6"/>
    </row>
    <row r="401" spans="1:28">
      <c r="A401" s="5">
        <f>IF(AA401="aktif",MAX($A$1:A400)+1,"")</f>
        <v>362</v>
      </c>
      <c r="B401" s="25"/>
      <c r="C401" s="15" t="s">
        <v>1909</v>
      </c>
      <c r="D401" s="139" t="s">
        <v>115</v>
      </c>
      <c r="E401" s="18" t="s">
        <v>786</v>
      </c>
      <c r="F401" s="5" t="s">
        <v>2152</v>
      </c>
      <c r="G401" s="5" t="s">
        <v>2152</v>
      </c>
      <c r="H401" s="16" t="s">
        <v>1758</v>
      </c>
      <c r="I401" s="18" t="s">
        <v>1876</v>
      </c>
      <c r="J401" s="5" t="s">
        <v>129</v>
      </c>
      <c r="K401" s="5"/>
      <c r="L401" s="26"/>
      <c r="M401" s="26"/>
      <c r="N401" s="5" t="s">
        <v>55</v>
      </c>
      <c r="O401" s="26"/>
      <c r="P401" s="26"/>
      <c r="Q401" s="5"/>
      <c r="R401" s="35"/>
      <c r="S401" s="25"/>
      <c r="V401" s="25"/>
      <c r="W401" s="25"/>
      <c r="X401" s="5"/>
      <c r="Y401" s="25"/>
      <c r="Z401" s="5"/>
      <c r="AA401" s="9" t="s">
        <v>41</v>
      </c>
      <c r="AB401" s="6"/>
    </row>
    <row r="402" spans="1:28">
      <c r="A402" s="5">
        <f>IF(AA402="aktif",MAX($A$1:A401)+1,"")</f>
        <v>363</v>
      </c>
      <c r="B402" s="25"/>
      <c r="C402" s="15" t="s">
        <v>1910</v>
      </c>
      <c r="D402" s="139" t="s">
        <v>115</v>
      </c>
      <c r="E402" s="18" t="s">
        <v>786</v>
      </c>
      <c r="F402" s="5" t="s">
        <v>2152</v>
      </c>
      <c r="G402" s="5" t="s">
        <v>2152</v>
      </c>
      <c r="H402" s="16" t="s">
        <v>1758</v>
      </c>
      <c r="I402" s="18" t="s">
        <v>1876</v>
      </c>
      <c r="J402" s="5" t="s">
        <v>129</v>
      </c>
      <c r="K402" s="5"/>
      <c r="L402" s="26"/>
      <c r="M402" s="26"/>
      <c r="N402" s="5" t="s">
        <v>55</v>
      </c>
      <c r="O402" s="26"/>
      <c r="P402" s="26"/>
      <c r="Q402" s="5"/>
      <c r="R402" s="35"/>
      <c r="S402" s="25"/>
      <c r="V402" s="25"/>
      <c r="W402" s="25"/>
      <c r="X402" s="5"/>
      <c r="Y402" s="25"/>
      <c r="Z402" s="5"/>
      <c r="AA402" s="9" t="s">
        <v>41</v>
      </c>
      <c r="AB402" s="6"/>
    </row>
    <row r="403" spans="1:28">
      <c r="A403" s="5">
        <f>IF(AA403="aktif",MAX($A$1:A402)+1,"")</f>
        <v>364</v>
      </c>
      <c r="B403" s="25"/>
      <c r="C403" s="15" t="s">
        <v>1911</v>
      </c>
      <c r="D403" s="139" t="s">
        <v>115</v>
      </c>
      <c r="E403" s="18" t="s">
        <v>786</v>
      </c>
      <c r="F403" s="5" t="s">
        <v>2152</v>
      </c>
      <c r="G403" s="5" t="s">
        <v>2152</v>
      </c>
      <c r="H403" s="16" t="s">
        <v>1758</v>
      </c>
      <c r="I403" s="18" t="s">
        <v>1876</v>
      </c>
      <c r="J403" s="5" t="s">
        <v>129</v>
      </c>
      <c r="K403" s="5"/>
      <c r="L403" s="26">
        <v>45873</v>
      </c>
      <c r="M403" s="26" t="str">
        <f ca="1">DATEDIF(L403,TODAY(),"Y") &amp;" tahun " &amp; DATEDIF(L403,TODAY(),"YM")&amp;" bulan"</f>
        <v>1 tahun 0 bulan</v>
      </c>
      <c r="N403" s="5" t="s">
        <v>55</v>
      </c>
      <c r="O403" s="26">
        <v>38715</v>
      </c>
      <c r="P403" s="26" t="str">
        <f ca="1">IF(O403="","",DATEDIF(O403,TODAY(),"Y")&amp;" tahun")</f>
        <v>20 tahun</v>
      </c>
      <c r="Q403" s="5" t="s">
        <v>46</v>
      </c>
      <c r="R403" s="9"/>
      <c r="S403" s="27" t="s">
        <v>1912</v>
      </c>
      <c r="T403" s="5" t="s">
        <v>1828</v>
      </c>
      <c r="U403" s="5" t="s">
        <v>81</v>
      </c>
      <c r="V403" s="27"/>
      <c r="W403" s="27"/>
      <c r="X403" s="9"/>
      <c r="Y403" s="27"/>
      <c r="Z403" s="9"/>
      <c r="AA403" s="9" t="s">
        <v>41</v>
      </c>
      <c r="AB403" s="6"/>
    </row>
    <row r="404" spans="1:28">
      <c r="A404" s="5">
        <f>IF(AA404="aktif",MAX($A$1:A403)+1,"")</f>
        <v>365</v>
      </c>
      <c r="B404" s="25"/>
      <c r="C404" s="15" t="s">
        <v>1913</v>
      </c>
      <c r="D404" s="139" t="s">
        <v>115</v>
      </c>
      <c r="E404" s="18" t="s">
        <v>786</v>
      </c>
      <c r="F404" s="5" t="s">
        <v>2152</v>
      </c>
      <c r="G404" s="5" t="s">
        <v>2152</v>
      </c>
      <c r="H404" s="16" t="s">
        <v>1758</v>
      </c>
      <c r="I404" s="18" t="s">
        <v>1876</v>
      </c>
      <c r="J404" s="5" t="s">
        <v>129</v>
      </c>
      <c r="K404" s="5"/>
      <c r="L404" s="26"/>
      <c r="M404" s="26"/>
      <c r="N404" s="5" t="s">
        <v>55</v>
      </c>
      <c r="O404" s="26"/>
      <c r="P404" s="26"/>
      <c r="Q404" s="5"/>
      <c r="R404" s="35"/>
      <c r="S404" s="25"/>
      <c r="V404" s="25"/>
      <c r="W404" s="25"/>
      <c r="X404" s="5"/>
      <c r="Y404" s="25"/>
      <c r="Z404" s="5"/>
      <c r="AA404" s="9" t="s">
        <v>41</v>
      </c>
      <c r="AB404" s="6"/>
    </row>
    <row r="405" spans="1:28">
      <c r="A405" s="5">
        <f>IF(AA405="aktif",MAX($A$1:A404)+1,"")</f>
        <v>366</v>
      </c>
      <c r="B405" s="25"/>
      <c r="C405" s="15" t="s">
        <v>1914</v>
      </c>
      <c r="D405" s="139" t="s">
        <v>115</v>
      </c>
      <c r="E405" s="18" t="s">
        <v>786</v>
      </c>
      <c r="F405" s="5" t="s">
        <v>2152</v>
      </c>
      <c r="G405" s="5" t="s">
        <v>2152</v>
      </c>
      <c r="H405" s="16" t="s">
        <v>1758</v>
      </c>
      <c r="I405" s="18" t="s">
        <v>1876</v>
      </c>
      <c r="J405" s="5" t="s">
        <v>129</v>
      </c>
      <c r="K405" s="5"/>
      <c r="L405" s="26"/>
      <c r="M405" s="26" t="str">
        <f ca="1">IF(L405="","",DATEDIF(L405,TODAY(),"Y") &amp;" tahun " &amp; DATEDIF(L405,TODAY(),"YM")&amp;" bulan")</f>
        <v/>
      </c>
      <c r="N405" s="5" t="s">
        <v>55</v>
      </c>
      <c r="O405" s="26">
        <v>30078</v>
      </c>
      <c r="P405" s="26" t="str">
        <f ca="1">IF(O405="","",DATEDIF(O405,TODAY(),"Y")&amp;" tahun")</f>
        <v>44 tahun</v>
      </c>
      <c r="Q405" s="5" t="s">
        <v>32</v>
      </c>
      <c r="R405" s="35">
        <v>2865000</v>
      </c>
      <c r="S405" s="25" t="s">
        <v>1915</v>
      </c>
      <c r="T405" s="5" t="s">
        <v>74</v>
      </c>
      <c r="U405" s="5" t="s">
        <v>35</v>
      </c>
      <c r="V405" s="25" t="s">
        <v>1916</v>
      </c>
      <c r="W405" s="25" t="s">
        <v>1917</v>
      </c>
      <c r="X405" s="5"/>
      <c r="Y405" s="25"/>
      <c r="Z405" s="5"/>
      <c r="AA405" s="9" t="s">
        <v>41</v>
      </c>
      <c r="AB405" s="6"/>
    </row>
    <row r="406" spans="1:28">
      <c r="A406" s="5">
        <f>IF(AA406="aktif",MAX($A$1:A405)+1,"")</f>
        <v>367</v>
      </c>
      <c r="B406" s="25"/>
      <c r="C406" s="15" t="s">
        <v>1918</v>
      </c>
      <c r="D406" s="139" t="s">
        <v>115</v>
      </c>
      <c r="E406" s="18" t="s">
        <v>786</v>
      </c>
      <c r="F406" s="13" t="s">
        <v>2152</v>
      </c>
      <c r="G406" s="13" t="s">
        <v>2152</v>
      </c>
      <c r="H406" s="16" t="s">
        <v>1758</v>
      </c>
      <c r="I406" s="18" t="s">
        <v>1876</v>
      </c>
      <c r="J406" s="5" t="s">
        <v>129</v>
      </c>
      <c r="K406" s="5"/>
      <c r="L406" s="26"/>
      <c r="M406" s="26"/>
      <c r="N406" s="5" t="s">
        <v>55</v>
      </c>
      <c r="O406" s="26"/>
      <c r="P406" s="26"/>
      <c r="Q406" s="5"/>
      <c r="R406" s="35"/>
      <c r="S406" s="25"/>
      <c r="V406" s="25"/>
      <c r="W406" s="25"/>
      <c r="X406" s="5"/>
      <c r="Y406" s="25"/>
      <c r="Z406" s="5"/>
      <c r="AA406" s="9" t="s">
        <v>41</v>
      </c>
      <c r="AB406" s="6"/>
    </row>
    <row r="407" spans="1:28">
      <c r="A407" s="5">
        <f>IF(AA407="aktif",MAX($A$1:A406)+1,"")</f>
        <v>368</v>
      </c>
      <c r="B407" s="25"/>
      <c r="C407" s="15" t="s">
        <v>1919</v>
      </c>
      <c r="D407" s="139" t="s">
        <v>115</v>
      </c>
      <c r="E407" s="18" t="s">
        <v>786</v>
      </c>
      <c r="F407" s="16" t="s">
        <v>2152</v>
      </c>
      <c r="G407" s="16" t="s">
        <v>2152</v>
      </c>
      <c r="H407" s="16" t="s">
        <v>1920</v>
      </c>
      <c r="I407" s="18"/>
      <c r="J407" s="5" t="s">
        <v>129</v>
      </c>
      <c r="K407" s="5"/>
      <c r="L407" s="26"/>
      <c r="M407" s="26" t="str">
        <f ca="1">IF(L407="","",DATEDIF(L407,TODAY(),"Y") &amp;" tahun " &amp; DATEDIF(L407,TODAY(),"YM")&amp;" bulan")</f>
        <v/>
      </c>
      <c r="N407" s="5" t="s">
        <v>31</v>
      </c>
      <c r="O407" s="26">
        <v>24709</v>
      </c>
      <c r="P407" s="26" t="str">
        <f ca="1">IF(O407="","",DATEDIF(O407,TODAY(),"Y")&amp;" tahun")</f>
        <v>58 tahun</v>
      </c>
      <c r="Q407" s="5" t="s">
        <v>72</v>
      </c>
      <c r="R407" s="35"/>
      <c r="S407" s="25" t="s">
        <v>1921</v>
      </c>
      <c r="T407" s="5" t="s">
        <v>1922</v>
      </c>
      <c r="U407" s="5" t="s">
        <v>35</v>
      </c>
      <c r="V407" s="25" t="s">
        <v>1923</v>
      </c>
      <c r="W407" s="25" t="s">
        <v>1924</v>
      </c>
      <c r="X407" s="5"/>
      <c r="Y407" s="25"/>
      <c r="Z407" s="5"/>
      <c r="AA407" s="9" t="s">
        <v>41</v>
      </c>
      <c r="AB407" s="6"/>
    </row>
    <row r="408" spans="1:28">
      <c r="A408" s="5">
        <f>IF(AA408="aktif",MAX($A$1:A407)+1,"")</f>
        <v>369</v>
      </c>
      <c r="B408" s="25"/>
      <c r="C408" s="15" t="s">
        <v>1925</v>
      </c>
      <c r="D408" s="139" t="s">
        <v>115</v>
      </c>
      <c r="E408" s="18" t="s">
        <v>786</v>
      </c>
      <c r="F408" s="14" t="s">
        <v>2152</v>
      </c>
      <c r="G408" s="14" t="s">
        <v>2152</v>
      </c>
      <c r="H408" s="16" t="s">
        <v>1920</v>
      </c>
      <c r="I408" s="18"/>
      <c r="J408" s="5" t="s">
        <v>129</v>
      </c>
      <c r="K408" s="5"/>
      <c r="L408" s="26"/>
      <c r="M408" s="26" t="str">
        <f ca="1">IF(L408="","",DATEDIF(L408,TODAY(),"Y") &amp;" tahun " &amp; DATEDIF(L408,TODAY(),"YM")&amp;" bulan")</f>
        <v/>
      </c>
      <c r="N408" s="5" t="s">
        <v>31</v>
      </c>
      <c r="O408" s="26">
        <v>38322</v>
      </c>
      <c r="P408" s="26" t="str">
        <f ca="1">IF(O408="","",DATEDIF(O408,TODAY(),"Y")&amp;" tahun")</f>
        <v>21 tahun</v>
      </c>
      <c r="Q408" s="5" t="s">
        <v>46</v>
      </c>
      <c r="R408" s="35"/>
      <c r="S408" s="25" t="s">
        <v>1926</v>
      </c>
      <c r="T408" s="5" t="s">
        <v>100</v>
      </c>
      <c r="U408" s="5" t="s">
        <v>165</v>
      </c>
      <c r="V408" s="25" t="s">
        <v>1927</v>
      </c>
      <c r="W408" s="25"/>
      <c r="X408" s="5"/>
      <c r="Y408" s="25"/>
      <c r="Z408" s="5"/>
      <c r="AA408" s="9" t="s">
        <v>41</v>
      </c>
      <c r="AB408" s="6"/>
    </row>
    <row r="409" spans="1:28">
      <c r="A409" s="5">
        <f>IF(AA409="aktif",MAX($A$1:A408)+1,"")</f>
        <v>370</v>
      </c>
      <c r="B409" s="25"/>
      <c r="C409" s="15" t="s">
        <v>1423</v>
      </c>
      <c r="D409" s="139" t="s">
        <v>115</v>
      </c>
      <c r="E409" s="18" t="s">
        <v>786</v>
      </c>
      <c r="F409" s="5" t="s">
        <v>2152</v>
      </c>
      <c r="G409" s="5" t="s">
        <v>2152</v>
      </c>
      <c r="H409" s="16" t="s">
        <v>1920</v>
      </c>
      <c r="I409" s="18" t="s">
        <v>1482</v>
      </c>
      <c r="J409" s="5" t="s">
        <v>129</v>
      </c>
      <c r="K409" s="5"/>
      <c r="L409" s="26"/>
      <c r="M409" s="26"/>
      <c r="N409" s="5" t="s">
        <v>31</v>
      </c>
      <c r="O409" s="26"/>
      <c r="P409" s="26"/>
      <c r="Q409" s="5"/>
      <c r="R409" s="35"/>
      <c r="S409" s="25"/>
      <c r="V409" s="25"/>
      <c r="W409" s="25"/>
      <c r="X409" s="5"/>
      <c r="Y409" s="25"/>
      <c r="Z409" s="5"/>
      <c r="AA409" s="9" t="s">
        <v>41</v>
      </c>
      <c r="AB409" s="6"/>
    </row>
    <row r="410" spans="1:28">
      <c r="A410" s="5">
        <f>IF(AA410="aktif",MAX($A$1:A409)+1,"")</f>
        <v>371</v>
      </c>
      <c r="B410" s="25"/>
      <c r="C410" s="15" t="s">
        <v>1928</v>
      </c>
      <c r="D410" s="139" t="s">
        <v>115</v>
      </c>
      <c r="E410" s="18" t="s">
        <v>786</v>
      </c>
      <c r="F410" s="5" t="s">
        <v>2152</v>
      </c>
      <c r="G410" s="5" t="s">
        <v>2152</v>
      </c>
      <c r="H410" s="16" t="s">
        <v>1920</v>
      </c>
      <c r="I410" s="18" t="s">
        <v>1482</v>
      </c>
      <c r="J410" s="5" t="s">
        <v>129</v>
      </c>
      <c r="K410" s="5"/>
      <c r="L410" s="26">
        <v>45889</v>
      </c>
      <c r="M410" s="26" t="str">
        <f ca="1">DATEDIF(L410,TODAY(),"Y") &amp;" tahun " &amp; DATEDIF(L410,TODAY(),"YM")&amp;" bulan"</f>
        <v>0 tahun 11 bulan</v>
      </c>
      <c r="N410" s="5" t="s">
        <v>31</v>
      </c>
      <c r="O410" s="26">
        <v>37176</v>
      </c>
      <c r="P410" s="26" t="str">
        <f ca="1">IF(O410="","",DATEDIF(O410,TODAY(),"Y")&amp;" tahun")</f>
        <v>24 tahun</v>
      </c>
      <c r="Q410" s="5" t="s">
        <v>46</v>
      </c>
      <c r="R410" s="9"/>
      <c r="S410" s="27" t="s">
        <v>1929</v>
      </c>
      <c r="T410" s="5" t="s">
        <v>1930</v>
      </c>
      <c r="U410" s="5" t="s">
        <v>81</v>
      </c>
      <c r="V410" s="27" t="s">
        <v>1931</v>
      </c>
      <c r="W410" s="27" t="s">
        <v>1932</v>
      </c>
      <c r="X410" s="9"/>
      <c r="Y410" s="27"/>
      <c r="Z410" s="9"/>
      <c r="AA410" s="9" t="s">
        <v>41</v>
      </c>
      <c r="AB410" s="6"/>
    </row>
    <row r="411" spans="1:28">
      <c r="A411" s="5">
        <f>IF(AA411="aktif",MAX($A$1:A410)+1,"")</f>
        <v>372</v>
      </c>
      <c r="B411" s="25"/>
      <c r="C411" s="15" t="s">
        <v>1933</v>
      </c>
      <c r="D411" s="139" t="s">
        <v>115</v>
      </c>
      <c r="E411" s="18" t="s">
        <v>786</v>
      </c>
      <c r="F411" s="5" t="s">
        <v>2152</v>
      </c>
      <c r="G411" s="5" t="s">
        <v>2152</v>
      </c>
      <c r="H411" s="16" t="s">
        <v>1920</v>
      </c>
      <c r="I411" s="18" t="s">
        <v>1482</v>
      </c>
      <c r="J411" s="5" t="s">
        <v>129</v>
      </c>
      <c r="K411" s="5"/>
      <c r="L411" s="26">
        <v>42887</v>
      </c>
      <c r="M411" s="26" t="str">
        <f ca="1">IF(L411="","",DATEDIF(L411,TODAY(),"Y") &amp;" tahun " &amp; DATEDIF(L411,TODAY(),"YM")&amp;" bulan")</f>
        <v>9 tahun 2 bulan</v>
      </c>
      <c r="N411" s="5" t="s">
        <v>31</v>
      </c>
      <c r="O411" s="26">
        <v>33665</v>
      </c>
      <c r="P411" s="26" t="str">
        <f ca="1">IF(O411="","",DATEDIF(O411,TODAY(),"Y")&amp;" tahun")</f>
        <v>34 tahun</v>
      </c>
      <c r="Q411" s="5" t="s">
        <v>46</v>
      </c>
      <c r="R411" s="35">
        <v>2700000</v>
      </c>
      <c r="S411" s="25" t="s">
        <v>1934</v>
      </c>
      <c r="T411" s="5" t="s">
        <v>1935</v>
      </c>
      <c r="U411" s="5" t="s">
        <v>35</v>
      </c>
      <c r="V411" s="25" t="s">
        <v>1936</v>
      </c>
      <c r="W411" s="25" t="s">
        <v>1937</v>
      </c>
      <c r="X411" s="5"/>
      <c r="Y411" s="25"/>
      <c r="Z411" s="5"/>
      <c r="AA411" s="9" t="s">
        <v>41</v>
      </c>
      <c r="AB411" s="6"/>
    </row>
    <row r="412" spans="1:28">
      <c r="A412" s="5">
        <f>IF(AA412="aktif",MAX($A$1:A411)+1,"")</f>
        <v>373</v>
      </c>
      <c r="B412" s="25"/>
      <c r="C412" s="15" t="s">
        <v>1938</v>
      </c>
      <c r="D412" s="139" t="s">
        <v>115</v>
      </c>
      <c r="E412" s="18" t="s">
        <v>786</v>
      </c>
      <c r="F412" s="5" t="s">
        <v>2152</v>
      </c>
      <c r="G412" s="5" t="s">
        <v>2152</v>
      </c>
      <c r="H412" s="16" t="s">
        <v>1920</v>
      </c>
      <c r="I412" s="18" t="s">
        <v>1482</v>
      </c>
      <c r="J412" s="5" t="s">
        <v>129</v>
      </c>
      <c r="K412" s="5"/>
      <c r="L412" s="26"/>
      <c r="M412" s="26"/>
      <c r="N412" s="5" t="s">
        <v>31</v>
      </c>
      <c r="O412" s="26"/>
      <c r="P412" s="26"/>
      <c r="Q412" s="5"/>
      <c r="R412" s="35"/>
      <c r="S412" s="25"/>
      <c r="V412" s="25"/>
      <c r="W412" s="25"/>
      <c r="X412" s="5"/>
      <c r="Y412" s="25"/>
      <c r="Z412" s="5"/>
      <c r="AA412" s="9" t="s">
        <v>41</v>
      </c>
      <c r="AB412" s="6"/>
    </row>
    <row r="413" spans="1:28">
      <c r="A413" s="5">
        <f>IF(AA413="aktif",MAX($A$1:A412)+1,"")</f>
        <v>374</v>
      </c>
      <c r="B413" s="25"/>
      <c r="C413" s="148" t="s">
        <v>1368</v>
      </c>
      <c r="D413" s="139" t="s">
        <v>115</v>
      </c>
      <c r="E413" s="18" t="s">
        <v>786</v>
      </c>
      <c r="F413" s="5" t="s">
        <v>2152</v>
      </c>
      <c r="G413" s="5" t="s">
        <v>2152</v>
      </c>
      <c r="H413" s="16" t="s">
        <v>1920</v>
      </c>
      <c r="I413" s="18" t="s">
        <v>1482</v>
      </c>
      <c r="J413" s="5" t="s">
        <v>129</v>
      </c>
      <c r="K413" s="5"/>
      <c r="L413" s="26"/>
      <c r="M413" s="26"/>
      <c r="N413" s="5" t="s">
        <v>31</v>
      </c>
      <c r="O413" s="26"/>
      <c r="P413" s="26"/>
      <c r="Q413" s="5"/>
      <c r="R413" s="35"/>
      <c r="S413" s="25"/>
      <c r="V413" s="25"/>
      <c r="W413" s="25"/>
      <c r="X413" s="5"/>
      <c r="Y413" s="25"/>
      <c r="Z413" s="5"/>
      <c r="AA413" s="9" t="s">
        <v>41</v>
      </c>
      <c r="AB413" s="6"/>
    </row>
    <row r="414" spans="1:28">
      <c r="A414" s="5">
        <f>IF(AA414="aktif",MAX($A$1:A413)+1,"")</f>
        <v>375</v>
      </c>
      <c r="B414" s="25"/>
      <c r="C414" s="15" t="s">
        <v>1939</v>
      </c>
      <c r="D414" s="139" t="s">
        <v>115</v>
      </c>
      <c r="E414" s="18" t="s">
        <v>786</v>
      </c>
      <c r="F414" s="5" t="s">
        <v>2152</v>
      </c>
      <c r="G414" s="5" t="s">
        <v>2152</v>
      </c>
      <c r="H414" s="16" t="s">
        <v>1920</v>
      </c>
      <c r="I414" s="18" t="s">
        <v>1482</v>
      </c>
      <c r="J414" s="5" t="s">
        <v>129</v>
      </c>
      <c r="K414" s="5"/>
      <c r="L414" s="26">
        <v>45940</v>
      </c>
      <c r="M414" s="26" t="str">
        <f ca="1">DATEDIF(L414,TODAY(),"Y") &amp;" tahun " &amp; DATEDIF(L414,TODAY(),"YM")&amp;" bulan"</f>
        <v>0 tahun 10 bulan</v>
      </c>
      <c r="N414" s="5" t="s">
        <v>31</v>
      </c>
      <c r="O414" s="26">
        <v>34155</v>
      </c>
      <c r="P414" s="26" t="str">
        <f ca="1">IF(O414="","",DATEDIF(O414,TODAY(),"Y")&amp;" tahun")</f>
        <v>33 tahun</v>
      </c>
      <c r="Q414" s="5" t="s">
        <v>46</v>
      </c>
      <c r="R414" s="9"/>
      <c r="S414" s="27" t="s">
        <v>1940</v>
      </c>
      <c r="T414" s="5" t="s">
        <v>1941</v>
      </c>
      <c r="U414" s="5" t="s">
        <v>81</v>
      </c>
      <c r="V414" s="27" t="s">
        <v>1942</v>
      </c>
      <c r="W414" s="27" t="s">
        <v>1943</v>
      </c>
      <c r="X414" s="9"/>
      <c r="Y414" s="27"/>
      <c r="Z414" s="9"/>
      <c r="AA414" s="9" t="s">
        <v>41</v>
      </c>
      <c r="AB414" s="6"/>
    </row>
    <row r="415" spans="1:28">
      <c r="A415" s="5">
        <f>IF(AA415="aktif",MAX($A$1:A414)+1,"")</f>
        <v>376</v>
      </c>
      <c r="B415" s="47"/>
      <c r="C415" s="142" t="s">
        <v>1944</v>
      </c>
      <c r="D415" s="139" t="s">
        <v>115</v>
      </c>
      <c r="E415" s="124" t="s">
        <v>786</v>
      </c>
      <c r="F415" s="5" t="s">
        <v>2152</v>
      </c>
      <c r="G415" s="5" t="s">
        <v>2152</v>
      </c>
      <c r="H415" s="16" t="s">
        <v>1920</v>
      </c>
      <c r="I415" s="124" t="s">
        <v>1482</v>
      </c>
      <c r="J415" s="13" t="s">
        <v>129</v>
      </c>
      <c r="K415" s="13"/>
      <c r="L415" s="36">
        <v>45947</v>
      </c>
      <c r="M415" s="36" t="str">
        <f ca="1">DATEDIF(L415,TODAY(),"Y") &amp;" tahun " &amp; DATEDIF(L415,TODAY(),"YM")&amp;" bulan"</f>
        <v>0 tahun 9 bulan</v>
      </c>
      <c r="N415" s="13" t="s">
        <v>31</v>
      </c>
      <c r="O415" s="36">
        <v>36714</v>
      </c>
      <c r="P415" s="36" t="str">
        <f ca="1">IF(O415="","",DATEDIF(O415,TODAY(),"Y")&amp;" tahun")</f>
        <v>26 tahun</v>
      </c>
      <c r="Q415" s="13" t="s">
        <v>46</v>
      </c>
      <c r="R415" s="50"/>
      <c r="S415" s="61" t="s">
        <v>1945</v>
      </c>
      <c r="T415" s="13" t="s">
        <v>1228</v>
      </c>
      <c r="U415" s="13" t="s">
        <v>81</v>
      </c>
      <c r="V415" s="61" t="s">
        <v>1946</v>
      </c>
      <c r="W415" s="61" t="s">
        <v>1947</v>
      </c>
      <c r="X415" s="50"/>
      <c r="Y415" s="61"/>
      <c r="Z415" s="50"/>
      <c r="AA415" s="9" t="s">
        <v>41</v>
      </c>
      <c r="AB415" s="21"/>
    </row>
    <row r="416" spans="1:28" s="60" customFormat="1">
      <c r="A416" s="5">
        <f>IF(AA416="aktif",MAX($A$1:A415)+1,"")</f>
        <v>377</v>
      </c>
      <c r="B416" s="56"/>
      <c r="C416" s="149" t="s">
        <v>1948</v>
      </c>
      <c r="D416" s="139" t="s">
        <v>115</v>
      </c>
      <c r="E416" s="125" t="s">
        <v>786</v>
      </c>
      <c r="F416" s="5" t="s">
        <v>2152</v>
      </c>
      <c r="G416" s="5" t="s">
        <v>2152</v>
      </c>
      <c r="H416" s="16" t="s">
        <v>1920</v>
      </c>
      <c r="I416" s="125" t="s">
        <v>1482</v>
      </c>
      <c r="J416" s="16" t="s">
        <v>129</v>
      </c>
      <c r="K416" s="16"/>
      <c r="L416" s="57">
        <v>45994</v>
      </c>
      <c r="M416" s="57" t="str">
        <f ca="1">DATEDIF(L416,TODAY(),"Y") &amp;" tahun " &amp; DATEDIF(L416,TODAY(),"YM")&amp;" bulan"</f>
        <v>0 tahun 8 bulan</v>
      </c>
      <c r="N416" s="16" t="s">
        <v>31</v>
      </c>
      <c r="O416" s="95">
        <v>36213</v>
      </c>
      <c r="P416" s="96" t="s">
        <v>1949</v>
      </c>
      <c r="Q416" s="97" t="s">
        <v>46</v>
      </c>
      <c r="R416" s="97"/>
      <c r="S416" s="98" t="s">
        <v>1950</v>
      </c>
      <c r="T416" s="97" t="s">
        <v>471</v>
      </c>
      <c r="U416" s="97" t="s">
        <v>81</v>
      </c>
      <c r="V416" s="98" t="s">
        <v>1951</v>
      </c>
      <c r="W416" s="98" t="s">
        <v>1952</v>
      </c>
      <c r="X416" s="58"/>
      <c r="Y416" s="59"/>
      <c r="Z416" s="58"/>
      <c r="AA416" s="9" t="s">
        <v>41</v>
      </c>
    </row>
    <row r="417" spans="1:28">
      <c r="A417" s="5">
        <f>IF(AA417="aktif",MAX($A$1:A416)+1,"")</f>
        <v>378</v>
      </c>
      <c r="B417" s="62"/>
      <c r="C417" s="146" t="s">
        <v>1953</v>
      </c>
      <c r="D417" s="139" t="s">
        <v>115</v>
      </c>
      <c r="E417" s="126" t="s">
        <v>786</v>
      </c>
      <c r="F417" s="5" t="s">
        <v>2152</v>
      </c>
      <c r="G417" s="5" t="s">
        <v>2152</v>
      </c>
      <c r="H417" s="16" t="s">
        <v>1920</v>
      </c>
      <c r="I417" s="126" t="s">
        <v>1508</v>
      </c>
      <c r="J417" s="14" t="s">
        <v>129</v>
      </c>
      <c r="K417" s="14"/>
      <c r="L417" s="38">
        <v>45880</v>
      </c>
      <c r="M417" s="38" t="str">
        <f ca="1">DATEDIF(L417,TODAY(),"Y") &amp;" tahun " &amp; DATEDIF(L417,TODAY(),"YM")&amp;" bulan"</f>
        <v>0 tahun 11 bulan</v>
      </c>
      <c r="N417" s="14" t="s">
        <v>31</v>
      </c>
      <c r="O417" s="38">
        <v>33439</v>
      </c>
      <c r="P417" s="38" t="str">
        <f ca="1">IF(O417="","",DATEDIF(O417,TODAY(),"Y")&amp;" tahun")</f>
        <v>35 tahun</v>
      </c>
      <c r="Q417" s="14" t="s">
        <v>46</v>
      </c>
      <c r="R417" s="63"/>
      <c r="S417" s="64" t="s">
        <v>1954</v>
      </c>
      <c r="T417" s="14" t="s">
        <v>1955</v>
      </c>
      <c r="U417" s="14" t="s">
        <v>81</v>
      </c>
      <c r="V417" s="64" t="s">
        <v>1653</v>
      </c>
      <c r="W417" s="64" t="s">
        <v>1956</v>
      </c>
      <c r="X417" s="63"/>
      <c r="Y417" s="64"/>
      <c r="Z417" s="63"/>
      <c r="AA417" s="9" t="s">
        <v>41</v>
      </c>
      <c r="AB417" s="65"/>
    </row>
    <row r="418" spans="1:28">
      <c r="A418" s="5">
        <f>IF(AA418="aktif",MAX($A$1:A417)+1,"")</f>
        <v>379</v>
      </c>
      <c r="B418" s="25"/>
      <c r="C418" s="15" t="s">
        <v>1957</v>
      </c>
      <c r="D418" s="139" t="s">
        <v>115</v>
      </c>
      <c r="E418" s="18" t="s">
        <v>786</v>
      </c>
      <c r="F418" s="5" t="s">
        <v>2152</v>
      </c>
      <c r="G418" s="5" t="s">
        <v>2152</v>
      </c>
      <c r="H418" s="16" t="s">
        <v>1920</v>
      </c>
      <c r="I418" s="18" t="s">
        <v>1508</v>
      </c>
      <c r="J418" s="5" t="s">
        <v>129</v>
      </c>
      <c r="K418" s="5"/>
      <c r="L418" s="26">
        <v>45917</v>
      </c>
      <c r="M418" s="26" t="str">
        <f ca="1">DATEDIF(L418,TODAY(),"Y") &amp;" tahun " &amp; DATEDIF(L418,TODAY(),"YM")&amp;" bulan"</f>
        <v>0 tahun 10 bulan</v>
      </c>
      <c r="N418" s="5" t="s">
        <v>31</v>
      </c>
      <c r="O418" s="26">
        <v>37394</v>
      </c>
      <c r="P418" s="26" t="str">
        <f ca="1">IF(O418="","",DATEDIF(O418,TODAY(),"Y")&amp;" tahun")</f>
        <v>24 tahun</v>
      </c>
      <c r="Q418" s="5" t="s">
        <v>46</v>
      </c>
      <c r="R418" s="9"/>
      <c r="S418" s="27" t="s">
        <v>1958</v>
      </c>
      <c r="T418" s="5" t="s">
        <v>1959</v>
      </c>
      <c r="U418" s="5" t="s">
        <v>81</v>
      </c>
      <c r="V418" s="27" t="s">
        <v>1960</v>
      </c>
      <c r="W418" s="27" t="s">
        <v>1961</v>
      </c>
      <c r="X418" s="9"/>
      <c r="Y418" s="27"/>
      <c r="Z418" s="9"/>
      <c r="AA418" s="9" t="s">
        <v>41</v>
      </c>
      <c r="AB418" s="6"/>
    </row>
    <row r="419" spans="1:28">
      <c r="A419" s="5">
        <f>IF(AA419="aktif",MAX($A$1:A418)+1,"")</f>
        <v>380</v>
      </c>
      <c r="B419" s="25"/>
      <c r="C419" s="15" t="s">
        <v>1962</v>
      </c>
      <c r="D419" s="139" t="s">
        <v>115</v>
      </c>
      <c r="E419" s="18" t="s">
        <v>786</v>
      </c>
      <c r="F419" s="5" t="s">
        <v>2152</v>
      </c>
      <c r="G419" s="5" t="s">
        <v>2152</v>
      </c>
      <c r="H419" s="16" t="s">
        <v>1920</v>
      </c>
      <c r="I419" s="18" t="s">
        <v>1508</v>
      </c>
      <c r="J419" s="5" t="s">
        <v>129</v>
      </c>
      <c r="K419" s="5"/>
      <c r="L419" s="26"/>
      <c r="M419" s="26"/>
      <c r="N419" s="5" t="s">
        <v>31</v>
      </c>
      <c r="O419" s="26"/>
      <c r="P419" s="26"/>
      <c r="Q419" s="5"/>
      <c r="R419" s="9"/>
      <c r="S419" s="27"/>
      <c r="V419" s="27"/>
      <c r="W419" s="27"/>
      <c r="X419" s="9"/>
      <c r="Y419" s="27"/>
      <c r="Z419" s="9"/>
      <c r="AA419" s="9" t="s">
        <v>41</v>
      </c>
      <c r="AB419" s="6"/>
    </row>
    <row r="420" spans="1:28">
      <c r="A420" s="5">
        <f>IF(AA420="aktif",MAX($A$1:A419)+1,"")</f>
        <v>381</v>
      </c>
      <c r="B420" s="25"/>
      <c r="C420" s="15" t="s">
        <v>1963</v>
      </c>
      <c r="D420" s="139" t="s">
        <v>115</v>
      </c>
      <c r="E420" s="18" t="s">
        <v>786</v>
      </c>
      <c r="F420" s="5" t="s">
        <v>2152</v>
      </c>
      <c r="G420" s="5" t="s">
        <v>2152</v>
      </c>
      <c r="H420" s="16" t="s">
        <v>1920</v>
      </c>
      <c r="I420" s="18" t="s">
        <v>1508</v>
      </c>
      <c r="J420" s="5" t="s">
        <v>129</v>
      </c>
      <c r="K420" s="5"/>
      <c r="L420" s="26"/>
      <c r="M420" s="26"/>
      <c r="N420" s="5" t="s">
        <v>31</v>
      </c>
      <c r="O420" s="26"/>
      <c r="P420" s="26"/>
      <c r="Q420" s="5"/>
      <c r="R420" s="9"/>
      <c r="S420" s="27"/>
      <c r="V420" s="27"/>
      <c r="W420" s="27"/>
      <c r="X420" s="9"/>
      <c r="Y420" s="27"/>
      <c r="Z420" s="9"/>
      <c r="AA420" s="9" t="s">
        <v>41</v>
      </c>
      <c r="AB420" s="6"/>
    </row>
    <row r="421" spans="1:28">
      <c r="A421" s="5">
        <f>IF(AA421="aktif",MAX($A$1:A420)+1,"")</f>
        <v>382</v>
      </c>
      <c r="B421" s="25"/>
      <c r="C421" s="15" t="s">
        <v>1964</v>
      </c>
      <c r="D421" s="139" t="s">
        <v>115</v>
      </c>
      <c r="E421" s="18" t="s">
        <v>786</v>
      </c>
      <c r="F421" s="5" t="s">
        <v>2152</v>
      </c>
      <c r="G421" s="5" t="s">
        <v>2152</v>
      </c>
      <c r="H421" s="16" t="s">
        <v>1920</v>
      </c>
      <c r="I421" s="18" t="s">
        <v>1508</v>
      </c>
      <c r="J421" s="5" t="s">
        <v>129</v>
      </c>
      <c r="K421" s="5"/>
      <c r="L421" s="26">
        <v>45936</v>
      </c>
      <c r="M421" s="26" t="str">
        <f ca="1">DATEDIF(L421,TODAY(),"Y") &amp;" tahun " &amp; DATEDIF(L421,TODAY(),"YM")&amp;" bulan"</f>
        <v>0 tahun 10 bulan</v>
      </c>
      <c r="N421" s="5" t="s">
        <v>31</v>
      </c>
      <c r="O421" s="26">
        <v>39130</v>
      </c>
      <c r="P421" s="26" t="str">
        <f ca="1">IF(O421="","",DATEDIF(O421,TODAY(),"Y")&amp;" tahun")</f>
        <v>19 tahun</v>
      </c>
      <c r="Q421" s="5" t="s">
        <v>46</v>
      </c>
      <c r="R421" s="9"/>
      <c r="S421" s="27" t="s">
        <v>1965</v>
      </c>
      <c r="T421" s="5" t="s">
        <v>1966</v>
      </c>
      <c r="U421" s="5" t="s">
        <v>81</v>
      </c>
      <c r="V421" s="27" t="s">
        <v>1967</v>
      </c>
      <c r="W421" s="27" t="s">
        <v>1968</v>
      </c>
      <c r="X421" s="9"/>
      <c r="Y421" s="27"/>
      <c r="Z421" s="9"/>
      <c r="AA421" s="9" t="s">
        <v>41</v>
      </c>
      <c r="AB421" s="6"/>
    </row>
    <row r="422" spans="1:28">
      <c r="A422" s="5">
        <f>IF(AA422="aktif",MAX($A$1:A421)+1,"")</f>
        <v>383</v>
      </c>
      <c r="B422" s="25"/>
      <c r="C422" s="15" t="s">
        <v>1969</v>
      </c>
      <c r="D422" s="139" t="s">
        <v>115</v>
      </c>
      <c r="E422" s="18" t="s">
        <v>786</v>
      </c>
      <c r="F422" s="5" t="s">
        <v>2152</v>
      </c>
      <c r="G422" s="5" t="s">
        <v>2152</v>
      </c>
      <c r="H422" s="16" t="s">
        <v>1920</v>
      </c>
      <c r="I422" s="18" t="s">
        <v>1508</v>
      </c>
      <c r="J422" s="5" t="s">
        <v>129</v>
      </c>
      <c r="K422" s="5"/>
      <c r="L422" s="26">
        <v>45936</v>
      </c>
      <c r="M422" s="26" t="str">
        <f ca="1">DATEDIF(L422,TODAY(),"Y") &amp;" tahun " &amp; DATEDIF(L422,TODAY(),"YM")&amp;" bulan"</f>
        <v>0 tahun 10 bulan</v>
      </c>
      <c r="N422" s="5" t="s">
        <v>31</v>
      </c>
      <c r="O422" s="26">
        <v>37535</v>
      </c>
      <c r="P422" s="26" t="str">
        <f ca="1">IF(O422="","",DATEDIF(O422,TODAY(),"Y")&amp;" tahun")</f>
        <v>23 tahun</v>
      </c>
      <c r="Q422" s="5" t="s">
        <v>32</v>
      </c>
      <c r="R422" s="9"/>
      <c r="S422" s="27" t="s">
        <v>1970</v>
      </c>
      <c r="T422" s="5" t="s">
        <v>1971</v>
      </c>
      <c r="U422" s="5" t="s">
        <v>81</v>
      </c>
      <c r="V422" s="27" t="s">
        <v>1972</v>
      </c>
      <c r="W422" s="27" t="s">
        <v>1973</v>
      </c>
      <c r="X422" s="9"/>
      <c r="Y422" s="27"/>
      <c r="Z422" s="9"/>
      <c r="AA422" s="9" t="s">
        <v>41</v>
      </c>
      <c r="AB422" s="6"/>
    </row>
    <row r="423" spans="1:28">
      <c r="A423" s="5">
        <f>IF(AA423="aktif",MAX($A$1:A422)+1,"")</f>
        <v>384</v>
      </c>
      <c r="B423" s="25"/>
      <c r="C423" s="15" t="s">
        <v>1974</v>
      </c>
      <c r="D423" s="139" t="s">
        <v>115</v>
      </c>
      <c r="E423" s="18" t="s">
        <v>786</v>
      </c>
      <c r="F423" s="5" t="s">
        <v>2152</v>
      </c>
      <c r="G423" s="5" t="s">
        <v>2152</v>
      </c>
      <c r="H423" s="16" t="s">
        <v>1920</v>
      </c>
      <c r="I423" s="18" t="s">
        <v>1508</v>
      </c>
      <c r="J423" s="5" t="s">
        <v>129</v>
      </c>
      <c r="K423" s="5"/>
      <c r="L423" s="26"/>
      <c r="M423" s="26"/>
      <c r="N423" s="5" t="s">
        <v>31</v>
      </c>
      <c r="O423" s="26"/>
      <c r="P423" s="26"/>
      <c r="Q423" s="5"/>
      <c r="R423" s="9"/>
      <c r="S423" s="27"/>
      <c r="V423" s="27"/>
      <c r="W423" s="27"/>
      <c r="X423" s="9"/>
      <c r="Y423" s="27"/>
      <c r="Z423" s="9"/>
      <c r="AA423" s="9" t="s">
        <v>41</v>
      </c>
      <c r="AB423" s="6"/>
    </row>
    <row r="424" spans="1:28">
      <c r="A424" s="5">
        <f>IF(AA424="aktif",MAX($A$1:A423)+1,"")</f>
        <v>385</v>
      </c>
      <c r="B424" s="25"/>
      <c r="C424" s="15" t="s">
        <v>1975</v>
      </c>
      <c r="D424" s="139" t="s">
        <v>115</v>
      </c>
      <c r="E424" s="18" t="s">
        <v>786</v>
      </c>
      <c r="F424" s="5" t="s">
        <v>2152</v>
      </c>
      <c r="G424" s="5" t="s">
        <v>2152</v>
      </c>
      <c r="H424" s="16" t="s">
        <v>1920</v>
      </c>
      <c r="I424" s="18" t="s">
        <v>1508</v>
      </c>
      <c r="J424" s="5" t="s">
        <v>129</v>
      </c>
      <c r="K424" s="5"/>
      <c r="L424" s="26">
        <v>45938</v>
      </c>
      <c r="M424" s="26" t="str">
        <f ca="1">DATEDIF(L424,TODAY(),"Y") &amp;" tahun " &amp; DATEDIF(L424,TODAY(),"YM")&amp;" bulan"</f>
        <v>0 tahun 10 bulan</v>
      </c>
      <c r="N424" s="5" t="s">
        <v>31</v>
      </c>
      <c r="O424" s="26">
        <v>38800</v>
      </c>
      <c r="P424" s="26" t="str">
        <f ca="1">IF(O424="","",DATEDIF(O424,TODAY(),"Y")&amp;" tahun")</f>
        <v>20 tahun</v>
      </c>
      <c r="Q424" s="5" t="s">
        <v>46</v>
      </c>
      <c r="R424" s="9"/>
      <c r="S424" s="27" t="s">
        <v>1976</v>
      </c>
      <c r="T424" s="5" t="s">
        <v>1977</v>
      </c>
      <c r="U424" s="5" t="s">
        <v>81</v>
      </c>
      <c r="V424" s="27" t="s">
        <v>1978</v>
      </c>
      <c r="W424" s="27" t="s">
        <v>1979</v>
      </c>
      <c r="X424" s="9"/>
      <c r="Y424" s="27"/>
      <c r="Z424" s="9"/>
      <c r="AA424" s="9" t="s">
        <v>41</v>
      </c>
      <c r="AB424" s="6"/>
    </row>
    <row r="425" spans="1:28">
      <c r="A425" s="5">
        <f>IF(AA425="aktif",MAX($A$1:A424)+1,"")</f>
        <v>386</v>
      </c>
      <c r="B425" s="25"/>
      <c r="C425" s="15" t="s">
        <v>1980</v>
      </c>
      <c r="D425" s="139" t="s">
        <v>115</v>
      </c>
      <c r="E425" s="18" t="s">
        <v>786</v>
      </c>
      <c r="F425" s="5" t="s">
        <v>2152</v>
      </c>
      <c r="G425" s="5" t="s">
        <v>2152</v>
      </c>
      <c r="H425" s="16" t="s">
        <v>1920</v>
      </c>
      <c r="I425" s="18" t="s">
        <v>1508</v>
      </c>
      <c r="J425" s="5" t="s">
        <v>129</v>
      </c>
      <c r="K425" s="5"/>
      <c r="L425" s="26"/>
      <c r="M425" s="26"/>
      <c r="N425" s="5" t="s">
        <v>31</v>
      </c>
      <c r="O425" s="26"/>
      <c r="P425" s="26"/>
      <c r="Q425" s="5"/>
      <c r="R425" s="9"/>
      <c r="S425" s="27"/>
      <c r="V425" s="27"/>
      <c r="W425" s="27"/>
      <c r="X425" s="9"/>
      <c r="Y425" s="27"/>
      <c r="Z425" s="9"/>
      <c r="AA425" s="9" t="s">
        <v>41</v>
      </c>
      <c r="AB425" s="6"/>
    </row>
    <row r="426" spans="1:28">
      <c r="A426" s="5">
        <f>IF(AA426="aktif",MAX($A$1:A425)+1,"")</f>
        <v>387</v>
      </c>
      <c r="B426" s="25"/>
      <c r="C426" s="15" t="s">
        <v>1981</v>
      </c>
      <c r="D426" s="139" t="s">
        <v>115</v>
      </c>
      <c r="E426" s="18" t="s">
        <v>786</v>
      </c>
      <c r="F426" s="5" t="s">
        <v>2152</v>
      </c>
      <c r="G426" s="5" t="s">
        <v>2152</v>
      </c>
      <c r="H426" s="16" t="s">
        <v>1920</v>
      </c>
      <c r="I426" s="18" t="s">
        <v>1508</v>
      </c>
      <c r="J426" s="5" t="s">
        <v>129</v>
      </c>
      <c r="K426" s="5"/>
      <c r="L426" s="26">
        <v>45938</v>
      </c>
      <c r="M426" s="26" t="str">
        <f ca="1">DATEDIF(L426,TODAY(),"Y") &amp;" tahun " &amp; DATEDIF(L426,TODAY(),"YM")&amp;" bulan"</f>
        <v>0 tahun 10 bulan</v>
      </c>
      <c r="N426" s="5" t="s">
        <v>31</v>
      </c>
      <c r="O426" s="26">
        <v>39206</v>
      </c>
      <c r="P426" s="26" t="str">
        <f t="shared" ref="P426:P432" ca="1" si="39">IF(O426="","",DATEDIF(O426,TODAY(),"Y")&amp;" tahun")</f>
        <v>19 tahun</v>
      </c>
      <c r="Q426" s="5" t="s">
        <v>46</v>
      </c>
      <c r="R426" s="9"/>
      <c r="S426" s="27" t="s">
        <v>1982</v>
      </c>
      <c r="T426" s="5" t="s">
        <v>1983</v>
      </c>
      <c r="U426" s="5" t="s">
        <v>81</v>
      </c>
      <c r="V426" s="27" t="s">
        <v>1984</v>
      </c>
      <c r="W426" s="27" t="s">
        <v>1985</v>
      </c>
      <c r="X426" s="9"/>
      <c r="Y426" s="27"/>
      <c r="Z426" s="9"/>
      <c r="AA426" s="9" t="s">
        <v>41</v>
      </c>
      <c r="AB426" s="6"/>
    </row>
    <row r="427" spans="1:28">
      <c r="A427" s="5">
        <f>IF(AA427="aktif",MAX($A$1:A426)+1,"")</f>
        <v>388</v>
      </c>
      <c r="B427" s="25"/>
      <c r="C427" s="15" t="s">
        <v>1986</v>
      </c>
      <c r="D427" s="139" t="s">
        <v>115</v>
      </c>
      <c r="E427" s="18" t="s">
        <v>786</v>
      </c>
      <c r="F427" s="5" t="s">
        <v>2152</v>
      </c>
      <c r="G427" s="5" t="s">
        <v>2152</v>
      </c>
      <c r="H427" s="16" t="s">
        <v>1920</v>
      </c>
      <c r="I427" s="18" t="s">
        <v>1987</v>
      </c>
      <c r="J427" s="5" t="s">
        <v>129</v>
      </c>
      <c r="K427" s="5"/>
      <c r="L427" s="26"/>
      <c r="M427" s="26" t="str">
        <f ca="1">IF(L427="","",DATEDIF(L427,TODAY(),"Y") &amp;" tahun " &amp; DATEDIF(L427,TODAY(),"YM")&amp;" bulan")</f>
        <v/>
      </c>
      <c r="N427" s="5" t="s">
        <v>31</v>
      </c>
      <c r="O427" s="26">
        <v>37729</v>
      </c>
      <c r="P427" s="26" t="str">
        <f t="shared" ca="1" si="39"/>
        <v>23 tahun</v>
      </c>
      <c r="Q427" s="5" t="s">
        <v>46</v>
      </c>
      <c r="R427" s="35">
        <v>2300000</v>
      </c>
      <c r="S427" s="25" t="s">
        <v>1988</v>
      </c>
      <c r="T427" s="5" t="s">
        <v>1153</v>
      </c>
      <c r="U427" s="5" t="s">
        <v>165</v>
      </c>
      <c r="V427" s="25" t="s">
        <v>1989</v>
      </c>
      <c r="W427" s="25" t="s">
        <v>1990</v>
      </c>
      <c r="X427" s="5"/>
      <c r="Y427" s="25"/>
      <c r="Z427" s="5"/>
      <c r="AA427" s="9" t="s">
        <v>41</v>
      </c>
      <c r="AB427" s="6"/>
    </row>
    <row r="428" spans="1:28">
      <c r="A428" s="5">
        <f>IF(AA428="aktif",MAX($A$1:A427)+1,"")</f>
        <v>389</v>
      </c>
      <c r="B428" s="25"/>
      <c r="C428" s="15" t="s">
        <v>1991</v>
      </c>
      <c r="D428" s="139" t="s">
        <v>115</v>
      </c>
      <c r="E428" s="18" t="s">
        <v>786</v>
      </c>
      <c r="F428" s="5" t="s">
        <v>2152</v>
      </c>
      <c r="G428" s="5" t="s">
        <v>2152</v>
      </c>
      <c r="H428" s="16" t="s">
        <v>1920</v>
      </c>
      <c r="I428" s="18" t="s">
        <v>1987</v>
      </c>
      <c r="J428" s="5" t="s">
        <v>129</v>
      </c>
      <c r="K428" s="5"/>
      <c r="L428" s="26">
        <v>45630</v>
      </c>
      <c r="M428" s="26" t="str">
        <f ca="1">IF(L428="","",DATEDIF(L428,TODAY(),"Y") &amp;" tahun " &amp; DATEDIF(L428,TODAY(),"YM")&amp;" bulan")</f>
        <v>1 tahun 8 bulan</v>
      </c>
      <c r="N428" s="5" t="s">
        <v>31</v>
      </c>
      <c r="O428" s="26">
        <v>37302</v>
      </c>
      <c r="P428" s="26" t="str">
        <f t="shared" ca="1" si="39"/>
        <v>24 tahun</v>
      </c>
      <c r="Q428" s="5" t="s">
        <v>46</v>
      </c>
      <c r="R428" s="35"/>
      <c r="S428" s="25" t="s">
        <v>1992</v>
      </c>
      <c r="T428" s="5" t="s">
        <v>1751</v>
      </c>
      <c r="U428" s="5" t="s">
        <v>165</v>
      </c>
      <c r="V428" s="25" t="s">
        <v>1993</v>
      </c>
      <c r="W428" s="25"/>
      <c r="X428" s="5"/>
      <c r="Y428" s="25"/>
      <c r="Z428" s="5"/>
      <c r="AA428" s="9" t="s">
        <v>41</v>
      </c>
      <c r="AB428" s="6"/>
    </row>
    <row r="429" spans="1:28">
      <c r="A429" s="5">
        <f>IF(AA429="aktif",MAX($A$1:A428)+1,"")</f>
        <v>390</v>
      </c>
      <c r="B429" s="25"/>
      <c r="C429" s="15" t="s">
        <v>1994</v>
      </c>
      <c r="D429" s="139" t="s">
        <v>115</v>
      </c>
      <c r="E429" s="18" t="s">
        <v>786</v>
      </c>
      <c r="F429" s="5" t="s">
        <v>2152</v>
      </c>
      <c r="G429" s="5" t="s">
        <v>2152</v>
      </c>
      <c r="H429" s="16" t="s">
        <v>1920</v>
      </c>
      <c r="I429" s="18" t="s">
        <v>1987</v>
      </c>
      <c r="J429" s="5" t="s">
        <v>129</v>
      </c>
      <c r="K429" s="5"/>
      <c r="L429" s="26"/>
      <c r="M429" s="26" t="str">
        <f ca="1">IF(L429="","",DATEDIF(L429,TODAY(),"Y") &amp;" tahun " &amp; DATEDIF(L429,TODAY(),"YM")&amp;" bulan")</f>
        <v/>
      </c>
      <c r="N429" s="5" t="s">
        <v>31</v>
      </c>
      <c r="O429" s="26">
        <v>35981</v>
      </c>
      <c r="P429" s="26" t="str">
        <f t="shared" ca="1" si="39"/>
        <v>28 tahun</v>
      </c>
      <c r="Q429" s="5" t="s">
        <v>46</v>
      </c>
      <c r="R429" s="35"/>
      <c r="S429" s="25" t="s">
        <v>1995</v>
      </c>
      <c r="T429" s="5" t="s">
        <v>284</v>
      </c>
      <c r="U429" s="5" t="s">
        <v>165</v>
      </c>
      <c r="V429" s="25" t="s">
        <v>1996</v>
      </c>
      <c r="W429" s="25"/>
      <c r="X429" s="5"/>
      <c r="Y429" s="25"/>
      <c r="Z429" s="5"/>
      <c r="AA429" s="9" t="s">
        <v>41</v>
      </c>
      <c r="AB429" s="6"/>
    </row>
    <row r="430" spans="1:28">
      <c r="A430" s="5">
        <f>IF(AA430="aktif",MAX($A$1:A429)+1,"")</f>
        <v>391</v>
      </c>
      <c r="B430" s="25"/>
      <c r="C430" s="15" t="s">
        <v>1997</v>
      </c>
      <c r="D430" s="139" t="s">
        <v>115</v>
      </c>
      <c r="E430" s="18" t="s">
        <v>786</v>
      </c>
      <c r="F430" s="5" t="s">
        <v>2152</v>
      </c>
      <c r="G430" s="5" t="s">
        <v>2152</v>
      </c>
      <c r="H430" s="16" t="s">
        <v>1920</v>
      </c>
      <c r="I430" s="18" t="s">
        <v>1987</v>
      </c>
      <c r="J430" s="5" t="s">
        <v>129</v>
      </c>
      <c r="K430" s="5"/>
      <c r="L430" s="26">
        <v>45736</v>
      </c>
      <c r="M430" s="26" t="str">
        <f ca="1">IF(L430="","",DATEDIF(L430,TODAY(),"Y") &amp;" tahun " &amp; DATEDIF(L430,TODAY(),"YM")&amp;" bulan")</f>
        <v>1 tahun 4 bulan</v>
      </c>
      <c r="N430" s="5" t="s">
        <v>31</v>
      </c>
      <c r="O430" s="26">
        <v>38822</v>
      </c>
      <c r="P430" s="26" t="str">
        <f t="shared" ca="1" si="39"/>
        <v>20 tahun</v>
      </c>
      <c r="Q430" s="5" t="s">
        <v>121</v>
      </c>
      <c r="R430" s="35">
        <v>184000</v>
      </c>
      <c r="S430" s="25" t="s">
        <v>1998</v>
      </c>
      <c r="T430" s="5" t="s">
        <v>1999</v>
      </c>
      <c r="U430" s="5" t="s">
        <v>165</v>
      </c>
      <c r="V430" s="25" t="s">
        <v>2000</v>
      </c>
      <c r="W430" s="25"/>
      <c r="X430" s="5"/>
      <c r="Y430" s="25"/>
      <c r="Z430" s="5"/>
      <c r="AA430" s="9" t="s">
        <v>41</v>
      </c>
      <c r="AB430" s="6"/>
    </row>
    <row r="431" spans="1:28">
      <c r="A431" s="5">
        <f>IF(AA431="aktif",MAX($A$1:A430)+1,"")</f>
        <v>392</v>
      </c>
      <c r="B431" s="25"/>
      <c r="C431" s="15" t="s">
        <v>2001</v>
      </c>
      <c r="D431" s="139" t="s">
        <v>115</v>
      </c>
      <c r="E431" s="18" t="s">
        <v>786</v>
      </c>
      <c r="F431" s="5" t="s">
        <v>2152</v>
      </c>
      <c r="G431" s="5" t="s">
        <v>2152</v>
      </c>
      <c r="H431" s="16" t="s">
        <v>1920</v>
      </c>
      <c r="I431" s="18" t="s">
        <v>1987</v>
      </c>
      <c r="J431" s="5" t="s">
        <v>129</v>
      </c>
      <c r="K431" s="5"/>
      <c r="L431" s="26">
        <v>45932</v>
      </c>
      <c r="M431" s="26" t="str">
        <f ca="1">DATEDIF(L431,TODAY(),"Y") &amp;" tahun " &amp; DATEDIF(L431,TODAY(),"YM")&amp;" bulan"</f>
        <v>0 tahun 10 bulan</v>
      </c>
      <c r="N431" s="5" t="s">
        <v>31</v>
      </c>
      <c r="O431" s="26">
        <v>38106</v>
      </c>
      <c r="P431" s="26" t="str">
        <f t="shared" ca="1" si="39"/>
        <v>22 tahun</v>
      </c>
      <c r="Q431" s="5" t="s">
        <v>46</v>
      </c>
      <c r="R431" s="9"/>
      <c r="S431" s="27" t="s">
        <v>2002</v>
      </c>
      <c r="T431" s="5" t="s">
        <v>2003</v>
      </c>
      <c r="U431" s="5" t="s">
        <v>81</v>
      </c>
      <c r="V431" s="27" t="s">
        <v>2004</v>
      </c>
      <c r="W431" s="27" t="s">
        <v>2005</v>
      </c>
      <c r="X431" s="9"/>
      <c r="Y431" s="27"/>
      <c r="Z431" s="9"/>
      <c r="AA431" s="9" t="s">
        <v>41</v>
      </c>
      <c r="AB431" s="6"/>
    </row>
    <row r="432" spans="1:28">
      <c r="A432" s="5">
        <f>IF(AA432="aktif",MAX($A$1:A431)+1,"")</f>
        <v>393</v>
      </c>
      <c r="B432" s="25"/>
      <c r="C432" s="15" t="s">
        <v>2006</v>
      </c>
      <c r="D432" s="139" t="s">
        <v>115</v>
      </c>
      <c r="E432" s="18" t="s">
        <v>786</v>
      </c>
      <c r="F432" s="5" t="s">
        <v>2152</v>
      </c>
      <c r="G432" s="5" t="s">
        <v>2152</v>
      </c>
      <c r="H432" s="16" t="s">
        <v>1920</v>
      </c>
      <c r="I432" s="18" t="s">
        <v>1987</v>
      </c>
      <c r="J432" s="5" t="s">
        <v>129</v>
      </c>
      <c r="K432" s="5"/>
      <c r="L432" s="26">
        <v>45932</v>
      </c>
      <c r="M432" s="26" t="str">
        <f ca="1">DATEDIF(L432,TODAY(),"Y") &amp;" tahun " &amp; DATEDIF(L432,TODAY(),"YM")&amp;" bulan"</f>
        <v>0 tahun 10 bulan</v>
      </c>
      <c r="N432" s="5" t="s">
        <v>31</v>
      </c>
      <c r="O432" s="26">
        <v>38892</v>
      </c>
      <c r="P432" s="26" t="str">
        <f t="shared" ca="1" si="39"/>
        <v>20 tahun</v>
      </c>
      <c r="Q432" s="5" t="s">
        <v>46</v>
      </c>
      <c r="R432" s="9"/>
      <c r="S432" s="27" t="s">
        <v>2007</v>
      </c>
      <c r="T432" s="5" t="s">
        <v>2003</v>
      </c>
      <c r="U432" s="5" t="s">
        <v>81</v>
      </c>
      <c r="V432" s="27" t="s">
        <v>2008</v>
      </c>
      <c r="W432" s="27" t="s">
        <v>2009</v>
      </c>
      <c r="X432" s="9"/>
      <c r="Y432" s="27"/>
      <c r="Z432" s="9"/>
      <c r="AA432" s="9" t="s">
        <v>41</v>
      </c>
      <c r="AB432" s="6"/>
    </row>
    <row r="433" spans="1:28">
      <c r="A433" s="5">
        <f>IF(AA433="aktif",MAX($A$1:A432)+1,"")</f>
        <v>394</v>
      </c>
      <c r="B433" s="25"/>
      <c r="C433" s="15" t="s">
        <v>2010</v>
      </c>
      <c r="D433" s="139" t="s">
        <v>115</v>
      </c>
      <c r="E433" s="18" t="s">
        <v>786</v>
      </c>
      <c r="F433" s="5" t="s">
        <v>2152</v>
      </c>
      <c r="G433" s="5" t="s">
        <v>2152</v>
      </c>
      <c r="H433" s="16" t="s">
        <v>1920</v>
      </c>
      <c r="I433" s="18" t="s">
        <v>1987</v>
      </c>
      <c r="J433" s="5" t="s">
        <v>129</v>
      </c>
      <c r="K433" s="5"/>
      <c r="L433" s="26"/>
      <c r="M433" s="26"/>
      <c r="N433" s="5" t="s">
        <v>31</v>
      </c>
      <c r="O433" s="26"/>
      <c r="P433" s="26"/>
      <c r="Q433" s="5"/>
      <c r="R433" s="9"/>
      <c r="S433" s="27"/>
      <c r="V433" s="27"/>
      <c r="W433" s="27"/>
      <c r="X433" s="9"/>
      <c r="Y433" s="27"/>
      <c r="Z433" s="9"/>
      <c r="AA433" s="9" t="s">
        <v>41</v>
      </c>
      <c r="AB433" s="6"/>
    </row>
    <row r="434" spans="1:28">
      <c r="A434" s="5">
        <f>IF(AA434="aktif",MAX($A$1:A433)+1,"")</f>
        <v>395</v>
      </c>
      <c r="B434" s="25"/>
      <c r="C434" s="15" t="s">
        <v>2011</v>
      </c>
      <c r="D434" s="139" t="s">
        <v>115</v>
      </c>
      <c r="E434" s="18" t="s">
        <v>786</v>
      </c>
      <c r="F434" s="5" t="s">
        <v>2152</v>
      </c>
      <c r="G434" s="5" t="s">
        <v>2152</v>
      </c>
      <c r="H434" s="16" t="s">
        <v>1920</v>
      </c>
      <c r="I434" s="18" t="s">
        <v>1987</v>
      </c>
      <c r="J434" s="5" t="s">
        <v>129</v>
      </c>
      <c r="K434" s="5"/>
      <c r="L434" s="26">
        <v>45929</v>
      </c>
      <c r="M434" s="26" t="str">
        <f ca="1">IF(L434="","",DATEDIF(L434,TODAY(),"Y") &amp;" tahun " &amp; DATEDIF(L434,TODAY(),"YM")&amp;" bulan")</f>
        <v>0 tahun 10 bulan</v>
      </c>
      <c r="N434" s="5" t="s">
        <v>31</v>
      </c>
      <c r="O434" s="26"/>
      <c r="P434" s="26" t="str">
        <f ca="1">IF(O434="","",DATEDIF(O434,TODAY(),"Y")&amp;" tahun")</f>
        <v/>
      </c>
      <c r="Q434" s="5" t="s">
        <v>46</v>
      </c>
      <c r="R434" s="35"/>
      <c r="S434" s="6"/>
      <c r="V434" s="6"/>
      <c r="W434" s="6"/>
      <c r="X434" s="6"/>
      <c r="Y434" s="6"/>
      <c r="Z434" s="6"/>
      <c r="AA434" s="9" t="s">
        <v>41</v>
      </c>
      <c r="AB434" s="6"/>
    </row>
    <row r="435" spans="1:28">
      <c r="A435" s="5">
        <f>IF(AA435="aktif",MAX($A$1:A434)+1,"")</f>
        <v>396</v>
      </c>
      <c r="B435" s="25"/>
      <c r="C435" s="15" t="s">
        <v>2012</v>
      </c>
      <c r="D435" s="139" t="s">
        <v>115</v>
      </c>
      <c r="E435" s="18" t="s">
        <v>786</v>
      </c>
      <c r="F435" s="5" t="s">
        <v>2152</v>
      </c>
      <c r="G435" s="5" t="s">
        <v>2152</v>
      </c>
      <c r="H435" s="16" t="s">
        <v>1920</v>
      </c>
      <c r="I435" s="18" t="s">
        <v>1987</v>
      </c>
      <c r="J435" s="5" t="s">
        <v>129</v>
      </c>
      <c r="K435" s="5"/>
      <c r="L435" s="26">
        <v>45736</v>
      </c>
      <c r="M435" s="26" t="str">
        <f ca="1">IF(L435="","",DATEDIF(L435,TODAY(),"Y") &amp;" tahun " &amp; DATEDIF(L435,TODAY(),"YM")&amp;" bulan")</f>
        <v>1 tahun 4 bulan</v>
      </c>
      <c r="N435" s="5" t="s">
        <v>31</v>
      </c>
      <c r="O435" s="26">
        <v>38435</v>
      </c>
      <c r="P435" s="26" t="str">
        <f ca="1">IF(O435="","",DATEDIF(O435,TODAY(),"Y")&amp;" tahun")</f>
        <v>21 tahun</v>
      </c>
      <c r="Q435" s="5" t="s">
        <v>46</v>
      </c>
      <c r="R435" s="35"/>
      <c r="S435" s="25" t="s">
        <v>2013</v>
      </c>
      <c r="T435" s="5" t="s">
        <v>974</v>
      </c>
      <c r="U435" s="5" t="s">
        <v>165</v>
      </c>
      <c r="V435" s="25" t="s">
        <v>2014</v>
      </c>
      <c r="W435" s="25" t="s">
        <v>2015</v>
      </c>
      <c r="X435" s="5"/>
      <c r="Y435" s="25"/>
      <c r="Z435" s="5"/>
      <c r="AA435" s="9" t="s">
        <v>41</v>
      </c>
      <c r="AB435" s="6"/>
    </row>
    <row r="436" spans="1:28">
      <c r="A436" s="5">
        <f>IF(AA436="aktif",MAX($A$1:A435)+1,"")</f>
        <v>397</v>
      </c>
      <c r="B436" s="25"/>
      <c r="C436" s="15" t="s">
        <v>2016</v>
      </c>
      <c r="D436" s="139" t="s">
        <v>115</v>
      </c>
      <c r="E436" s="18" t="s">
        <v>786</v>
      </c>
      <c r="F436" s="5" t="s">
        <v>2152</v>
      </c>
      <c r="G436" s="5" t="s">
        <v>2152</v>
      </c>
      <c r="H436" s="16" t="s">
        <v>2017</v>
      </c>
      <c r="I436" s="18" t="s">
        <v>1482</v>
      </c>
      <c r="J436" s="5" t="s">
        <v>129</v>
      </c>
      <c r="K436" s="5"/>
      <c r="L436" s="26"/>
      <c r="M436" s="26"/>
      <c r="N436" s="5" t="s">
        <v>55</v>
      </c>
      <c r="O436" s="26"/>
      <c r="P436" s="26"/>
      <c r="Q436" s="5"/>
      <c r="R436" s="35"/>
      <c r="S436" s="25"/>
      <c r="V436" s="25"/>
      <c r="W436" s="25"/>
      <c r="X436" s="5"/>
      <c r="Y436" s="25"/>
      <c r="Z436" s="5"/>
      <c r="AA436" s="9" t="s">
        <v>41</v>
      </c>
      <c r="AB436" s="6"/>
    </row>
    <row r="437" spans="1:28">
      <c r="A437" s="5">
        <f>IF(AA437="aktif",MAX($A$1:A436)+1,"")</f>
        <v>398</v>
      </c>
      <c r="B437" s="25"/>
      <c r="C437" s="15" t="s">
        <v>2018</v>
      </c>
      <c r="D437" s="139" t="s">
        <v>115</v>
      </c>
      <c r="E437" s="18" t="s">
        <v>786</v>
      </c>
      <c r="F437" s="5" t="s">
        <v>2152</v>
      </c>
      <c r="G437" s="5" t="s">
        <v>2152</v>
      </c>
      <c r="H437" s="16" t="s">
        <v>2017</v>
      </c>
      <c r="I437" s="18" t="s">
        <v>1482</v>
      </c>
      <c r="J437" s="5" t="s">
        <v>129</v>
      </c>
      <c r="K437" s="5"/>
      <c r="L437" s="26">
        <v>45871</v>
      </c>
      <c r="M437" s="26" t="str">
        <f ca="1">DATEDIF(L437,TODAY(),"Y") &amp;" tahun " &amp; DATEDIF(L437,TODAY(),"YM")&amp;" bulan"</f>
        <v>1 tahun 0 bulan</v>
      </c>
      <c r="N437" s="5" t="s">
        <v>55</v>
      </c>
      <c r="O437" s="26">
        <v>39200</v>
      </c>
      <c r="P437" s="26" t="str">
        <f ca="1">IF(O437="","",DATEDIF(O437,TODAY(),"Y")&amp;" tahun")</f>
        <v>19 tahun</v>
      </c>
      <c r="Q437" s="5" t="s">
        <v>46</v>
      </c>
      <c r="R437" s="9"/>
      <c r="S437" s="27" t="s">
        <v>2019</v>
      </c>
      <c r="T437" s="5" t="s">
        <v>2020</v>
      </c>
      <c r="U437" s="5" t="s">
        <v>81</v>
      </c>
      <c r="V437" s="27"/>
      <c r="W437" s="27"/>
      <c r="X437" s="9"/>
      <c r="Y437" s="27"/>
      <c r="Z437" s="9"/>
      <c r="AA437" s="9" t="s">
        <v>41</v>
      </c>
      <c r="AB437" s="6"/>
    </row>
    <row r="438" spans="1:28">
      <c r="A438" s="5">
        <f>IF(AA438="aktif",MAX($A$1:A437)+1,"")</f>
        <v>399</v>
      </c>
      <c r="B438" s="25"/>
      <c r="C438" s="15" t="s">
        <v>2021</v>
      </c>
      <c r="D438" s="139" t="s">
        <v>115</v>
      </c>
      <c r="E438" s="18" t="s">
        <v>786</v>
      </c>
      <c r="F438" s="5" t="s">
        <v>2152</v>
      </c>
      <c r="G438" s="5" t="s">
        <v>2152</v>
      </c>
      <c r="H438" s="16" t="s">
        <v>2017</v>
      </c>
      <c r="I438" s="18" t="s">
        <v>1482</v>
      </c>
      <c r="J438" s="5" t="s">
        <v>129</v>
      </c>
      <c r="K438" s="5"/>
      <c r="L438" s="26"/>
      <c r="M438" s="26"/>
      <c r="N438" s="5" t="s">
        <v>55</v>
      </c>
      <c r="O438" s="26"/>
      <c r="P438" s="26"/>
      <c r="Q438" s="5"/>
      <c r="R438" s="9"/>
      <c r="S438" s="27"/>
      <c r="V438" s="27"/>
      <c r="W438" s="27"/>
      <c r="X438" s="9"/>
      <c r="Y438" s="27"/>
      <c r="Z438" s="9"/>
      <c r="AA438" s="9" t="s">
        <v>41</v>
      </c>
      <c r="AB438" s="6"/>
    </row>
    <row r="439" spans="1:28">
      <c r="A439" s="5">
        <f>IF(AA439="aktif",MAX($A$1:A438)+1,"")</f>
        <v>400</v>
      </c>
      <c r="B439" s="25"/>
      <c r="C439" s="15" t="s">
        <v>2022</v>
      </c>
      <c r="D439" s="139" t="s">
        <v>115</v>
      </c>
      <c r="E439" s="18" t="s">
        <v>786</v>
      </c>
      <c r="F439" s="13" t="s">
        <v>2152</v>
      </c>
      <c r="G439" s="13" t="s">
        <v>2152</v>
      </c>
      <c r="H439" s="16" t="s">
        <v>2017</v>
      </c>
      <c r="I439" s="18" t="s">
        <v>1508</v>
      </c>
      <c r="J439" s="5" t="s">
        <v>129</v>
      </c>
      <c r="K439" s="5"/>
      <c r="L439" s="26">
        <v>45966</v>
      </c>
      <c r="M439" s="26" t="str">
        <f ca="1">DATEDIF(L439,TODAY(),"Y") &amp;" tahun " &amp; DATEDIF(L439,TODAY(),"YM")&amp;" bulan"</f>
        <v>0 tahun 9 bulan</v>
      </c>
      <c r="N439" s="5" t="s">
        <v>55</v>
      </c>
      <c r="O439" s="26">
        <v>33239</v>
      </c>
      <c r="P439" s="26" t="str">
        <f ca="1">IF(O439="","",DATEDIF(O439,TODAY(),"Y")&amp;" tahun")</f>
        <v>35 tahun</v>
      </c>
      <c r="Q439" s="5" t="s">
        <v>32</v>
      </c>
      <c r="R439" s="9"/>
      <c r="S439" s="27" t="s">
        <v>2023</v>
      </c>
      <c r="T439" s="5" t="s">
        <v>2024</v>
      </c>
      <c r="U439" s="5" t="s">
        <v>2025</v>
      </c>
      <c r="V439" s="27" t="s">
        <v>2026</v>
      </c>
      <c r="W439" s="27" t="s">
        <v>2027</v>
      </c>
      <c r="X439" s="9"/>
      <c r="Y439" s="27"/>
      <c r="Z439" s="9"/>
      <c r="AA439" s="9" t="s">
        <v>41</v>
      </c>
      <c r="AB439" s="6"/>
    </row>
    <row r="440" spans="1:28">
      <c r="A440" s="5">
        <f>IF(AA440="aktif",MAX($A$1:A439)+1,"")</f>
        <v>401</v>
      </c>
      <c r="B440" s="25"/>
      <c r="C440" s="15" t="s">
        <v>2028</v>
      </c>
      <c r="D440" s="139" t="s">
        <v>115</v>
      </c>
      <c r="E440" s="18" t="s">
        <v>786</v>
      </c>
      <c r="F440" s="16" t="s">
        <v>2152</v>
      </c>
      <c r="G440" s="16" t="s">
        <v>2152</v>
      </c>
      <c r="H440" s="16" t="s">
        <v>2017</v>
      </c>
      <c r="I440" s="18" t="s">
        <v>1508</v>
      </c>
      <c r="J440" s="5" t="s">
        <v>129</v>
      </c>
      <c r="K440" s="5"/>
      <c r="L440" s="26">
        <v>45919</v>
      </c>
      <c r="M440" s="26" t="str">
        <f ca="1">DATEDIF(L440,TODAY(),"Y") &amp;" tahun " &amp; DATEDIF(L440,TODAY(),"YM")&amp;" bulan"</f>
        <v>0 tahun 10 bulan</v>
      </c>
      <c r="N440" s="5" t="s">
        <v>55</v>
      </c>
      <c r="O440" s="26">
        <v>39643</v>
      </c>
      <c r="P440" s="26" t="str">
        <f ca="1">IF(O440="","",DATEDIF(O440,TODAY(),"Y")&amp;" tahun")</f>
        <v>18 tahun</v>
      </c>
      <c r="Q440" s="5" t="s">
        <v>46</v>
      </c>
      <c r="R440" s="9"/>
      <c r="S440" s="27" t="s">
        <v>2029</v>
      </c>
      <c r="T440" s="5" t="s">
        <v>1977</v>
      </c>
      <c r="U440" s="5" t="s">
        <v>81</v>
      </c>
      <c r="V440" s="27" t="s">
        <v>2030</v>
      </c>
      <c r="W440" s="27" t="s">
        <v>2031</v>
      </c>
      <c r="X440" s="9"/>
      <c r="Y440" s="27"/>
      <c r="Z440" s="9"/>
      <c r="AA440" s="9" t="s">
        <v>41</v>
      </c>
      <c r="AB440" s="6"/>
    </row>
    <row r="441" spans="1:28">
      <c r="A441" s="5">
        <f>IF(AA441="aktif",MAX($A$1:A440)+1,"")</f>
        <v>402</v>
      </c>
      <c r="B441" s="25"/>
      <c r="C441" s="15" t="s">
        <v>2032</v>
      </c>
      <c r="D441" s="139" t="s">
        <v>115</v>
      </c>
      <c r="E441" s="18" t="s">
        <v>786</v>
      </c>
      <c r="F441" s="16" t="s">
        <v>2152</v>
      </c>
      <c r="G441" s="16" t="s">
        <v>2152</v>
      </c>
      <c r="H441" s="16" t="s">
        <v>2017</v>
      </c>
      <c r="I441" s="18" t="s">
        <v>1508</v>
      </c>
      <c r="J441" s="5" t="s">
        <v>129</v>
      </c>
      <c r="K441" s="5"/>
      <c r="L441" s="26">
        <v>45444</v>
      </c>
      <c r="M441" s="26" t="str">
        <f ca="1">IF(L441="","",DATEDIF(L441,TODAY(),"Y") &amp;" tahun " &amp; DATEDIF(L441,TODAY(),"YM")&amp;" bulan")</f>
        <v>2 tahun 2 bulan</v>
      </c>
      <c r="N441" s="5" t="s">
        <v>55</v>
      </c>
      <c r="O441" s="26">
        <v>35596</v>
      </c>
      <c r="P441" s="26" t="str">
        <f ca="1">IF(O441="","",DATEDIF(O441,TODAY(),"Y")&amp;" tahun")</f>
        <v>29 tahun</v>
      </c>
      <c r="Q441" s="5" t="s">
        <v>46</v>
      </c>
      <c r="R441" s="35">
        <v>2350000</v>
      </c>
      <c r="S441" s="25" t="s">
        <v>2033</v>
      </c>
      <c r="T441" s="5" t="s">
        <v>1977</v>
      </c>
      <c r="U441" s="5" t="s">
        <v>35</v>
      </c>
      <c r="V441" s="25" t="s">
        <v>2034</v>
      </c>
      <c r="W441" s="25" t="s">
        <v>2035</v>
      </c>
      <c r="X441" s="5"/>
      <c r="Y441" s="25"/>
      <c r="Z441" s="5"/>
      <c r="AA441" s="9" t="s">
        <v>41</v>
      </c>
      <c r="AB441" s="6"/>
    </row>
    <row r="442" spans="1:28">
      <c r="A442" s="5">
        <f>IF(AA442="aktif",MAX($A$1:A441)+1,"")</f>
        <v>403</v>
      </c>
      <c r="B442" s="25"/>
      <c r="C442" s="15" t="s">
        <v>2036</v>
      </c>
      <c r="D442" s="139" t="s">
        <v>115</v>
      </c>
      <c r="E442" s="18" t="s">
        <v>786</v>
      </c>
      <c r="F442" s="14" t="s">
        <v>2229</v>
      </c>
      <c r="G442" s="14" t="s">
        <v>2229</v>
      </c>
      <c r="H442" s="16" t="s">
        <v>2017</v>
      </c>
      <c r="I442" s="18" t="s">
        <v>1508</v>
      </c>
      <c r="J442" s="5" t="s">
        <v>129</v>
      </c>
      <c r="K442" s="5"/>
      <c r="L442" s="26">
        <v>45938</v>
      </c>
      <c r="M442" s="26" t="str">
        <f ca="1">DATEDIF(L442,TODAY(),"Y") &amp;" tahun " &amp; DATEDIF(L442,TODAY(),"YM")&amp;" bulan"</f>
        <v>0 tahun 10 bulan</v>
      </c>
      <c r="N442" s="5" t="s">
        <v>55</v>
      </c>
      <c r="O442" s="26">
        <v>37676</v>
      </c>
      <c r="P442" s="26" t="str">
        <f ca="1">IF(O442="","",DATEDIF(O442,TODAY(),"Y")&amp;" tahun")</f>
        <v>23 tahun</v>
      </c>
      <c r="Q442" s="5" t="s">
        <v>46</v>
      </c>
      <c r="R442" s="9"/>
      <c r="S442" s="27" t="s">
        <v>2037</v>
      </c>
      <c r="T442" s="5" t="s">
        <v>2038</v>
      </c>
      <c r="U442" s="5" t="s">
        <v>81</v>
      </c>
      <c r="V442" s="27" t="s">
        <v>2039</v>
      </c>
      <c r="W442" s="27" t="s">
        <v>2040</v>
      </c>
      <c r="X442" s="9"/>
      <c r="Y442" s="27"/>
      <c r="Z442" s="9"/>
      <c r="AA442" s="9" t="s">
        <v>41</v>
      </c>
      <c r="AB442" s="6"/>
    </row>
    <row r="443" spans="1:28">
      <c r="A443" s="5">
        <f>IF(AA443="aktif",MAX($A$1:A442)+1,"")</f>
        <v>404</v>
      </c>
      <c r="B443" s="25"/>
      <c r="C443" s="15" t="s">
        <v>2041</v>
      </c>
      <c r="D443" s="139" t="s">
        <v>115</v>
      </c>
      <c r="E443" s="18" t="s">
        <v>786</v>
      </c>
      <c r="F443" s="5" t="s">
        <v>2229</v>
      </c>
      <c r="G443" s="5" t="s">
        <v>2229</v>
      </c>
      <c r="H443" s="16" t="s">
        <v>2017</v>
      </c>
      <c r="I443" s="18" t="s">
        <v>1508</v>
      </c>
      <c r="J443" s="5" t="s">
        <v>129</v>
      </c>
      <c r="K443" s="5"/>
      <c r="L443" s="26"/>
      <c r="M443" s="26"/>
      <c r="N443" s="5" t="s">
        <v>55</v>
      </c>
      <c r="O443" s="26"/>
      <c r="P443" s="26"/>
      <c r="Q443" s="5"/>
      <c r="R443" s="9"/>
      <c r="S443" s="27"/>
      <c r="V443" s="27"/>
      <c r="W443" s="27"/>
      <c r="X443" s="9"/>
      <c r="Y443" s="27"/>
      <c r="Z443" s="9"/>
      <c r="AA443" s="9" t="s">
        <v>41</v>
      </c>
      <c r="AB443" s="6"/>
    </row>
    <row r="444" spans="1:28">
      <c r="A444" s="5">
        <f>IF(AA444="aktif",MAX($A$1:A443)+1,"")</f>
        <v>405</v>
      </c>
      <c r="B444" s="25"/>
      <c r="C444" s="15" t="s">
        <v>2042</v>
      </c>
      <c r="D444" s="139" t="s">
        <v>115</v>
      </c>
      <c r="E444" s="18" t="s">
        <v>786</v>
      </c>
      <c r="F444" s="5" t="s">
        <v>2229</v>
      </c>
      <c r="G444" s="5" t="s">
        <v>2229</v>
      </c>
      <c r="H444" s="16" t="s">
        <v>2017</v>
      </c>
      <c r="I444" s="18" t="s">
        <v>1539</v>
      </c>
      <c r="J444" s="5" t="s">
        <v>129</v>
      </c>
      <c r="K444" s="5"/>
      <c r="L444" s="26"/>
      <c r="M444" s="26"/>
      <c r="N444" s="5" t="s">
        <v>55</v>
      </c>
      <c r="O444" s="26"/>
      <c r="P444" s="26"/>
      <c r="Q444" s="5"/>
      <c r="R444" s="9"/>
      <c r="S444" s="27"/>
      <c r="V444" s="27"/>
      <c r="W444" s="27"/>
      <c r="X444" s="9"/>
      <c r="Y444" s="27"/>
      <c r="Z444" s="9"/>
      <c r="AA444" s="9" t="s">
        <v>41</v>
      </c>
      <c r="AB444" s="6"/>
    </row>
    <row r="445" spans="1:28">
      <c r="A445" s="5">
        <f>IF(AA445="aktif",MAX($A$1:A444)+1,"")</f>
        <v>406</v>
      </c>
      <c r="B445" s="25"/>
      <c r="C445" s="15" t="s">
        <v>2043</v>
      </c>
      <c r="D445" s="139" t="s">
        <v>115</v>
      </c>
      <c r="E445" s="18" t="s">
        <v>786</v>
      </c>
      <c r="F445" s="5"/>
      <c r="G445" s="5"/>
      <c r="H445" s="16" t="s">
        <v>2017</v>
      </c>
      <c r="I445" s="18" t="s">
        <v>1539</v>
      </c>
      <c r="J445" s="5" t="s">
        <v>129</v>
      </c>
      <c r="K445" s="5"/>
      <c r="L445" s="26"/>
      <c r="M445" s="26"/>
      <c r="N445" s="5" t="s">
        <v>55</v>
      </c>
      <c r="O445" s="26"/>
      <c r="P445" s="26"/>
      <c r="Q445" s="5"/>
      <c r="R445" s="9"/>
      <c r="S445" s="27"/>
      <c r="V445" s="27"/>
      <c r="W445" s="27"/>
      <c r="X445" s="9"/>
      <c r="Y445" s="27"/>
      <c r="Z445" s="9"/>
      <c r="AA445" s="9" t="s">
        <v>41</v>
      </c>
      <c r="AB445" s="6"/>
    </row>
    <row r="446" spans="1:28">
      <c r="A446" s="5">
        <f>IF(AA446="aktif",MAX($A$1:A445)+1,"")</f>
        <v>407</v>
      </c>
      <c r="B446" s="25"/>
      <c r="C446" s="15" t="s">
        <v>2044</v>
      </c>
      <c r="D446" s="139" t="s">
        <v>115</v>
      </c>
      <c r="E446" s="18" t="s">
        <v>786</v>
      </c>
      <c r="F446" s="5"/>
      <c r="G446" s="5"/>
      <c r="H446" s="16" t="s">
        <v>2017</v>
      </c>
      <c r="I446" s="18" t="s">
        <v>1539</v>
      </c>
      <c r="J446" s="5" t="s">
        <v>129</v>
      </c>
      <c r="K446" s="5"/>
      <c r="L446" s="26"/>
      <c r="M446" s="26"/>
      <c r="N446" s="5" t="s">
        <v>55</v>
      </c>
      <c r="O446" s="26"/>
      <c r="P446" s="26"/>
      <c r="Q446" s="5"/>
      <c r="R446" s="9"/>
      <c r="S446" s="27"/>
      <c r="V446" s="27"/>
      <c r="W446" s="27"/>
      <c r="X446" s="9"/>
      <c r="Y446" s="27"/>
      <c r="Z446" s="9"/>
      <c r="AA446" s="9" t="s">
        <v>41</v>
      </c>
      <c r="AB446" s="6"/>
    </row>
    <row r="447" spans="1:28">
      <c r="A447" s="5">
        <f>IF(AA447="aktif",MAX($A$1:A446)+1,"")</f>
        <v>408</v>
      </c>
      <c r="B447" s="25"/>
      <c r="C447" s="147" t="s">
        <v>2045</v>
      </c>
      <c r="D447" s="139" t="s">
        <v>115</v>
      </c>
      <c r="E447" s="18" t="s">
        <v>786</v>
      </c>
      <c r="F447" s="5"/>
      <c r="G447" s="5"/>
      <c r="H447" s="16" t="s">
        <v>2017</v>
      </c>
      <c r="I447" s="18" t="s">
        <v>1539</v>
      </c>
      <c r="J447" s="5" t="s">
        <v>129</v>
      </c>
      <c r="K447" s="5"/>
      <c r="L447" s="26"/>
      <c r="M447" s="26"/>
      <c r="N447" s="5" t="s">
        <v>55</v>
      </c>
      <c r="O447" s="26"/>
      <c r="P447" s="26"/>
      <c r="Q447" s="5"/>
      <c r="R447" s="9"/>
      <c r="S447" s="27"/>
      <c r="V447" s="27"/>
      <c r="W447" s="27"/>
      <c r="X447" s="9"/>
      <c r="Y447" s="27"/>
      <c r="Z447" s="9"/>
      <c r="AA447" s="9" t="s">
        <v>41</v>
      </c>
      <c r="AB447" s="6"/>
    </row>
    <row r="448" spans="1:28">
      <c r="A448" s="5">
        <f>IF(AA448="aktif",MAX($A$1:A447)+1,"")</f>
        <v>409</v>
      </c>
      <c r="B448" s="47"/>
      <c r="C448" s="142" t="s">
        <v>2046</v>
      </c>
      <c r="D448" s="139" t="s">
        <v>115</v>
      </c>
      <c r="E448" s="124" t="s">
        <v>786</v>
      </c>
      <c r="F448" s="5"/>
      <c r="G448" s="5"/>
      <c r="H448" s="16" t="s">
        <v>1493</v>
      </c>
      <c r="I448" s="124" t="s">
        <v>1482</v>
      </c>
      <c r="J448" s="13" t="s">
        <v>129</v>
      </c>
      <c r="K448" s="13"/>
      <c r="L448" s="36">
        <v>45966</v>
      </c>
      <c r="M448" s="36" t="str">
        <f t="shared" ref="M448" ca="1" si="40">DATEDIF(L448,TODAY(),"Y") &amp;" tahun " &amp; DATEDIF(L448,TODAY(),"YM")&amp;" bulan"</f>
        <v>0 tahun 9 bulan</v>
      </c>
      <c r="N448" s="13" t="s">
        <v>31</v>
      </c>
      <c r="O448" s="36">
        <v>38839</v>
      </c>
      <c r="P448" s="36" t="str">
        <f ca="1">IF(O448="","",DATEDIF(O448,TODAY(),"Y")&amp;" tahun")</f>
        <v>20 tahun</v>
      </c>
      <c r="Q448" s="13" t="s">
        <v>46</v>
      </c>
      <c r="R448" s="50"/>
      <c r="S448" s="61" t="s">
        <v>2047</v>
      </c>
      <c r="T448" s="13" t="s">
        <v>2048</v>
      </c>
      <c r="U448" s="13" t="s">
        <v>81</v>
      </c>
      <c r="V448" s="61" t="s">
        <v>2049</v>
      </c>
      <c r="W448" s="61" t="s">
        <v>2050</v>
      </c>
      <c r="X448" s="50"/>
      <c r="Y448" s="61"/>
      <c r="Z448" s="50"/>
      <c r="AA448" s="50" t="s">
        <v>41</v>
      </c>
      <c r="AB448" s="21"/>
    </row>
    <row r="449" spans="1:28" s="70" customFormat="1" ht="15.75">
      <c r="A449" s="5">
        <f>IF(AA449="aktif",MAX($A$1:A448)+1,"")</f>
        <v>410</v>
      </c>
      <c r="B449" s="68"/>
      <c r="C449" s="150" t="s">
        <v>2051</v>
      </c>
      <c r="D449" s="139" t="s">
        <v>115</v>
      </c>
      <c r="E449" s="125" t="s">
        <v>786</v>
      </c>
      <c r="F449" s="5"/>
      <c r="G449" s="5"/>
      <c r="H449" s="16" t="s">
        <v>1493</v>
      </c>
      <c r="I449" s="127" t="s">
        <v>1539</v>
      </c>
      <c r="J449" s="16" t="s">
        <v>129</v>
      </c>
      <c r="K449" s="16"/>
      <c r="L449" s="69">
        <v>45874</v>
      </c>
      <c r="M449" s="72" t="s">
        <v>2052</v>
      </c>
      <c r="N449" s="16" t="s">
        <v>31</v>
      </c>
      <c r="O449" s="69">
        <v>38791</v>
      </c>
      <c r="P449" s="72" t="s">
        <v>469</v>
      </c>
      <c r="Q449" s="72" t="s">
        <v>46</v>
      </c>
      <c r="R449" s="72"/>
      <c r="S449" s="73" t="s">
        <v>2053</v>
      </c>
      <c r="T449" s="72" t="s">
        <v>2054</v>
      </c>
      <c r="U449" s="72" t="s">
        <v>81</v>
      </c>
      <c r="V449" s="72"/>
      <c r="W449" s="72"/>
      <c r="X449" s="67"/>
      <c r="Y449" s="68"/>
      <c r="Z449" s="67"/>
      <c r="AA449" s="50" t="s">
        <v>41</v>
      </c>
    </row>
    <row r="450" spans="1:28" s="71" customFormat="1" ht="15.75">
      <c r="A450" s="5">
        <f>IF(AA450="aktif",MAX($A$1:A449)+1,"")</f>
        <v>411</v>
      </c>
      <c r="B450" s="68"/>
      <c r="C450" s="143" t="s">
        <v>2055</v>
      </c>
      <c r="D450" s="139" t="s">
        <v>115</v>
      </c>
      <c r="E450" s="125" t="s">
        <v>786</v>
      </c>
      <c r="F450" s="5"/>
      <c r="H450" s="16" t="s">
        <v>1493</v>
      </c>
      <c r="I450" s="127" t="s">
        <v>1508</v>
      </c>
      <c r="J450" s="74" t="s">
        <v>129</v>
      </c>
      <c r="K450" s="74"/>
      <c r="L450" s="75">
        <v>45938</v>
      </c>
      <c r="M450" s="74" t="s">
        <v>2056</v>
      </c>
      <c r="N450" s="74" t="s">
        <v>31</v>
      </c>
      <c r="O450" s="75">
        <v>38913</v>
      </c>
      <c r="P450" s="74" t="s">
        <v>469</v>
      </c>
      <c r="Q450" s="74" t="s">
        <v>46</v>
      </c>
      <c r="R450" s="74"/>
      <c r="S450" s="76" t="s">
        <v>2057</v>
      </c>
      <c r="T450" s="74" t="s">
        <v>2058</v>
      </c>
      <c r="U450" s="74" t="s">
        <v>81</v>
      </c>
      <c r="V450" s="74">
        <v>85785232096</v>
      </c>
      <c r="W450" s="74">
        <v>83831263322</v>
      </c>
      <c r="X450" s="67"/>
      <c r="Y450" s="68"/>
      <c r="Z450" s="67"/>
      <c r="AA450" s="50" t="s">
        <v>41</v>
      </c>
    </row>
    <row r="451" spans="1:28">
      <c r="A451" s="5">
        <f>IF(AA451="aktif",MAX($A$1:A450)+1,"")</f>
        <v>412</v>
      </c>
      <c r="B451" s="62"/>
      <c r="C451" s="146" t="s">
        <v>1433</v>
      </c>
      <c r="D451" s="140" t="s">
        <v>78</v>
      </c>
      <c r="E451" s="126" t="s">
        <v>786</v>
      </c>
      <c r="F451" s="5" t="s">
        <v>639</v>
      </c>
      <c r="G451" s="14" t="s">
        <v>2229</v>
      </c>
      <c r="H451" s="16" t="s">
        <v>1434</v>
      </c>
      <c r="I451" s="126"/>
      <c r="J451" s="14" t="s">
        <v>71</v>
      </c>
      <c r="K451" s="14"/>
      <c r="L451" s="38">
        <v>45901</v>
      </c>
      <c r="M451" s="38" t="str">
        <f t="shared" ref="M451" ca="1" si="41">DATEDIF(L451,TODAY(),"Y") &amp;" tahun " &amp; DATEDIF(L451,TODAY(),"YM")&amp;" bulan"</f>
        <v>0 tahun 11 bulan</v>
      </c>
      <c r="N451" s="14" t="s">
        <v>31</v>
      </c>
      <c r="O451" s="38">
        <v>37142</v>
      </c>
      <c r="P451" s="38" t="str">
        <f t="shared" ref="P451" ca="1" si="42">IF(O451="","",DATEDIF(O451,TODAY(),"Y")&amp;" tahun")</f>
        <v>24 tahun</v>
      </c>
      <c r="Q451" s="14" t="s">
        <v>72</v>
      </c>
      <c r="R451" s="63"/>
      <c r="S451" s="64" t="s">
        <v>1435</v>
      </c>
      <c r="T451" s="14" t="s">
        <v>1436</v>
      </c>
      <c r="U451" s="14" t="s">
        <v>81</v>
      </c>
      <c r="V451" s="64" t="s">
        <v>1437</v>
      </c>
      <c r="W451" s="64" t="s">
        <v>1438</v>
      </c>
      <c r="X451" s="63"/>
      <c r="Y451" s="64"/>
      <c r="Z451" s="63"/>
      <c r="AA451" s="63" t="s">
        <v>41</v>
      </c>
      <c r="AB451" s="65"/>
    </row>
    <row r="452" spans="1:28">
      <c r="A452" s="5">
        <f>IF(AA452="aktif",MAX($A$1:A451)+1,"")</f>
        <v>413</v>
      </c>
      <c r="B452" s="25"/>
      <c r="C452" s="15" t="s">
        <v>1439</v>
      </c>
      <c r="D452" s="140" t="s">
        <v>78</v>
      </c>
      <c r="E452" s="18" t="s">
        <v>786</v>
      </c>
      <c r="F452" s="5" t="s">
        <v>639</v>
      </c>
      <c r="G452" s="5" t="s">
        <v>2229</v>
      </c>
      <c r="H452" s="16" t="s">
        <v>1434</v>
      </c>
      <c r="I452" s="18"/>
      <c r="J452" s="5" t="s">
        <v>71</v>
      </c>
      <c r="K452" s="5"/>
      <c r="L452" s="26"/>
      <c r="M452" s="26"/>
      <c r="N452" s="14" t="s">
        <v>31</v>
      </c>
      <c r="O452" s="26"/>
      <c r="P452" s="26"/>
      <c r="Q452" s="5"/>
      <c r="R452" s="9"/>
      <c r="S452" s="27"/>
      <c r="V452" s="27"/>
      <c r="W452" s="27"/>
      <c r="X452" s="9"/>
      <c r="Y452" s="27"/>
      <c r="Z452" s="9"/>
      <c r="AA452" s="9" t="s">
        <v>41</v>
      </c>
      <c r="AB452" s="6"/>
    </row>
    <row r="453" spans="1:28">
      <c r="A453" s="5">
        <f>IF(AA453="aktif",MAX($A$1:A452)+1,"")</f>
        <v>414</v>
      </c>
      <c r="B453" s="25"/>
      <c r="C453" s="15" t="s">
        <v>1440</v>
      </c>
      <c r="D453" s="140" t="s">
        <v>78</v>
      </c>
      <c r="E453" s="18" t="s">
        <v>786</v>
      </c>
      <c r="F453" s="5" t="s">
        <v>639</v>
      </c>
      <c r="G453" s="13" t="s">
        <v>2229</v>
      </c>
      <c r="H453" s="16" t="s">
        <v>1434</v>
      </c>
      <c r="I453" s="18"/>
      <c r="J453" s="5" t="s">
        <v>71</v>
      </c>
      <c r="K453" s="5"/>
      <c r="L453" s="26"/>
      <c r="M453" s="26"/>
      <c r="N453" s="14" t="s">
        <v>31</v>
      </c>
      <c r="O453" s="26"/>
      <c r="P453" s="26"/>
      <c r="Q453" s="5"/>
      <c r="R453" s="9"/>
      <c r="S453" s="27"/>
      <c r="V453" s="27"/>
      <c r="W453" s="27"/>
      <c r="X453" s="9"/>
      <c r="Y453" s="27"/>
      <c r="Z453" s="9"/>
      <c r="AA453" s="9" t="s">
        <v>41</v>
      </c>
      <c r="AB453" s="6"/>
    </row>
    <row r="454" spans="1:28">
      <c r="A454" s="5">
        <f>IF(AA454="aktif",MAX($A$1:A453)+1,"")</f>
        <v>415</v>
      </c>
      <c r="B454" s="25"/>
      <c r="C454" s="15" t="s">
        <v>2064</v>
      </c>
      <c r="D454" s="140" t="s">
        <v>391</v>
      </c>
      <c r="E454" s="12" t="s">
        <v>2065</v>
      </c>
      <c r="F454" s="15" t="s">
        <v>639</v>
      </c>
      <c r="G454" s="60"/>
      <c r="H454" s="111"/>
      <c r="I454" s="128"/>
      <c r="J454" s="5" t="s">
        <v>45</v>
      </c>
      <c r="K454" s="5"/>
      <c r="L454" s="26">
        <v>45659</v>
      </c>
      <c r="M454" s="26" t="str">
        <f t="shared" ref="M454:M465" ca="1" si="43">IF(L454="","",DATEDIF(L454,TODAY(),"Y") &amp;" tahun " &amp; DATEDIF(L454,TODAY(),"YM")&amp;" bulan")</f>
        <v>1 tahun 7 bulan</v>
      </c>
      <c r="N454" s="5" t="s">
        <v>31</v>
      </c>
      <c r="O454" s="26"/>
      <c r="P454" s="26" t="str">
        <f t="shared" ref="P454:P484" ca="1" si="44">IF(O454="","",DATEDIF(O454,TODAY(),"Y")&amp;" tahun")</f>
        <v/>
      </c>
      <c r="Q454" s="5" t="s">
        <v>72</v>
      </c>
      <c r="R454" s="11"/>
      <c r="S454" s="11"/>
      <c r="U454" s="5" t="s">
        <v>81</v>
      </c>
      <c r="V454" s="11"/>
      <c r="W454" s="11"/>
      <c r="X454" s="11"/>
      <c r="Y454" s="46"/>
      <c r="Z454" s="46"/>
      <c r="AA454" s="9" t="s">
        <v>41</v>
      </c>
      <c r="AB454" s="46"/>
    </row>
    <row r="455" spans="1:28">
      <c r="A455" s="5">
        <f>IF(AA455="aktif",MAX($A$1:A454)+1,"")</f>
        <v>416</v>
      </c>
      <c r="B455" s="25"/>
      <c r="C455" s="15" t="s">
        <v>2070</v>
      </c>
      <c r="D455" s="140" t="s">
        <v>54</v>
      </c>
      <c r="E455" s="12" t="s">
        <v>2065</v>
      </c>
      <c r="F455" s="15" t="s">
        <v>639</v>
      </c>
      <c r="G455" s="60"/>
      <c r="H455" s="111"/>
      <c r="I455" s="128"/>
      <c r="J455" s="5" t="s">
        <v>45</v>
      </c>
      <c r="K455" s="5"/>
      <c r="L455" s="26">
        <v>45754</v>
      </c>
      <c r="M455" s="26" t="str">
        <f t="shared" ca="1" si="43"/>
        <v>1 tahun 4 bulan</v>
      </c>
      <c r="N455" s="5" t="s">
        <v>55</v>
      </c>
      <c r="O455" s="26"/>
      <c r="P455" s="26" t="str">
        <f t="shared" ca="1" si="44"/>
        <v/>
      </c>
      <c r="Q455" s="5" t="s">
        <v>72</v>
      </c>
      <c r="R455" s="11"/>
      <c r="S455" s="11"/>
      <c r="U455" s="5" t="s">
        <v>81</v>
      </c>
      <c r="V455" s="11"/>
      <c r="W455" s="11"/>
      <c r="X455" s="11"/>
      <c r="Y455" s="46"/>
      <c r="Z455" s="46"/>
      <c r="AA455" s="9" t="s">
        <v>41</v>
      </c>
      <c r="AB455" s="46" t="s">
        <v>2071</v>
      </c>
    </row>
    <row r="456" spans="1:28">
      <c r="A456" s="5">
        <f>IF(AA456="aktif",MAX($A$1:A455)+1,"")</f>
        <v>417</v>
      </c>
      <c r="B456" s="25"/>
      <c r="C456" s="15" t="s">
        <v>2072</v>
      </c>
      <c r="D456" s="140" t="s">
        <v>54</v>
      </c>
      <c r="E456" s="12" t="s">
        <v>2065</v>
      </c>
      <c r="F456" s="15" t="s">
        <v>639</v>
      </c>
      <c r="G456" s="60"/>
      <c r="H456" s="111"/>
      <c r="I456" s="128"/>
      <c r="J456" s="5" t="s">
        <v>45</v>
      </c>
      <c r="K456" s="5"/>
      <c r="L456" s="26">
        <v>45754</v>
      </c>
      <c r="M456" s="26" t="str">
        <f t="shared" ca="1" si="43"/>
        <v>1 tahun 4 bulan</v>
      </c>
      <c r="N456" s="5" t="s">
        <v>55</v>
      </c>
      <c r="O456" s="26"/>
      <c r="P456" s="26" t="str">
        <f t="shared" ca="1" si="44"/>
        <v/>
      </c>
      <c r="Q456" s="5" t="s">
        <v>72</v>
      </c>
      <c r="R456" s="11"/>
      <c r="S456" s="11"/>
      <c r="U456" s="5" t="s">
        <v>81</v>
      </c>
      <c r="V456" s="11"/>
      <c r="W456" s="11"/>
      <c r="X456" s="11"/>
      <c r="Y456" s="46"/>
      <c r="Z456" s="46"/>
      <c r="AA456" s="9" t="s">
        <v>41</v>
      </c>
      <c r="AB456" s="46" t="s">
        <v>2073</v>
      </c>
    </row>
    <row r="457" spans="1:28" hidden="1">
      <c r="A457" s="5" t="str">
        <f>IF(AA457="aktif",MAX($A$1:A456)+1,"")</f>
        <v/>
      </c>
      <c r="B457" s="25"/>
      <c r="C457" s="15" t="s">
        <v>2074</v>
      </c>
      <c r="D457" s="140" t="s">
        <v>54</v>
      </c>
      <c r="E457" s="12" t="s">
        <v>2065</v>
      </c>
      <c r="F457" s="15" t="s">
        <v>639</v>
      </c>
      <c r="G457" s="60"/>
      <c r="H457" s="111"/>
      <c r="I457" s="128"/>
      <c r="J457" s="5" t="s">
        <v>45</v>
      </c>
      <c r="K457" s="5"/>
      <c r="L457" s="26">
        <v>45805</v>
      </c>
      <c r="M457" s="26" t="str">
        <f t="shared" ca="1" si="43"/>
        <v>1 tahun 2 bulan</v>
      </c>
      <c r="N457" s="5" t="s">
        <v>31</v>
      </c>
      <c r="O457" s="26"/>
      <c r="P457" s="26" t="str">
        <f t="shared" ca="1" si="44"/>
        <v/>
      </c>
      <c r="Q457" s="5" t="s">
        <v>2060</v>
      </c>
      <c r="R457" s="11"/>
      <c r="S457" s="11"/>
      <c r="U457" s="5" t="s">
        <v>81</v>
      </c>
      <c r="V457" s="11"/>
      <c r="W457" s="11"/>
      <c r="X457" s="11"/>
      <c r="Y457" s="46"/>
      <c r="Z457" s="46"/>
      <c r="AA457" s="9" t="s">
        <v>372</v>
      </c>
      <c r="AB457" s="46" t="s">
        <v>2075</v>
      </c>
    </row>
    <row r="458" spans="1:28">
      <c r="A458" s="5">
        <f>IF(AA458="aktif",MAX($A$1:A457)+1,"")</f>
        <v>418</v>
      </c>
      <c r="B458" s="25" t="s">
        <v>2078</v>
      </c>
      <c r="C458" s="15" t="s">
        <v>2079</v>
      </c>
      <c r="D458" s="140" t="s">
        <v>63</v>
      </c>
      <c r="E458" s="12" t="s">
        <v>2065</v>
      </c>
      <c r="F458" s="15" t="s">
        <v>639</v>
      </c>
      <c r="G458" s="60"/>
      <c r="H458" s="22"/>
      <c r="I458" s="18"/>
      <c r="J458" s="5" t="s">
        <v>45</v>
      </c>
      <c r="K458" s="5"/>
      <c r="L458" s="26">
        <v>43221</v>
      </c>
      <c r="M458" s="26" t="str">
        <f t="shared" ca="1" si="43"/>
        <v>8 tahun 3 bulan</v>
      </c>
      <c r="N458" s="5" t="s">
        <v>55</v>
      </c>
      <c r="O458" s="26">
        <v>33463</v>
      </c>
      <c r="P458" s="26" t="str">
        <f t="shared" ca="1" si="44"/>
        <v>34 tahun</v>
      </c>
      <c r="Q458" s="5" t="s">
        <v>72</v>
      </c>
      <c r="R458" s="28">
        <v>4856026</v>
      </c>
      <c r="S458" s="25" t="s">
        <v>2080</v>
      </c>
      <c r="T458" s="5" t="s">
        <v>2081</v>
      </c>
      <c r="U458" s="5" t="s">
        <v>35</v>
      </c>
      <c r="V458" s="25" t="s">
        <v>2082</v>
      </c>
      <c r="W458" s="25" t="s">
        <v>2083</v>
      </c>
      <c r="X458" s="5"/>
      <c r="Y458" s="25" t="s">
        <v>2084</v>
      </c>
      <c r="Z458" s="5">
        <v>20068349677</v>
      </c>
      <c r="AA458" s="9" t="s">
        <v>41</v>
      </c>
      <c r="AB458" s="6"/>
    </row>
    <row r="459" spans="1:28">
      <c r="A459" s="5">
        <f>IF(AA459="aktif",MAX($A$1:A458)+1,"")</f>
        <v>419</v>
      </c>
      <c r="B459" s="25"/>
      <c r="C459" s="15" t="s">
        <v>2076</v>
      </c>
      <c r="D459" s="140" t="s">
        <v>54</v>
      </c>
      <c r="E459" s="12" t="s">
        <v>2065</v>
      </c>
      <c r="F459" s="15" t="s">
        <v>639</v>
      </c>
      <c r="G459" s="60"/>
      <c r="H459" s="111"/>
      <c r="I459" s="128"/>
      <c r="J459" s="5" t="s">
        <v>45</v>
      </c>
      <c r="K459" s="5"/>
      <c r="L459" s="26">
        <v>45754</v>
      </c>
      <c r="M459" s="26" t="str">
        <f t="shared" ca="1" si="43"/>
        <v>1 tahun 4 bulan</v>
      </c>
      <c r="N459" s="5" t="s">
        <v>31</v>
      </c>
      <c r="O459" s="26"/>
      <c r="P459" s="26" t="str">
        <f t="shared" ca="1" si="44"/>
        <v/>
      </c>
      <c r="Q459" s="5" t="s">
        <v>72</v>
      </c>
      <c r="R459" s="11"/>
      <c r="S459" s="11"/>
      <c r="U459" s="5" t="s">
        <v>81</v>
      </c>
      <c r="V459" s="11"/>
      <c r="W459" s="11"/>
      <c r="X459" s="11"/>
      <c r="Y459" s="46"/>
      <c r="Z459" s="46"/>
      <c r="AA459" s="9" t="s">
        <v>41</v>
      </c>
      <c r="AB459" s="46" t="s">
        <v>2077</v>
      </c>
    </row>
    <row r="460" spans="1:28">
      <c r="A460" s="5">
        <f>IF(AA460="aktif",MAX($A$1:A459)+1,"")</f>
        <v>420</v>
      </c>
      <c r="B460" s="25"/>
      <c r="C460" s="15" t="s">
        <v>2085</v>
      </c>
      <c r="D460" s="140" t="s">
        <v>814</v>
      </c>
      <c r="E460" s="12" t="s">
        <v>2065</v>
      </c>
      <c r="F460" s="15" t="s">
        <v>639</v>
      </c>
      <c r="G460" s="16" t="s">
        <v>639</v>
      </c>
      <c r="I460" s="116"/>
      <c r="J460" s="5" t="s">
        <v>45</v>
      </c>
      <c r="K460" s="5"/>
      <c r="L460" s="26">
        <v>45894</v>
      </c>
      <c r="M460" s="26" t="str">
        <f t="shared" ca="1" si="43"/>
        <v>0 tahun 11 bulan</v>
      </c>
      <c r="N460" s="5" t="s">
        <v>31</v>
      </c>
      <c r="O460" s="26">
        <v>37592</v>
      </c>
      <c r="P460" s="26" t="str">
        <f t="shared" ca="1" si="44"/>
        <v>23 tahun</v>
      </c>
      <c r="Q460" s="5" t="s">
        <v>2060</v>
      </c>
      <c r="R460" s="6"/>
      <c r="S460" s="3" t="s">
        <v>2086</v>
      </c>
      <c r="T460" s="5" t="s">
        <v>2087</v>
      </c>
      <c r="U460" s="5" t="s">
        <v>81</v>
      </c>
      <c r="V460" s="30" t="s">
        <v>2088</v>
      </c>
      <c r="W460" s="30" t="s">
        <v>2089</v>
      </c>
      <c r="X460" s="6"/>
      <c r="Y460" s="6"/>
      <c r="Z460" s="6"/>
      <c r="AA460" s="9" t="s">
        <v>41</v>
      </c>
      <c r="AB460" s="6"/>
    </row>
    <row r="461" spans="1:28">
      <c r="A461" s="5">
        <f>IF(AA461="aktif",MAX($A$1:A460)+1,"")</f>
        <v>421</v>
      </c>
      <c r="B461" s="25" t="s">
        <v>2090</v>
      </c>
      <c r="C461" s="15" t="s">
        <v>2091</v>
      </c>
      <c r="D461" s="140" t="s">
        <v>814</v>
      </c>
      <c r="E461" s="12" t="s">
        <v>2065</v>
      </c>
      <c r="F461" s="5" t="s">
        <v>639</v>
      </c>
      <c r="G461" s="14" t="s">
        <v>639</v>
      </c>
      <c r="H461" s="22"/>
      <c r="I461" s="18"/>
      <c r="J461" s="5" t="s">
        <v>45</v>
      </c>
      <c r="K461" s="5"/>
      <c r="L461" s="26">
        <v>43652</v>
      </c>
      <c r="M461" s="26" t="str">
        <f t="shared" ca="1" si="43"/>
        <v>7 tahun 1 bulan</v>
      </c>
      <c r="N461" s="5" t="s">
        <v>55</v>
      </c>
      <c r="O461" s="26">
        <v>35624</v>
      </c>
      <c r="P461" s="26" t="str">
        <f t="shared" ca="1" si="44"/>
        <v>29 tahun</v>
      </c>
      <c r="Q461" s="5" t="s">
        <v>46</v>
      </c>
      <c r="R461" s="35">
        <v>4856026</v>
      </c>
      <c r="S461" s="25" t="s">
        <v>2092</v>
      </c>
      <c r="T461" s="5" t="s">
        <v>2093</v>
      </c>
      <c r="U461" s="5" t="s">
        <v>165</v>
      </c>
      <c r="V461" s="25" t="s">
        <v>2094</v>
      </c>
      <c r="W461" s="25" t="s">
        <v>2095</v>
      </c>
      <c r="X461" s="5"/>
      <c r="Y461" s="25" t="s">
        <v>2096</v>
      </c>
      <c r="Z461" s="5">
        <v>20068349545</v>
      </c>
      <c r="AA461" s="9" t="s">
        <v>41</v>
      </c>
      <c r="AB461" s="6"/>
    </row>
    <row r="462" spans="1:28">
      <c r="A462" s="5">
        <f>IF(AA462="aktif",MAX($A$1:A461)+1,"")</f>
        <v>422</v>
      </c>
      <c r="B462" s="25" t="s">
        <v>2097</v>
      </c>
      <c r="C462" s="15" t="s">
        <v>2098</v>
      </c>
      <c r="D462" s="140" t="s">
        <v>814</v>
      </c>
      <c r="E462" s="12" t="s">
        <v>2065</v>
      </c>
      <c r="F462" s="5" t="s">
        <v>602</v>
      </c>
      <c r="G462" s="5" t="s">
        <v>639</v>
      </c>
      <c r="H462" s="22"/>
      <c r="I462" s="18"/>
      <c r="J462" s="5" t="s">
        <v>45</v>
      </c>
      <c r="K462" s="5"/>
      <c r="L462" s="26">
        <v>45176</v>
      </c>
      <c r="M462" s="26" t="str">
        <f t="shared" ca="1" si="43"/>
        <v>2 tahun 11 bulan</v>
      </c>
      <c r="N462" s="5" t="s">
        <v>55</v>
      </c>
      <c r="O462" s="26">
        <v>35916</v>
      </c>
      <c r="P462" s="26" t="str">
        <f t="shared" ca="1" si="44"/>
        <v>28 tahun</v>
      </c>
      <c r="Q462" s="5" t="s">
        <v>46</v>
      </c>
      <c r="R462" s="28">
        <v>4856026</v>
      </c>
      <c r="S462" s="25" t="s">
        <v>2099</v>
      </c>
      <c r="T462" s="5" t="s">
        <v>2100</v>
      </c>
      <c r="U462" s="5" t="s">
        <v>35</v>
      </c>
      <c r="V462" s="25" t="s">
        <v>2101</v>
      </c>
      <c r="W462" s="25" t="s">
        <v>2102</v>
      </c>
      <c r="X462" s="5"/>
      <c r="Y462" s="25"/>
      <c r="Z462" s="5"/>
      <c r="AA462" s="9" t="s">
        <v>41</v>
      </c>
      <c r="AB462" s="6"/>
    </row>
    <row r="463" spans="1:28">
      <c r="A463" s="5">
        <f>IF(AA463="aktif",MAX($A$1:A462)+1,"")</f>
        <v>423</v>
      </c>
      <c r="B463" s="25"/>
      <c r="C463" s="15" t="s">
        <v>2103</v>
      </c>
      <c r="D463" s="140" t="s">
        <v>2104</v>
      </c>
      <c r="E463" s="12" t="s">
        <v>2065</v>
      </c>
      <c r="F463" s="5" t="s">
        <v>602</v>
      </c>
      <c r="G463" s="5" t="s">
        <v>639</v>
      </c>
      <c r="H463" s="22"/>
      <c r="I463" s="18"/>
      <c r="J463" s="5" t="s">
        <v>45</v>
      </c>
      <c r="K463" s="5"/>
      <c r="L463" s="26">
        <v>37288</v>
      </c>
      <c r="M463" s="26" t="str">
        <f t="shared" ca="1" si="43"/>
        <v>24 tahun 6 bulan</v>
      </c>
      <c r="N463" s="5" t="s">
        <v>31</v>
      </c>
      <c r="O463" s="26">
        <v>29795</v>
      </c>
      <c r="P463" s="26" t="str">
        <f t="shared" ca="1" si="44"/>
        <v>45 tahun</v>
      </c>
      <c r="Q463" s="5" t="s">
        <v>46</v>
      </c>
      <c r="R463" s="35">
        <v>4856026</v>
      </c>
      <c r="S463" s="25" t="s">
        <v>2105</v>
      </c>
      <c r="T463" s="5" t="s">
        <v>2106</v>
      </c>
      <c r="U463" s="5" t="s">
        <v>35</v>
      </c>
      <c r="V463" s="25" t="s">
        <v>2107</v>
      </c>
      <c r="W463" s="25" t="s">
        <v>2108</v>
      </c>
      <c r="X463" s="5">
        <v>219543063602000</v>
      </c>
      <c r="Y463" s="25" t="s">
        <v>2109</v>
      </c>
      <c r="Z463" s="5"/>
      <c r="AA463" s="9" t="s">
        <v>41</v>
      </c>
      <c r="AB463" s="6"/>
    </row>
    <row r="464" spans="1:28">
      <c r="A464" s="5">
        <f>IF(AA464="aktif",MAX($A$1:A463)+1,"")</f>
        <v>424</v>
      </c>
      <c r="B464" s="25"/>
      <c r="C464" s="15" t="s">
        <v>2110</v>
      </c>
      <c r="D464" s="140" t="s">
        <v>2104</v>
      </c>
      <c r="E464" s="12" t="s">
        <v>2065</v>
      </c>
      <c r="F464" s="5" t="s">
        <v>602</v>
      </c>
      <c r="G464" s="5" t="s">
        <v>639</v>
      </c>
      <c r="I464" s="116"/>
      <c r="J464" s="5" t="s">
        <v>45</v>
      </c>
      <c r="K464" s="5"/>
      <c r="L464" s="26">
        <v>45894</v>
      </c>
      <c r="M464" s="26" t="str">
        <f t="shared" ca="1" si="43"/>
        <v>0 tahun 11 bulan</v>
      </c>
      <c r="N464" s="5" t="s">
        <v>31</v>
      </c>
      <c r="O464" s="26">
        <v>37391</v>
      </c>
      <c r="P464" s="26" t="str">
        <f t="shared" ca="1" si="44"/>
        <v>24 tahun</v>
      </c>
      <c r="Q464" s="5" t="s">
        <v>2060</v>
      </c>
      <c r="R464" s="6"/>
      <c r="S464" s="3" t="s">
        <v>2111</v>
      </c>
      <c r="T464" s="5" t="s">
        <v>2112</v>
      </c>
      <c r="U464" s="5" t="s">
        <v>81</v>
      </c>
      <c r="V464" s="30" t="s">
        <v>2113</v>
      </c>
      <c r="W464" s="30" t="s">
        <v>2114</v>
      </c>
      <c r="X464" s="6"/>
      <c r="Y464" s="6"/>
      <c r="Z464" s="6"/>
      <c r="AA464" s="9" t="s">
        <v>41</v>
      </c>
      <c r="AB464" s="6"/>
    </row>
    <row r="465" spans="1:28">
      <c r="A465" s="5">
        <f>IF(AA465="aktif",MAX($A$1:A464)+1,"")</f>
        <v>425</v>
      </c>
      <c r="B465" s="25"/>
      <c r="C465" s="15" t="s">
        <v>2115</v>
      </c>
      <c r="D465" s="140" t="s">
        <v>2104</v>
      </c>
      <c r="E465" s="12" t="s">
        <v>2065</v>
      </c>
      <c r="F465" s="5" t="s">
        <v>2152</v>
      </c>
      <c r="G465" s="5" t="s">
        <v>639</v>
      </c>
      <c r="I465" s="116"/>
      <c r="J465" s="5" t="s">
        <v>71</v>
      </c>
      <c r="K465" s="5"/>
      <c r="L465" s="26">
        <v>45936</v>
      </c>
      <c r="M465" s="26" t="str">
        <f t="shared" ca="1" si="43"/>
        <v>0 tahun 10 bulan</v>
      </c>
      <c r="N465" s="5" t="s">
        <v>55</v>
      </c>
      <c r="O465" s="26">
        <v>39311</v>
      </c>
      <c r="P465" s="26" t="str">
        <f t="shared" ca="1" si="44"/>
        <v>18 tahun</v>
      </c>
      <c r="Q465" s="5" t="s">
        <v>32</v>
      </c>
      <c r="R465" s="6"/>
      <c r="S465" s="3" t="s">
        <v>2116</v>
      </c>
      <c r="T465" s="5" t="s">
        <v>2117</v>
      </c>
      <c r="U465" s="5" t="s">
        <v>81</v>
      </c>
      <c r="V465" s="30" t="s">
        <v>2118</v>
      </c>
      <c r="W465" s="30" t="s">
        <v>2119</v>
      </c>
      <c r="X465" s="6"/>
      <c r="Y465" s="6"/>
      <c r="Z465" s="6"/>
      <c r="AA465" s="9" t="s">
        <v>41</v>
      </c>
      <c r="AB465" s="6"/>
    </row>
    <row r="466" spans="1:28">
      <c r="A466" s="5">
        <f>IF(AA466="aktif",MAX($A$1:A465)+1,"")</f>
        <v>426</v>
      </c>
      <c r="B466" s="25"/>
      <c r="C466" s="15" t="s">
        <v>2120</v>
      </c>
      <c r="D466" s="140" t="s">
        <v>2104</v>
      </c>
      <c r="E466" s="18" t="s">
        <v>2065</v>
      </c>
      <c r="F466" s="5" t="s">
        <v>2152</v>
      </c>
      <c r="G466" s="5" t="s">
        <v>639</v>
      </c>
      <c r="H466" s="16"/>
      <c r="I466" s="18"/>
      <c r="J466" s="5" t="s">
        <v>45</v>
      </c>
      <c r="K466" s="5"/>
      <c r="L466" s="26">
        <v>45975</v>
      </c>
      <c r="M466" s="26" t="str">
        <f ca="1">DATEDIF(L466,TODAY(),"Y") &amp;" tahun " &amp; DATEDIF(L466,TODAY(),"YM")&amp;" bulan"</f>
        <v>0 tahun 8 bulan</v>
      </c>
      <c r="N466" s="5" t="s">
        <v>55</v>
      </c>
      <c r="O466" s="26">
        <v>37305</v>
      </c>
      <c r="P466" s="26" t="str">
        <f t="shared" ca="1" si="44"/>
        <v>24 tahun</v>
      </c>
      <c r="Q466" s="5" t="s">
        <v>72</v>
      </c>
      <c r="R466" s="9"/>
      <c r="S466" s="27" t="s">
        <v>2121</v>
      </c>
      <c r="T466" s="5" t="s">
        <v>2122</v>
      </c>
      <c r="U466" s="5" t="s">
        <v>81</v>
      </c>
      <c r="V466" s="27" t="s">
        <v>2123</v>
      </c>
      <c r="W466" s="27" t="s">
        <v>2124</v>
      </c>
      <c r="X466" s="9"/>
      <c r="Y466" s="27"/>
      <c r="Z466" s="9"/>
      <c r="AA466" s="9" t="s">
        <v>41</v>
      </c>
      <c r="AB466" s="6"/>
    </row>
    <row r="467" spans="1:28">
      <c r="A467" s="5">
        <f>IF(AA467="aktif",MAX($A$1:A466)+1,"")</f>
        <v>427</v>
      </c>
      <c r="B467" s="25"/>
      <c r="C467" s="15" t="s">
        <v>2125</v>
      </c>
      <c r="D467" s="140" t="s">
        <v>2104</v>
      </c>
      <c r="E467" s="12" t="s">
        <v>2065</v>
      </c>
      <c r="F467" s="5" t="s">
        <v>2152</v>
      </c>
      <c r="G467" s="5" t="s">
        <v>639</v>
      </c>
      <c r="H467" s="22"/>
      <c r="I467" s="18"/>
      <c r="J467" s="5" t="s">
        <v>71</v>
      </c>
      <c r="K467" s="5"/>
      <c r="L467" s="26">
        <v>45418</v>
      </c>
      <c r="M467" s="26" t="str">
        <f t="shared" ref="M467:M484" ca="1" si="45">IF(L467="","",DATEDIF(L467,TODAY(),"Y") &amp;" tahun " &amp; DATEDIF(L467,TODAY(),"YM")&amp;" bulan")</f>
        <v>2 tahun 3 bulan</v>
      </c>
      <c r="N467" s="5" t="s">
        <v>55</v>
      </c>
      <c r="O467" s="26">
        <v>38125</v>
      </c>
      <c r="P467" s="26" t="str">
        <f t="shared" ca="1" si="44"/>
        <v>22 tahun</v>
      </c>
      <c r="Q467" s="5" t="s">
        <v>46</v>
      </c>
      <c r="R467" s="35">
        <v>5000000</v>
      </c>
      <c r="S467" s="25" t="s">
        <v>2126</v>
      </c>
      <c r="T467" s="5" t="s">
        <v>2127</v>
      </c>
      <c r="U467" s="5" t="s">
        <v>165</v>
      </c>
      <c r="V467" s="25" t="s">
        <v>2128</v>
      </c>
      <c r="W467" s="25" t="s">
        <v>2128</v>
      </c>
      <c r="X467" s="5"/>
      <c r="Y467" s="25"/>
      <c r="Z467" s="5"/>
      <c r="AA467" s="9" t="s">
        <v>41</v>
      </c>
      <c r="AB467" s="6"/>
    </row>
    <row r="468" spans="1:28">
      <c r="A468" s="5">
        <f>IF(AA468="aktif",MAX($A$1:A467)+1,"")</f>
        <v>428</v>
      </c>
      <c r="B468" s="25"/>
      <c r="C468" s="15" t="s">
        <v>2129</v>
      </c>
      <c r="D468" s="140" t="s">
        <v>2104</v>
      </c>
      <c r="E468" s="12" t="s">
        <v>2065</v>
      </c>
      <c r="F468" s="5" t="s">
        <v>2167</v>
      </c>
      <c r="G468" s="5" t="s">
        <v>639</v>
      </c>
      <c r="H468" s="22"/>
      <c r="I468" s="18"/>
      <c r="J468" s="5" t="s">
        <v>71</v>
      </c>
      <c r="K468" s="5"/>
      <c r="L468" s="26">
        <v>44739</v>
      </c>
      <c r="M468" s="26" t="str">
        <f t="shared" ca="1" si="45"/>
        <v>4 tahun 1 bulan</v>
      </c>
      <c r="N468" s="5" t="s">
        <v>55</v>
      </c>
      <c r="O468" s="26">
        <v>38087</v>
      </c>
      <c r="P468" s="26" t="str">
        <f t="shared" ca="1" si="44"/>
        <v>22 tahun</v>
      </c>
      <c r="Q468" s="5" t="s">
        <v>46</v>
      </c>
      <c r="R468" s="28">
        <v>4856026</v>
      </c>
      <c r="S468" s="25" t="s">
        <v>2130</v>
      </c>
      <c r="T468" s="5" t="s">
        <v>177</v>
      </c>
      <c r="U468" s="5" t="s">
        <v>35</v>
      </c>
      <c r="V468" s="25"/>
      <c r="W468" s="25"/>
      <c r="X468" s="5"/>
      <c r="Y468" s="25"/>
      <c r="Z468" s="5"/>
      <c r="AA468" s="9" t="s">
        <v>41</v>
      </c>
      <c r="AB468" s="6"/>
    </row>
    <row r="469" spans="1:28">
      <c r="A469" s="5">
        <f>IF(AA469="aktif",MAX($A$1:A468)+1,"")</f>
        <v>429</v>
      </c>
      <c r="B469" s="25"/>
      <c r="C469" s="15" t="s">
        <v>2131</v>
      </c>
      <c r="D469" s="140" t="s">
        <v>2104</v>
      </c>
      <c r="E469" s="12" t="s">
        <v>2065</v>
      </c>
      <c r="F469" s="5" t="s">
        <v>2167</v>
      </c>
      <c r="G469" s="5" t="s">
        <v>639</v>
      </c>
      <c r="I469" s="116"/>
      <c r="J469" s="5" t="s">
        <v>71</v>
      </c>
      <c r="K469" s="5"/>
      <c r="L469" s="26">
        <v>45866</v>
      </c>
      <c r="M469" s="26" t="str">
        <f t="shared" ca="1" si="45"/>
        <v>1 tahun 0 bulan</v>
      </c>
      <c r="N469" s="5" t="s">
        <v>31</v>
      </c>
      <c r="O469" s="26">
        <v>37127</v>
      </c>
      <c r="P469" s="26" t="str">
        <f t="shared" ca="1" si="44"/>
        <v>24 tahun</v>
      </c>
      <c r="Q469" s="5" t="s">
        <v>46</v>
      </c>
      <c r="R469" s="6"/>
      <c r="S469" s="27" t="s">
        <v>2132</v>
      </c>
      <c r="T469" s="5" t="s">
        <v>604</v>
      </c>
      <c r="U469" s="5" t="s">
        <v>81</v>
      </c>
      <c r="V469" s="27"/>
      <c r="W469" s="27"/>
      <c r="X469" s="9"/>
      <c r="Y469" s="27"/>
      <c r="Z469" s="9"/>
      <c r="AA469" s="9" t="s">
        <v>41</v>
      </c>
      <c r="AB469" s="6"/>
    </row>
    <row r="470" spans="1:28">
      <c r="A470" s="5">
        <f>IF(AA470="aktif",MAX($A$1:A469)+1,"")</f>
        <v>430</v>
      </c>
      <c r="B470" s="25"/>
      <c r="C470" s="15" t="s">
        <v>2133</v>
      </c>
      <c r="D470" s="140" t="s">
        <v>2104</v>
      </c>
      <c r="E470" s="12" t="s">
        <v>2065</v>
      </c>
      <c r="F470" s="5" t="s">
        <v>2178</v>
      </c>
      <c r="G470" s="5" t="s">
        <v>639</v>
      </c>
      <c r="I470" s="116"/>
      <c r="J470" s="5" t="s">
        <v>71</v>
      </c>
      <c r="K470" s="5"/>
      <c r="L470" s="26">
        <v>45968</v>
      </c>
      <c r="M470" s="26" t="str">
        <f t="shared" ca="1" si="45"/>
        <v>0 tahun 9 bulan</v>
      </c>
      <c r="N470" s="5" t="s">
        <v>31</v>
      </c>
      <c r="O470" s="26">
        <v>37115</v>
      </c>
      <c r="P470" s="26" t="str">
        <f t="shared" ca="1" si="44"/>
        <v>24 tahun</v>
      </c>
      <c r="Q470" s="5" t="s">
        <v>72</v>
      </c>
      <c r="R470" s="6"/>
      <c r="S470" s="3" t="s">
        <v>2134</v>
      </c>
      <c r="T470" s="5" t="s">
        <v>2135</v>
      </c>
      <c r="U470" s="5" t="s">
        <v>81</v>
      </c>
      <c r="V470" s="30" t="s">
        <v>2136</v>
      </c>
      <c r="W470" s="30"/>
      <c r="X470" s="6"/>
      <c r="Y470" s="6"/>
      <c r="Z470" s="6"/>
      <c r="AA470" s="9" t="s">
        <v>41</v>
      </c>
      <c r="AB470" s="6"/>
    </row>
    <row r="471" spans="1:28">
      <c r="A471" s="5"/>
      <c r="B471" s="25"/>
      <c r="C471" s="15" t="s">
        <v>2137</v>
      </c>
      <c r="D471" s="140" t="s">
        <v>2104</v>
      </c>
      <c r="E471" s="12" t="s">
        <v>2065</v>
      </c>
      <c r="F471" s="5" t="s">
        <v>639</v>
      </c>
      <c r="G471" s="5" t="s">
        <v>639</v>
      </c>
      <c r="H471" s="133"/>
      <c r="I471" s="6"/>
      <c r="J471" s="5" t="s">
        <v>71</v>
      </c>
      <c r="K471" s="5"/>
      <c r="L471" s="26"/>
      <c r="M471" s="26"/>
      <c r="N471" s="5"/>
      <c r="O471" s="26"/>
      <c r="P471" s="26"/>
      <c r="Q471" s="5"/>
      <c r="R471" s="6"/>
      <c r="S471" s="3"/>
      <c r="V471" s="30"/>
      <c r="W471" s="30"/>
      <c r="X471" s="6"/>
      <c r="Y471" s="6"/>
      <c r="Z471" s="6"/>
      <c r="AA471" s="9"/>
      <c r="AB471" s="6"/>
    </row>
    <row r="472" spans="1:28">
      <c r="A472" s="5">
        <f>IF(AA472="aktif",MAX($A$1:A470)+1,"")</f>
        <v>431</v>
      </c>
      <c r="B472" s="25"/>
      <c r="C472" s="15" t="s">
        <v>2138</v>
      </c>
      <c r="D472" s="140" t="s">
        <v>2104</v>
      </c>
      <c r="E472" s="12" t="s">
        <v>2065</v>
      </c>
      <c r="F472" s="5" t="s">
        <v>2185</v>
      </c>
      <c r="G472" s="5" t="s">
        <v>602</v>
      </c>
      <c r="I472" s="116"/>
      <c r="J472" s="5" t="s">
        <v>71</v>
      </c>
      <c r="K472" s="5"/>
      <c r="L472" s="26">
        <v>45950</v>
      </c>
      <c r="M472" s="26" t="str">
        <f t="shared" ca="1" si="45"/>
        <v>0 tahun 9 bulan</v>
      </c>
      <c r="N472" s="5" t="s">
        <v>31</v>
      </c>
      <c r="O472" s="26">
        <v>37829</v>
      </c>
      <c r="P472" s="26" t="str">
        <f t="shared" ca="1" si="44"/>
        <v>23 tahun</v>
      </c>
      <c r="Q472" s="5" t="s">
        <v>72</v>
      </c>
      <c r="R472" s="6"/>
      <c r="S472" s="3" t="s">
        <v>2139</v>
      </c>
      <c r="T472" s="5" t="s">
        <v>2140</v>
      </c>
      <c r="U472" s="5" t="s">
        <v>81</v>
      </c>
      <c r="V472" s="30" t="s">
        <v>2141</v>
      </c>
      <c r="W472" s="30" t="s">
        <v>2142</v>
      </c>
      <c r="X472" s="6"/>
      <c r="Y472" s="6"/>
      <c r="Z472" s="6"/>
      <c r="AA472" s="9" t="s">
        <v>41</v>
      </c>
      <c r="AB472" s="6"/>
    </row>
    <row r="473" spans="1:28">
      <c r="A473" s="5">
        <f>IF(AA473="aktif",MAX($A$1:A472)+1,"")</f>
        <v>432</v>
      </c>
      <c r="B473" s="25"/>
      <c r="C473" s="15" t="s">
        <v>2143</v>
      </c>
      <c r="D473" s="140" t="s">
        <v>2104</v>
      </c>
      <c r="E473" s="12" t="s">
        <v>2065</v>
      </c>
      <c r="F473" s="5" t="s">
        <v>2185</v>
      </c>
      <c r="G473" s="5" t="s">
        <v>602</v>
      </c>
      <c r="H473" s="22"/>
      <c r="I473" s="18"/>
      <c r="J473" s="5" t="s">
        <v>45</v>
      </c>
      <c r="K473" s="5"/>
      <c r="L473" s="26">
        <v>37408</v>
      </c>
      <c r="M473" s="26" t="str">
        <f t="shared" ca="1" si="45"/>
        <v>24 tahun 2 bulan</v>
      </c>
      <c r="N473" s="5" t="s">
        <v>31</v>
      </c>
      <c r="O473" s="26">
        <v>30139</v>
      </c>
      <c r="P473" s="26" t="str">
        <f t="shared" ca="1" si="44"/>
        <v>44 tahun</v>
      </c>
      <c r="Q473" s="5" t="s">
        <v>46</v>
      </c>
      <c r="R473" s="35">
        <v>4856026</v>
      </c>
      <c r="S473" s="25" t="s">
        <v>2144</v>
      </c>
      <c r="T473" s="5" t="s">
        <v>1195</v>
      </c>
      <c r="U473" s="5" t="s">
        <v>35</v>
      </c>
      <c r="V473" s="25" t="s">
        <v>2145</v>
      </c>
      <c r="W473" s="25"/>
      <c r="X473" s="5"/>
      <c r="Y473" s="25"/>
      <c r="Z473" s="5"/>
      <c r="AA473" s="9" t="s">
        <v>41</v>
      </c>
      <c r="AB473" s="6"/>
    </row>
    <row r="474" spans="1:28">
      <c r="A474" s="5">
        <f>IF(AA474="aktif",MAX($A$1:A473)+1,"")</f>
        <v>433</v>
      </c>
      <c r="B474" s="25" t="s">
        <v>2146</v>
      </c>
      <c r="C474" s="15" t="s">
        <v>2147</v>
      </c>
      <c r="D474" s="140" t="s">
        <v>2104</v>
      </c>
      <c r="E474" s="12" t="s">
        <v>2065</v>
      </c>
      <c r="F474" s="5" t="s">
        <v>2195</v>
      </c>
      <c r="G474" s="5" t="s">
        <v>602</v>
      </c>
      <c r="H474" s="22"/>
      <c r="I474" s="18"/>
      <c r="J474" s="5" t="s">
        <v>45</v>
      </c>
      <c r="K474" s="5"/>
      <c r="L474" s="26">
        <v>38139</v>
      </c>
      <c r="M474" s="26" t="str">
        <f t="shared" ca="1" si="45"/>
        <v>22 tahun 2 bulan</v>
      </c>
      <c r="N474" s="5" t="s">
        <v>31</v>
      </c>
      <c r="O474" s="26">
        <v>28589</v>
      </c>
      <c r="P474" s="26" t="str">
        <f t="shared" ca="1" si="44"/>
        <v>48 tahun</v>
      </c>
      <c r="Q474" s="5" t="s">
        <v>32</v>
      </c>
      <c r="R474" s="28">
        <v>4856026</v>
      </c>
      <c r="S474" s="25" t="s">
        <v>2148</v>
      </c>
      <c r="T474" s="5" t="s">
        <v>2149</v>
      </c>
      <c r="U474" s="5" t="s">
        <v>35</v>
      </c>
      <c r="V474" s="25" t="s">
        <v>2150</v>
      </c>
      <c r="W474" s="25"/>
      <c r="X474" s="5"/>
      <c r="Y474" s="25"/>
      <c r="Z474" s="5"/>
      <c r="AA474" s="9" t="s">
        <v>41</v>
      </c>
      <c r="AB474" s="6"/>
    </row>
    <row r="475" spans="1:28">
      <c r="A475" s="5">
        <f>IF(AA475="aktif",MAX($A$1:A474)+1,"")</f>
        <v>434</v>
      </c>
      <c r="B475" s="25"/>
      <c r="C475" s="15" t="s">
        <v>2151</v>
      </c>
      <c r="D475" s="140" t="s">
        <v>2104</v>
      </c>
      <c r="E475" s="12" t="s">
        <v>2065</v>
      </c>
      <c r="F475" s="13" t="s">
        <v>2152</v>
      </c>
      <c r="G475" s="5" t="s">
        <v>2152</v>
      </c>
      <c r="H475" s="111"/>
      <c r="I475" s="128"/>
      <c r="J475" s="5" t="s">
        <v>45</v>
      </c>
      <c r="K475" s="5"/>
      <c r="L475" s="26">
        <v>45805</v>
      </c>
      <c r="M475" s="26" t="str">
        <f t="shared" ca="1" si="45"/>
        <v>1 tahun 2 bulan</v>
      </c>
      <c r="N475" s="5" t="s">
        <v>31</v>
      </c>
      <c r="O475" s="26"/>
      <c r="P475" s="26" t="str">
        <f t="shared" ca="1" si="44"/>
        <v/>
      </c>
      <c r="Q475" s="5" t="s">
        <v>2060</v>
      </c>
      <c r="R475" s="11"/>
      <c r="S475" s="11"/>
      <c r="U475" s="5" t="s">
        <v>302</v>
      </c>
      <c r="V475" s="11"/>
      <c r="W475" s="11"/>
      <c r="X475" s="11"/>
      <c r="Y475" s="46"/>
      <c r="Z475" s="46"/>
      <c r="AA475" s="9" t="s">
        <v>41</v>
      </c>
      <c r="AB475" s="46" t="s">
        <v>2153</v>
      </c>
    </row>
    <row r="476" spans="1:28">
      <c r="A476" s="5">
        <f>IF(AA476="aktif",MAX($A$1:A475)+1,"")</f>
        <v>435</v>
      </c>
      <c r="B476" s="25" t="s">
        <v>2154</v>
      </c>
      <c r="C476" s="15" t="s">
        <v>2155</v>
      </c>
      <c r="D476" s="140" t="s">
        <v>2104</v>
      </c>
      <c r="E476" s="12" t="s">
        <v>2065</v>
      </c>
      <c r="F476" s="16" t="s">
        <v>2152</v>
      </c>
      <c r="G476" s="5" t="s">
        <v>2152</v>
      </c>
      <c r="H476" s="22"/>
      <c r="I476" s="18"/>
      <c r="J476" s="5" t="s">
        <v>45</v>
      </c>
      <c r="K476" s="5"/>
      <c r="L476" s="26">
        <v>37773</v>
      </c>
      <c r="M476" s="26" t="str">
        <f ca="1">IF(L476="","",DATEDIF(L476,TODAY(),"Y") &amp;" tahun " &amp; DATEDIF(L476,TODAY(),"YM")&amp;" bulan")</f>
        <v>23 tahun 2 bulan</v>
      </c>
      <c r="N476" s="5" t="s">
        <v>31</v>
      </c>
      <c r="O476" s="26">
        <v>27875</v>
      </c>
      <c r="P476" s="26" t="str">
        <f ca="1">IF(O476="","",DATEDIF(O476,TODAY(),"Y")&amp;" tahun")</f>
        <v>50 tahun</v>
      </c>
      <c r="Q476" s="5" t="s">
        <v>32</v>
      </c>
      <c r="R476" s="35">
        <v>4856026</v>
      </c>
      <c r="S476" s="25" t="s">
        <v>2156</v>
      </c>
      <c r="T476" s="5" t="s">
        <v>2157</v>
      </c>
      <c r="U476" s="5" t="s">
        <v>35</v>
      </c>
      <c r="V476" s="25" t="s">
        <v>2158</v>
      </c>
      <c r="W476" s="25" t="s">
        <v>2159</v>
      </c>
      <c r="X476" s="5"/>
      <c r="Y476" s="25"/>
      <c r="Z476" s="5">
        <v>11039391302</v>
      </c>
      <c r="AA476" s="9" t="s">
        <v>41</v>
      </c>
      <c r="AB476" s="6"/>
    </row>
    <row r="477" spans="1:28">
      <c r="A477" s="5">
        <f>IF(AA477="aktif",MAX($A$1:A476)+1,"")</f>
        <v>436</v>
      </c>
      <c r="B477" s="25" t="s">
        <v>2160</v>
      </c>
      <c r="C477" s="15" t="s">
        <v>2161</v>
      </c>
      <c r="D477" s="140" t="s">
        <v>2104</v>
      </c>
      <c r="E477" s="12" t="s">
        <v>2065</v>
      </c>
      <c r="F477" s="16" t="s">
        <v>639</v>
      </c>
      <c r="G477" s="5" t="s">
        <v>2152</v>
      </c>
      <c r="H477" s="22"/>
      <c r="I477" s="18"/>
      <c r="J477" s="5" t="s">
        <v>45</v>
      </c>
      <c r="K477" s="5"/>
      <c r="L477" s="26">
        <v>38369</v>
      </c>
      <c r="M477" s="26" t="str">
        <f ca="1">IF(L477="","",DATEDIF(L477,TODAY(),"Y") &amp;" tahun " &amp; DATEDIF(L477,TODAY(),"YM")&amp;" bulan")</f>
        <v>21 tahun 6 bulan</v>
      </c>
      <c r="N477" s="5" t="s">
        <v>31</v>
      </c>
      <c r="O477" s="26">
        <v>30418</v>
      </c>
      <c r="P477" s="26" t="str">
        <f ca="1">IF(O477="","",DATEDIF(O477,TODAY(),"Y")&amp;" tahun")</f>
        <v>43 tahun</v>
      </c>
      <c r="Q477" s="5" t="s">
        <v>46</v>
      </c>
      <c r="R477" s="28">
        <v>4856026</v>
      </c>
      <c r="S477" s="25" t="s">
        <v>2162</v>
      </c>
      <c r="T477" s="5" t="s">
        <v>2163</v>
      </c>
      <c r="U477" s="5" t="s">
        <v>35</v>
      </c>
      <c r="V477" s="25" t="s">
        <v>2164</v>
      </c>
      <c r="W477" s="25" t="s">
        <v>2164</v>
      </c>
      <c r="X477" s="5"/>
      <c r="Y477" s="25" t="s">
        <v>2165</v>
      </c>
      <c r="Z477" s="5">
        <v>11024228618000</v>
      </c>
      <c r="AA477" s="9" t="s">
        <v>41</v>
      </c>
      <c r="AB477" s="6"/>
    </row>
    <row r="478" spans="1:28">
      <c r="A478" s="5">
        <f>IF(AA478="aktif",MAX($A$1:A477)+1,"")</f>
        <v>437</v>
      </c>
      <c r="B478" s="25"/>
      <c r="C478" s="15" t="s">
        <v>2166</v>
      </c>
      <c r="D478" s="140" t="s">
        <v>2104</v>
      </c>
      <c r="E478" s="12" t="s">
        <v>2065</v>
      </c>
      <c r="F478" s="5" t="s">
        <v>2185</v>
      </c>
      <c r="G478" s="5" t="s">
        <v>2167</v>
      </c>
      <c r="H478" s="22"/>
      <c r="I478" s="18"/>
      <c r="J478" s="5" t="s">
        <v>71</v>
      </c>
      <c r="K478" s="5"/>
      <c r="L478" s="26">
        <v>41746</v>
      </c>
      <c r="M478" s="26" t="str">
        <f ca="1">IF(L478="","",DATEDIF(L478,TODAY(),"Y") &amp;" tahun " &amp; DATEDIF(L478,TODAY(),"YM")&amp;" bulan")</f>
        <v>12 tahun 3 bulan</v>
      </c>
      <c r="N478" s="5" t="s">
        <v>31</v>
      </c>
      <c r="O478" s="26">
        <v>34076</v>
      </c>
      <c r="P478" s="26" t="str">
        <f ca="1">IF(O478="","",DATEDIF(O478,TODAY(),"Y")&amp;" tahun")</f>
        <v>33 tahun</v>
      </c>
      <c r="Q478" s="5" t="s">
        <v>32</v>
      </c>
      <c r="R478" s="28">
        <v>4300000</v>
      </c>
      <c r="S478" s="25" t="s">
        <v>2168</v>
      </c>
      <c r="T478" s="5" t="s">
        <v>2169</v>
      </c>
      <c r="U478" s="5" t="s">
        <v>35</v>
      </c>
      <c r="V478" s="25" t="s">
        <v>2170</v>
      </c>
      <c r="W478" s="25" t="s">
        <v>2171</v>
      </c>
      <c r="X478" s="5"/>
      <c r="Y478" s="25"/>
      <c r="Z478" s="5"/>
      <c r="AA478" s="9" t="s">
        <v>41</v>
      </c>
      <c r="AB478" s="6"/>
    </row>
    <row r="479" spans="1:28">
      <c r="A479" s="5">
        <f>IF(AA479="aktif",MAX($A$1:A478)+1,"")</f>
        <v>438</v>
      </c>
      <c r="B479" s="25"/>
      <c r="C479" s="15" t="s">
        <v>2172</v>
      </c>
      <c r="D479" s="140" t="s">
        <v>2104</v>
      </c>
      <c r="E479" s="12" t="s">
        <v>2065</v>
      </c>
      <c r="F479" s="5" t="s">
        <v>2185</v>
      </c>
      <c r="G479" s="5" t="s">
        <v>2167</v>
      </c>
      <c r="I479" s="116"/>
      <c r="J479" s="5" t="s">
        <v>71</v>
      </c>
      <c r="K479" s="5"/>
      <c r="L479" s="26">
        <v>45947</v>
      </c>
      <c r="M479" s="26" t="str">
        <f ca="1">IF(L479="","",DATEDIF(L479,TODAY(),"Y") &amp;" tahun " &amp; DATEDIF(L479,TODAY(),"YM")&amp;" bulan")</f>
        <v>0 tahun 9 bulan</v>
      </c>
      <c r="N479" s="5" t="s">
        <v>31</v>
      </c>
      <c r="O479" s="26">
        <v>36799</v>
      </c>
      <c r="P479" s="26" t="str">
        <f ca="1">IF(O479="","",DATEDIF(O479,TODAY(),"Y")&amp;" tahun")</f>
        <v>25 tahun</v>
      </c>
      <c r="Q479" s="5" t="s">
        <v>46</v>
      </c>
      <c r="R479" s="6"/>
      <c r="S479" s="3" t="s">
        <v>2173</v>
      </c>
      <c r="T479" s="5" t="s">
        <v>2174</v>
      </c>
      <c r="U479" s="5" t="s">
        <v>302</v>
      </c>
      <c r="V479" s="30" t="s">
        <v>2175</v>
      </c>
      <c r="W479" s="30" t="s">
        <v>2176</v>
      </c>
      <c r="X479" s="6"/>
      <c r="Y479" s="6"/>
      <c r="Z479" s="6"/>
      <c r="AA479" s="9" t="s">
        <v>41</v>
      </c>
      <c r="AB479" s="6"/>
    </row>
    <row r="480" spans="1:28">
      <c r="A480" s="5">
        <f>IF(AA480="aktif",MAX($A$1:A479)+1,"")</f>
        <v>439</v>
      </c>
      <c r="B480" s="25"/>
      <c r="C480" s="15" t="s">
        <v>2177</v>
      </c>
      <c r="D480" s="140" t="s">
        <v>2104</v>
      </c>
      <c r="E480" s="18" t="s">
        <v>2065</v>
      </c>
      <c r="F480" s="5" t="s">
        <v>2185</v>
      </c>
      <c r="G480" s="5" t="s">
        <v>2178</v>
      </c>
      <c r="H480" s="16"/>
      <c r="I480" s="18"/>
      <c r="J480" s="5" t="s">
        <v>45</v>
      </c>
      <c r="K480" s="5"/>
      <c r="L480" s="26">
        <v>37773</v>
      </c>
      <c r="M480" s="26" t="str">
        <f t="shared" ca="1" si="45"/>
        <v>23 tahun 2 bulan</v>
      </c>
      <c r="N480" s="5" t="s">
        <v>31</v>
      </c>
      <c r="O480" s="26">
        <v>26519</v>
      </c>
      <c r="P480" s="26" t="str">
        <f t="shared" ca="1" si="44"/>
        <v>54 tahun</v>
      </c>
      <c r="Q480" s="5" t="s">
        <v>72</v>
      </c>
      <c r="R480" s="35">
        <v>4856026</v>
      </c>
      <c r="S480" s="32" t="s">
        <v>2179</v>
      </c>
      <c r="T480" s="5" t="s">
        <v>2180</v>
      </c>
      <c r="U480" s="5" t="s">
        <v>35</v>
      </c>
      <c r="V480" s="25" t="s">
        <v>2181</v>
      </c>
      <c r="W480" s="25" t="s">
        <v>2182</v>
      </c>
      <c r="X480" s="5"/>
      <c r="Y480" s="25" t="s">
        <v>2183</v>
      </c>
      <c r="Z480" s="5">
        <v>11024137884</v>
      </c>
      <c r="AA480" s="9" t="s">
        <v>41</v>
      </c>
      <c r="AB480" s="6"/>
    </row>
    <row r="481" spans="1:35">
      <c r="A481" s="5">
        <f>IF(AA481="aktif",MAX($A$1:A480)+1,"")</f>
        <v>440</v>
      </c>
      <c r="B481" s="25"/>
      <c r="C481" s="15" t="s">
        <v>2184</v>
      </c>
      <c r="D481" s="140" t="s">
        <v>2104</v>
      </c>
      <c r="E481" s="12" t="s">
        <v>2065</v>
      </c>
      <c r="F481" s="5" t="s">
        <v>2185</v>
      </c>
      <c r="G481" s="5" t="s">
        <v>2185</v>
      </c>
      <c r="H481" s="22"/>
      <c r="I481" s="18"/>
      <c r="J481" s="5" t="s">
        <v>45</v>
      </c>
      <c r="K481" s="5"/>
      <c r="L481" s="26">
        <v>42522</v>
      </c>
      <c r="M481" s="26" t="str">
        <f t="shared" ca="1" si="45"/>
        <v>10 tahun 2 bulan</v>
      </c>
      <c r="N481" s="5" t="s">
        <v>31</v>
      </c>
      <c r="O481" s="26">
        <v>33108</v>
      </c>
      <c r="P481" s="26" t="str">
        <f t="shared" ca="1" si="44"/>
        <v>35 tahun</v>
      </c>
      <c r="Q481" s="5" t="s">
        <v>32</v>
      </c>
      <c r="R481" s="35">
        <v>4856026</v>
      </c>
      <c r="S481" s="25" t="s">
        <v>2186</v>
      </c>
      <c r="T481" s="5" t="s">
        <v>2187</v>
      </c>
      <c r="U481" s="5" t="s">
        <v>35</v>
      </c>
      <c r="V481" s="25" t="s">
        <v>2188</v>
      </c>
      <c r="W481" s="25" t="s">
        <v>2189</v>
      </c>
      <c r="X481" s="5"/>
      <c r="Y481" s="25" t="s">
        <v>2190</v>
      </c>
      <c r="Z481" s="5"/>
      <c r="AA481" s="9" t="s">
        <v>41</v>
      </c>
      <c r="AB481" s="6"/>
    </row>
    <row r="482" spans="1:35">
      <c r="A482" s="5">
        <f>IF(AA482="aktif",MAX($A$1:A481)+1,"")</f>
        <v>441</v>
      </c>
      <c r="B482" s="25"/>
      <c r="C482" s="15" t="s">
        <v>2191</v>
      </c>
      <c r="D482" s="140" t="s">
        <v>2104</v>
      </c>
      <c r="E482" s="12" t="s">
        <v>2065</v>
      </c>
      <c r="F482" s="5" t="s">
        <v>2185</v>
      </c>
      <c r="G482" s="5" t="s">
        <v>2185</v>
      </c>
      <c r="H482" s="22"/>
      <c r="I482" s="18"/>
      <c r="J482" s="5" t="s">
        <v>71</v>
      </c>
      <c r="K482" s="5"/>
      <c r="L482" s="26">
        <v>38760</v>
      </c>
      <c r="M482" s="26" t="str">
        <f t="shared" ca="1" si="45"/>
        <v>20 tahun 5 bulan</v>
      </c>
      <c r="N482" s="5" t="s">
        <v>55</v>
      </c>
      <c r="O482" s="26">
        <v>29672</v>
      </c>
      <c r="P482" s="26" t="str">
        <f t="shared" ca="1" si="44"/>
        <v>45 tahun</v>
      </c>
      <c r="Q482" s="5" t="s">
        <v>121</v>
      </c>
      <c r="R482" s="35"/>
      <c r="S482" s="25" t="s">
        <v>2192</v>
      </c>
      <c r="T482" s="5" t="s">
        <v>878</v>
      </c>
      <c r="U482" s="5" t="s">
        <v>35</v>
      </c>
      <c r="V482" s="25" t="s">
        <v>2193</v>
      </c>
      <c r="W482" s="25"/>
      <c r="X482" s="5"/>
      <c r="Y482" s="25"/>
      <c r="Z482" s="5"/>
      <c r="AA482" s="9" t="s">
        <v>41</v>
      </c>
      <c r="AB482" s="6"/>
    </row>
    <row r="483" spans="1:35">
      <c r="A483" s="5">
        <f>IF(AA483="aktif",MAX($A$1:A482)+1,"")</f>
        <v>442</v>
      </c>
      <c r="B483" s="25"/>
      <c r="C483" s="15" t="s">
        <v>2194</v>
      </c>
      <c r="D483" s="141" t="s">
        <v>54</v>
      </c>
      <c r="E483" s="12" t="s">
        <v>2065</v>
      </c>
      <c r="G483" s="5" t="s">
        <v>2195</v>
      </c>
      <c r="H483" s="22"/>
      <c r="I483" s="18"/>
      <c r="J483" s="5" t="s">
        <v>45</v>
      </c>
      <c r="K483" s="5"/>
      <c r="L483" s="26">
        <v>42887</v>
      </c>
      <c r="M483" s="26" t="str">
        <f t="shared" ca="1" si="45"/>
        <v>9 tahun 2 bulan</v>
      </c>
      <c r="N483" s="5" t="s">
        <v>31</v>
      </c>
      <c r="O483" s="26">
        <v>36333</v>
      </c>
      <c r="P483" s="26" t="str">
        <f t="shared" ca="1" si="44"/>
        <v>27 tahun</v>
      </c>
      <c r="Q483" s="5" t="s">
        <v>46</v>
      </c>
      <c r="R483" s="28">
        <v>4856026</v>
      </c>
      <c r="S483" s="25" t="s">
        <v>2196</v>
      </c>
      <c r="T483" s="5" t="s">
        <v>2197</v>
      </c>
      <c r="U483" s="5" t="s">
        <v>35</v>
      </c>
      <c r="V483" s="25" t="s">
        <v>2198</v>
      </c>
      <c r="W483" s="25" t="s">
        <v>2199</v>
      </c>
      <c r="X483" s="5"/>
      <c r="Y483" s="25"/>
      <c r="Z483" s="5"/>
      <c r="AA483" s="9" t="s">
        <v>41</v>
      </c>
      <c r="AB483" s="6"/>
    </row>
    <row r="484" spans="1:35" hidden="1">
      <c r="A484" s="5" t="str">
        <f>IF(AA484="aktif",MAX($A$1:A483)+1,"")</f>
        <v/>
      </c>
      <c r="B484" s="47"/>
      <c r="C484" s="13" t="s">
        <v>2200</v>
      </c>
      <c r="D484" s="132"/>
      <c r="E484" s="20" t="s">
        <v>2065</v>
      </c>
      <c r="G484" s="13" t="s">
        <v>2152</v>
      </c>
      <c r="H484" s="133"/>
      <c r="I484" s="21"/>
      <c r="J484" s="13" t="s">
        <v>71</v>
      </c>
      <c r="K484" s="13"/>
      <c r="L484" s="36">
        <v>45922</v>
      </c>
      <c r="M484" s="36" t="str">
        <f t="shared" ca="1" si="45"/>
        <v>0 tahun 10 bulan</v>
      </c>
      <c r="N484" s="13" t="s">
        <v>31</v>
      </c>
      <c r="O484" s="36">
        <v>33692</v>
      </c>
      <c r="P484" s="36" t="str">
        <f t="shared" ca="1" si="44"/>
        <v>34 tahun</v>
      </c>
      <c r="Q484" s="13" t="s">
        <v>72</v>
      </c>
      <c r="R484" s="21"/>
      <c r="S484" s="48" t="s">
        <v>2201</v>
      </c>
      <c r="T484" s="13" t="s">
        <v>2202</v>
      </c>
      <c r="U484" s="13" t="s">
        <v>81</v>
      </c>
      <c r="V484" s="49" t="s">
        <v>2203</v>
      </c>
      <c r="W484" s="49" t="s">
        <v>2204</v>
      </c>
      <c r="X484" s="21"/>
      <c r="Y484" s="21"/>
      <c r="Z484" s="21"/>
      <c r="AA484" s="9" t="s">
        <v>372</v>
      </c>
      <c r="AB484" s="21"/>
    </row>
    <row r="485" spans="1:35" s="23" customFormat="1" hidden="1">
      <c r="A485" s="5" t="str">
        <f>IF(AA485="aktif",MAX($A$1:A484)+1,"")</f>
        <v/>
      </c>
      <c r="B485" s="99"/>
      <c r="C485" s="99" t="s">
        <v>2205</v>
      </c>
      <c r="D485" s="99"/>
      <c r="E485" s="16" t="s">
        <v>2065</v>
      </c>
      <c r="F485" s="8"/>
      <c r="G485" s="16" t="s">
        <v>2152</v>
      </c>
      <c r="H485" s="99"/>
      <c r="I485" s="99"/>
      <c r="J485" s="16" t="s">
        <v>71</v>
      </c>
      <c r="K485" s="16"/>
      <c r="L485" s="53">
        <v>45989</v>
      </c>
      <c r="M485" s="54" t="s">
        <v>468</v>
      </c>
      <c r="N485" s="100" t="s">
        <v>31</v>
      </c>
      <c r="O485" s="53">
        <v>35513</v>
      </c>
      <c r="P485" s="100" t="s">
        <v>2206</v>
      </c>
      <c r="Q485" s="54" t="s">
        <v>72</v>
      </c>
      <c r="R485" s="54"/>
      <c r="S485" s="55" t="s">
        <v>2207</v>
      </c>
      <c r="T485" s="54" t="s">
        <v>2208</v>
      </c>
      <c r="U485" s="54" t="s">
        <v>81</v>
      </c>
      <c r="V485" s="54">
        <v>81327640093</v>
      </c>
      <c r="W485" s="54">
        <v>87859548564</v>
      </c>
      <c r="X485" s="99"/>
      <c r="Y485" s="99"/>
      <c r="Z485" s="99"/>
      <c r="AA485" s="9" t="s">
        <v>372</v>
      </c>
      <c r="AB485" s="99"/>
      <c r="AC485" s="99"/>
      <c r="AD485" s="99"/>
      <c r="AE485" s="99"/>
      <c r="AF485" s="99"/>
      <c r="AG485" s="99"/>
      <c r="AH485" s="99"/>
      <c r="AI485" s="99"/>
    </row>
    <row r="486" spans="1:35" s="23" customFormat="1" hidden="1">
      <c r="A486" s="5" t="str">
        <f>IF(AA486="aktif",MAX($A$1:A485)+1,"")</f>
        <v/>
      </c>
      <c r="B486" s="99"/>
      <c r="C486" s="99" t="s">
        <v>2209</v>
      </c>
      <c r="D486" s="99"/>
      <c r="E486" s="16" t="s">
        <v>2065</v>
      </c>
      <c r="F486" s="8"/>
      <c r="G486" s="16" t="s">
        <v>639</v>
      </c>
      <c r="H486" s="131"/>
      <c r="I486" s="99"/>
      <c r="J486" s="16" t="s">
        <v>71</v>
      </c>
      <c r="K486" s="16"/>
      <c r="L486" s="53">
        <v>45992</v>
      </c>
      <c r="M486" s="54" t="s">
        <v>468</v>
      </c>
      <c r="N486" s="100" t="s">
        <v>31</v>
      </c>
      <c r="O486" s="53">
        <v>37064</v>
      </c>
      <c r="P486" s="100" t="s">
        <v>2210</v>
      </c>
      <c r="Q486" s="54" t="s">
        <v>72</v>
      </c>
      <c r="R486" s="54"/>
      <c r="S486" s="55" t="s">
        <v>2211</v>
      </c>
      <c r="T486" s="54" t="s">
        <v>2212</v>
      </c>
      <c r="U486" s="54" t="s">
        <v>81</v>
      </c>
      <c r="V486" s="54">
        <v>85959823223</v>
      </c>
      <c r="W486" s="54">
        <v>85648124286</v>
      </c>
      <c r="X486" s="99"/>
      <c r="Y486" s="99"/>
      <c r="Z486" s="99"/>
      <c r="AA486" s="9" t="s">
        <v>372</v>
      </c>
      <c r="AB486" s="99"/>
      <c r="AC486" s="99"/>
      <c r="AD486" s="99"/>
      <c r="AE486" s="99"/>
      <c r="AF486" s="99"/>
      <c r="AG486" s="99"/>
      <c r="AH486" s="99"/>
      <c r="AI486" s="99"/>
    </row>
    <row r="487" spans="1:35" hidden="1">
      <c r="A487" s="5" t="str">
        <f>IF(AA487="aktif",MAX($A$1:A486)+1,"")</f>
        <v/>
      </c>
      <c r="B487" s="25"/>
      <c r="C487" s="5" t="s">
        <v>2213</v>
      </c>
      <c r="D487" s="101"/>
      <c r="E487" s="16" t="s">
        <v>2065</v>
      </c>
      <c r="F487" s="2"/>
      <c r="G487" s="5" t="s">
        <v>2185</v>
      </c>
      <c r="H487" s="132"/>
      <c r="I487" s="5"/>
      <c r="J487" s="16" t="s">
        <v>71</v>
      </c>
      <c r="K487" s="101"/>
      <c r="L487" s="26">
        <v>45929</v>
      </c>
      <c r="M487" s="26" t="str">
        <f ca="1">DATEDIF(L487,TODAY(),"Y") &amp;" tahun " &amp; DATEDIF(L487,TODAY(),"YM")&amp;" bulan"</f>
        <v>0 tahun 10 bulan</v>
      </c>
      <c r="N487" s="5" t="s">
        <v>31</v>
      </c>
      <c r="O487" s="26">
        <v>33003</v>
      </c>
      <c r="P487" s="26" t="str">
        <f ca="1">IF(O487="","",DATEDIF(O487,TODAY(),"Y")&amp;" tahun")</f>
        <v>36 tahun</v>
      </c>
      <c r="Q487" s="5" t="s">
        <v>46</v>
      </c>
      <c r="R487" s="9"/>
      <c r="S487" s="27" t="s">
        <v>2214</v>
      </c>
      <c r="T487" s="5" t="s">
        <v>2215</v>
      </c>
      <c r="U487" s="5" t="s">
        <v>81</v>
      </c>
      <c r="V487" s="27" t="s">
        <v>2216</v>
      </c>
      <c r="W487" s="27"/>
      <c r="X487" s="9"/>
      <c r="Y487" s="27"/>
      <c r="Z487" s="9"/>
      <c r="AA487" s="9" t="s">
        <v>372</v>
      </c>
      <c r="AB487" s="6"/>
    </row>
    <row r="488" spans="1:35" hidden="1">
      <c r="A488" s="5" t="str">
        <f>IF(AA488="aktif",MAX($A$1:A487)+1,"")</f>
        <v/>
      </c>
      <c r="B488" s="25"/>
      <c r="C488" s="19" t="s">
        <v>2217</v>
      </c>
      <c r="D488" s="136"/>
      <c r="E488" s="16" t="s">
        <v>2065</v>
      </c>
      <c r="F488" s="1"/>
      <c r="G488" s="5" t="s">
        <v>2185</v>
      </c>
      <c r="H488" s="132"/>
      <c r="I488" s="5"/>
      <c r="J488" s="16" t="s">
        <v>71</v>
      </c>
      <c r="K488" s="101"/>
      <c r="L488" s="26">
        <v>45929</v>
      </c>
      <c r="M488" s="26" t="str">
        <f ca="1">DATEDIF(L488,TODAY(),"Y") &amp;" tahun " &amp; DATEDIF(L488,TODAY(),"YM")&amp;" bulan"</f>
        <v>0 tahun 10 bulan</v>
      </c>
      <c r="N488" s="5" t="s">
        <v>31</v>
      </c>
      <c r="O488" s="26">
        <v>34339</v>
      </c>
      <c r="P488" s="26" t="str">
        <f ca="1">IF(O488="","",DATEDIF(O488,TODAY(),"Y")&amp;" tahun")</f>
        <v>32 tahun</v>
      </c>
      <c r="Q488" s="5" t="s">
        <v>46</v>
      </c>
      <c r="R488" s="9"/>
      <c r="S488" s="27" t="s">
        <v>2218</v>
      </c>
      <c r="T488" s="5" t="s">
        <v>2219</v>
      </c>
      <c r="U488" s="5" t="s">
        <v>81</v>
      </c>
      <c r="V488" s="27" t="s">
        <v>2220</v>
      </c>
      <c r="W488" s="27" t="s">
        <v>2221</v>
      </c>
      <c r="X488" s="9"/>
      <c r="Y488" s="27"/>
      <c r="Z488" s="9"/>
      <c r="AA488" s="9" t="s">
        <v>372</v>
      </c>
      <c r="AB488" s="6"/>
    </row>
    <row r="489" spans="1:35">
      <c r="F489" s="1"/>
      <c r="G489" s="1"/>
      <c r="I489" s="2"/>
      <c r="J489" s="2"/>
      <c r="K489" s="2"/>
      <c r="L489" s="51"/>
      <c r="M489" s="2"/>
      <c r="T489" s="14"/>
      <c r="U489" s="14"/>
    </row>
    <row r="490" spans="1:35">
      <c r="F490" s="1"/>
      <c r="G490" s="1"/>
      <c r="I490" s="2"/>
      <c r="J490" s="2"/>
      <c r="K490" s="2"/>
      <c r="L490" s="51"/>
      <c r="M490" s="2"/>
    </row>
    <row r="491" spans="1:35">
      <c r="F491" s="2"/>
      <c r="G491" s="2"/>
      <c r="I491" s="2"/>
      <c r="J491" s="2"/>
      <c r="K491" s="2"/>
      <c r="L491" s="51"/>
      <c r="M491" s="2"/>
    </row>
    <row r="492" spans="1:35">
      <c r="F492" s="1"/>
      <c r="G492" s="1"/>
      <c r="I492" s="2"/>
      <c r="J492" s="2"/>
      <c r="K492" s="2"/>
      <c r="L492" s="51"/>
      <c r="M492" s="2"/>
    </row>
    <row r="493" spans="1:35">
      <c r="F493" s="1"/>
      <c r="G493" s="1"/>
      <c r="I493" s="2"/>
      <c r="J493" s="2"/>
      <c r="K493" s="2"/>
      <c r="L493" s="51"/>
      <c r="M493" s="2"/>
    </row>
    <row r="494" spans="1:35">
      <c r="F494" s="1"/>
      <c r="G494" s="1"/>
      <c r="I494" s="2"/>
      <c r="J494" s="2"/>
      <c r="K494" s="2"/>
      <c r="L494" s="51"/>
      <c r="M494" s="2"/>
    </row>
    <row r="495" spans="1:35">
      <c r="F495" s="1"/>
      <c r="G495" s="1"/>
      <c r="I495" s="2"/>
      <c r="J495" s="2"/>
      <c r="K495" s="2"/>
      <c r="L495" s="51"/>
      <c r="M495" s="2"/>
    </row>
    <row r="496" spans="1:35">
      <c r="F496" s="1"/>
      <c r="G496" s="1"/>
      <c r="I496" s="2"/>
      <c r="J496" s="2"/>
      <c r="K496" s="2"/>
      <c r="L496" s="51"/>
      <c r="M496" s="2"/>
    </row>
    <row r="497" spans="6:13">
      <c r="F497" s="1"/>
      <c r="G497" s="1"/>
      <c r="J497" s="2"/>
      <c r="K497" s="2"/>
      <c r="L497" s="52"/>
      <c r="M497" s="2"/>
    </row>
    <row r="498" spans="6:13">
      <c r="F498" s="1"/>
      <c r="G498" s="1"/>
      <c r="J498" s="2"/>
      <c r="K498" s="2"/>
      <c r="L498" s="52"/>
      <c r="M498" s="2"/>
    </row>
    <row r="499" spans="6:13">
      <c r="F499" s="1"/>
      <c r="G499" s="1"/>
      <c r="J499" s="2"/>
      <c r="K499" s="2"/>
      <c r="L499" s="52"/>
      <c r="M499" s="2"/>
    </row>
    <row r="500" spans="6:13">
      <c r="F500" s="1"/>
      <c r="G500" s="1"/>
      <c r="J500" s="2"/>
      <c r="K500" s="2"/>
      <c r="L500" s="52"/>
      <c r="M500" s="2"/>
    </row>
    <row r="501" spans="6:13">
      <c r="F501" s="1"/>
      <c r="G501" s="1"/>
      <c r="J501" s="2"/>
      <c r="K501" s="2"/>
      <c r="L501" s="52"/>
      <c r="M501" s="2"/>
    </row>
    <row r="502" spans="6:13">
      <c r="J502" s="2"/>
      <c r="K502" s="2"/>
      <c r="L502" s="51"/>
      <c r="M502" s="2"/>
    </row>
    <row r="503" spans="6:13">
      <c r="J503" s="2"/>
      <c r="K503" s="2"/>
      <c r="L503" s="51"/>
      <c r="M503" s="2"/>
    </row>
    <row r="504" spans="6:13">
      <c r="I504" s="2"/>
      <c r="J504" s="2"/>
      <c r="K504" s="2"/>
      <c r="L504" s="51"/>
      <c r="M504" s="2"/>
    </row>
    <row r="505" spans="6:13">
      <c r="I505" s="2"/>
      <c r="J505" s="2"/>
      <c r="K505" s="2"/>
      <c r="L505" s="51"/>
      <c r="M505" s="2"/>
    </row>
    <row r="506" spans="6:13">
      <c r="J506" s="2"/>
      <c r="K506" s="2"/>
      <c r="L506" s="52"/>
      <c r="M506" s="2"/>
    </row>
    <row r="507" spans="6:13">
      <c r="J507" s="2"/>
      <c r="K507" s="2"/>
      <c r="L507" s="52"/>
      <c r="M507" s="2"/>
    </row>
    <row r="508" spans="6:13">
      <c r="J508" s="2"/>
      <c r="K508" s="2"/>
      <c r="L508" s="52"/>
      <c r="M508" s="2"/>
    </row>
    <row r="509" spans="6:13">
      <c r="J509" s="2"/>
      <c r="K509" s="2"/>
      <c r="L509" s="52"/>
      <c r="M509" s="2"/>
    </row>
    <row r="510" spans="6:13">
      <c r="J510" s="2"/>
      <c r="K510" s="2"/>
      <c r="L510" s="52"/>
      <c r="M510" s="2"/>
    </row>
  </sheetData>
  <autoFilter ref="A1:AB488" xr:uid="{4CD38E6C-441C-4E77-B1B8-477140E36809}">
    <filterColumn colId="26">
      <filters blank="1">
        <filter val="Aktif"/>
      </filters>
    </filterColumn>
  </autoFilter>
  <conditionalFormatting sqref="B110">
    <cfRule type="duplicateValues" dxfId="2" priority="2"/>
  </conditionalFormatting>
  <conditionalFormatting sqref="B111">
    <cfRule type="duplicateValues" dxfId="1" priority="1"/>
  </conditionalFormatting>
  <conditionalFormatting sqref="C487:D488 C483:D484 C2:C95 C97:C115 C119:C412 C414:C448 C451:C482">
    <cfRule type="duplicateValues" dxfId="0" priority="3"/>
  </conditionalFormatting>
  <dataValidations count="11">
    <dataValidation allowBlank="1" showErrorMessage="1" sqref="D1:D190 D197:D482" xr:uid="{ED9F8C9E-A0D9-4007-9B9B-CC04779DEC96}"/>
    <dataValidation type="list" allowBlank="1" showErrorMessage="1" sqref="F499:G501 F494:G494 G484:G486 F475:F477 G447:G449 F447:F464 G460:G474 F471" xr:uid="{BBE3ADEE-7AED-4B4D-AFDE-FA61C3F98708}">
      <formula1>"Corr,Printing,Non Print,Meknanik,QC,Ekspedisi,Umum,PPIC,Gudang Bahan Baku,Gudang Barang Jadi,Gudang Sparepart,PPIC Non Staff,Listrik,Mekanik,Internal"</formula1>
    </dataValidation>
    <dataValidation type="list" allowBlank="1" showErrorMessage="1" sqref="B355:B483 B254:B296 B127:B139 B204 B206 B109 B487:B488" xr:uid="{80D61B98-C500-4D23-8549-6A3C8C74D03C}">
      <formula1>"Produksi,Support Produksi,Marketing"</formula1>
    </dataValidation>
    <dataValidation showErrorMessage="1" sqref="F206:G441 F122 F139:F205 H129:H154 G147:G205 F1:G108 F112:F119 G109:G112" xr:uid="{C19F4675-BFFF-4008-A298-50FDA1470C80}"/>
    <dataValidation type="list" allowBlank="1" showErrorMessage="1" sqref="AB266:AB296 AB311 AB375:AB450 AB328:AB348 AB198:AB199" xr:uid="{DFB85756-6905-4729-ADE7-1633B4A1F9A1}">
      <formula1>"Tidak Aktif,Aktif"</formula1>
    </dataValidation>
    <dataValidation type="list" allowBlank="1" showErrorMessage="1" sqref="H41:H52 F492:G493 F497:G498 F488:G490 F479 F477 G446:G449 F457:F464 G460:G464 F473 F481:F482 G482 F446:F455 G466:G474 F471 F111 G486:G488" xr:uid="{8F44D4FD-6AF7-4FB7-A17A-692F100F1F37}">
      <formula1>"Corr,Printing,Non Print,Meknanik,QC,Ekspedisi,Umum,PPIC,Gudang Bahan Baku,Gudang Barang Jadi,Gudang Sparepart,PPIC Non Staff,Listrik,Mekanik"</formula1>
    </dataValidation>
    <dataValidation type="list" allowBlank="1" showErrorMessage="1" sqref="J476:K476 J205:K449 J483:K483 I112 I122 J454:K474 I205 J2:K108 I107:I108 J113:K203" xr:uid="{90397A68-1BE1-43DC-A368-4FE6E2F0401E}">
      <formula1>"Tetap,Kontrak,Harian Lepas,Borongan"</formula1>
    </dataValidation>
    <dataValidation type="list" allowBlank="1" showErrorMessage="1" sqref="N451:N484 N2:N18 M19 N97:N106 N223:N449 N20:N95 M122 M190 N191:N195 M196 N197:N203 N123:N189 M204:M205 N206:N221 N109:N121 M107:M108 N487:N488" xr:uid="{BC695D81-7C76-4A8D-9F56-8EC473953193}">
      <formula1>"Laki-laki,Perempuan"</formula1>
    </dataValidation>
    <dataValidation type="list" allowBlank="1" showErrorMessage="1" sqref="U20:U49 U417:U448 U488 U2:U18 T19 U99:U106 U223:U415 U51:U95 U113:U121 T190 U191:U195 T196 U197:U203 U123:U189 T204:T205 U206:U221 T222 T107:T108 T112" xr:uid="{63E094F1-BD62-45FC-AE0C-EC9010B93E87}">
      <formula1>"Kawin,Belum Kawin"</formula1>
    </dataValidation>
    <dataValidation type="list" allowBlank="1" showErrorMessage="1" sqref="AB50 AA27:AB27 AA20:AA26 AA28:AA49 AB395:AB450 AA2:AA18 Z19 AA51:AA106 AA113:AA121 Z122 Z190 AA191:AA195 Z196 Z204:Z205 AB129:AB139 AA123:AA189 AA197:AA204 AA206:AA221 Z222 AA109:AA111 Z107:Z108 Z112 AA223:AA488" xr:uid="{8AA6B8B7-B05D-4A55-AD39-DDE0337C35E3}">
      <formula1>"Aktif,Tidak Aktif"</formula1>
    </dataValidation>
    <dataValidation type="list" allowBlank="1" showErrorMessage="1" sqref="J128:K139 J451:K482 J254:K296 J350:K449 J484:K510 I110:I111 J103:K112" xr:uid="{FAF57A32-06E7-4B01-BBE0-4277DD110772}">
      <formula1>"Kontrak,HL,Borongan"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DATA</vt:lpstr>
      <vt:lpstr>DATA (2)</vt:lpstr>
      <vt:lpstr>DATA!Print_Area</vt:lpstr>
      <vt:lpstr>'DATA (2)'!Print_Area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 afandi</dc:creator>
  <cp:keywords/>
  <dc:description/>
  <cp:lastModifiedBy>Hrd-3</cp:lastModifiedBy>
  <cp:revision/>
  <cp:lastPrinted>2026-05-07T07:11:12Z</cp:lastPrinted>
  <dcterms:created xsi:type="dcterms:W3CDTF">2025-11-14T06:18:07Z</dcterms:created>
  <dcterms:modified xsi:type="dcterms:W3CDTF">2026-08-10T03:36:40Z</dcterms:modified>
  <cp:category/>
  <cp:contentStatus/>
</cp:coreProperties>
</file>