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K MINUS" sheetId="1" state="visible" r:id="rId3"/>
    <sheet name="PENJELASAN" sheetId="2" state="visible" r:id="rId4"/>
  </sheets>
  <definedNames>
    <definedName function="false" hidden="true" localSheetId="0" name="_xlnm._FilterDatabase" vbProcedure="false">'STOK MINUS'!$A$5:$K$22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<sst xmlns="http://schemas.openxmlformats.org/spreadsheetml/2006/main" count="151" uniqueCount="86">
  <si>
    <t xml:space="preserve">DAFTAR STOK MINUS — PERLU PENGECEKAN FISIK</t>
  </si>
  <si>
    <t xml:space="preserve">Posisi sistem 05 Agustus 2026 | Patokan gudang: saldo Excel per 03 Agustus 2026</t>
  </si>
  <si>
    <t xml:space="preserve">17 NO. OP, total -56.055 pc dari 1.184.173 pc stok normal (sekitar 4,7%)</t>
  </si>
  <si>
    <t xml:space="preserve">NO</t>
  </si>
  <si>
    <t xml:space="preserve">NO. SC</t>
  </si>
  <si>
    <t xml:space="preserve">CUSTOMER</t>
  </si>
  <si>
    <t xml:space="preserve">ITEM</t>
  </si>
  <si>
    <t xml:space="preserve">STOK SISTEM (PC)</t>
  </si>
  <si>
    <t xml:space="preserve">KONDISI DATA</t>
  </si>
  <si>
    <t xml:space="preserve">DUGAAN PENYEBAB</t>
  </si>
  <si>
    <t xml:space="preserve">DITUJUKAN KE</t>
  </si>
  <si>
    <t xml:space="preserve">TINDAKAN YANG DIMINTA</t>
  </si>
  <si>
    <t xml:space="preserve">HASIL PENGECEKAN</t>
  </si>
  <si>
    <t xml:space="preserve">PARAF</t>
  </si>
  <si>
    <t xml:space="preserve">SLC/2607/00018</t>
  </si>
  <si>
    <t xml:space="preserve">KEBUN TEBU MAS, PT</t>
  </si>
  <si>
    <t xml:space="preserve">CARTON BOX 1 KG LARIST</t>
  </si>
  <si>
    <t xml:space="preserve">TIDAK ADA PATOKAN</t>
  </si>
  <si>
    <t xml:space="preserve">Tidak tercatat di file stok gudang (sheet BOX maupun PART+LAYER), padahal database mencatat STB dan pengiriman.</t>
  </si>
  <si>
    <t xml:space="preserve">Gudang</t>
  </si>
  <si>
    <t xml:space="preserve">Pastikan: barang langsung kirim tanpa masuk gudang, atau memang belum ikut dipantau di file stok?</t>
  </si>
  <si>
    <t xml:space="preserve">SLC/2607/01011</t>
  </si>
  <si>
    <t xml:space="preserve">DUA KELINCI, PT</t>
  </si>
  <si>
    <t xml:space="preserve">(4072936) BOX TOS 20G OPT 3 VAR</t>
  </si>
  <si>
    <t xml:space="preserve">KIRIM MELEBIHI PATOKAN</t>
  </si>
  <si>
    <t xml:space="preserve">Surat jalan setelah 03 Agustus melebihi saldo gudang. Kemungkinan barang keluar sebelum 03 Agustus tapi surat jalan baru dibuat setelahnya.</t>
  </si>
  <si>
    <t xml:space="preserve">Pengiriman</t>
  </si>
  <si>
    <t xml:space="preserve">Cocokkan tanggal surat jalan dengan tanggal barang keluar fisik.</t>
  </si>
  <si>
    <t xml:space="preserve">SLC/2607/00570</t>
  </si>
  <si>
    <t xml:space="preserve">CARTON BOX 500 GR LARIST</t>
  </si>
  <si>
    <t xml:space="preserve">SLC/2607/00854</t>
  </si>
  <si>
    <t xml:space="preserve">WELIRANG TIRTA MANDIRI, CV</t>
  </si>
  <si>
    <t xml:space="preserve">AMDK SHAFA 200 ML</t>
  </si>
  <si>
    <t xml:space="preserve">SLC/2607/01229</t>
  </si>
  <si>
    <t xml:space="preserve">WILMAR NABATI INDONESIA, PT</t>
  </si>
  <si>
    <t xml:space="preserve">CARTON MINYAKITA POUCH 1L X 12</t>
  </si>
  <si>
    <t xml:space="preserve">SLC/2603/00600</t>
  </si>
  <si>
    <t xml:space="preserve">BAYER INDONESIA, PT</t>
  </si>
  <si>
    <t xml:space="preserve">PART PJG 1L1</t>
  </si>
  <si>
    <t xml:space="preserve">SLC/2607/00487</t>
  </si>
  <si>
    <t xml:space="preserve">SUN PAPER SOURCE, PT</t>
  </si>
  <si>
    <t xml:space="preserve">03.06.02.0175 CB SOFTPACK FAVOUR MOLANG 200 S R1</t>
  </si>
  <si>
    <t xml:space="preserve">SLC/2607/01339</t>
  </si>
  <si>
    <t xml:space="preserve">SIANTAR TOP TBK, PT</t>
  </si>
  <si>
    <t xml:space="preserve">DUS GEMEZ ENAAK SPICY LEVEL 3 POLYBAG 4IN1 DAIN KOREA</t>
  </si>
  <si>
    <t xml:space="preserve">SLC/2607/00932</t>
  </si>
  <si>
    <t xml:space="preserve">DUS DEO GORIORIO CBP 500 CENTANG ISI 240 PCS</t>
  </si>
  <si>
    <t xml:space="preserve">SLC/2607/00949</t>
  </si>
  <si>
    <t xml:space="preserve">CARTON FORTUNE POUCH 6 X 2 L</t>
  </si>
  <si>
    <t xml:space="preserve">SLC/2607/00978</t>
  </si>
  <si>
    <t xml:space="preserve">KERAMIK DIAMOND INDUSTRIES</t>
  </si>
  <si>
    <t xml:space="preserve">40 X 40 STARGRES KW 1</t>
  </si>
  <si>
    <t xml:space="preserve">SLC/2607/00053</t>
  </si>
  <si>
    <t xml:space="preserve">MISSOURI, CV</t>
  </si>
  <si>
    <t xml:space="preserve">BOX DOC HM 623 (BOTTOM)</t>
  </si>
  <si>
    <t xml:space="preserve">SLC/2607/01381</t>
  </si>
  <si>
    <t xml:space="preserve">BERKAT MAKMUR SEJAHTERA ABADI, PT</t>
  </si>
  <si>
    <t xml:space="preserve">SHEET - 680 X 2400 MM (BERSIH)</t>
  </si>
  <si>
    <t xml:space="preserve">SLC/2607/01183</t>
  </si>
  <si>
    <t xml:space="preserve">MITRA KEMAS PAPERINDO, CV</t>
  </si>
  <si>
    <t xml:space="preserve">SHEET - 812 X 3078 MM</t>
  </si>
  <si>
    <t xml:space="preserve">SLC/2607/01232</t>
  </si>
  <si>
    <t xml:space="preserve">ES PACKAGING, CV</t>
  </si>
  <si>
    <t xml:space="preserve">SHEET - 825 X 2260 MM (BERSIH)</t>
  </si>
  <si>
    <t xml:space="preserve">SLC/2607/01347</t>
  </si>
  <si>
    <t xml:space="preserve">SSS SUN INDUSTRIES, PT</t>
  </si>
  <si>
    <t xml:space="preserve">SHEET - 640 X 875 MM (BERSIH)</t>
  </si>
  <si>
    <t xml:space="preserve">SLC/2606/00745</t>
  </si>
  <si>
    <t xml:space="preserve">MASPION, PT</t>
  </si>
  <si>
    <t xml:space="preserve">DOOS LUAR EX 1000 (ISI 12)</t>
  </si>
  <si>
    <t xml:space="preserve">TOTAL</t>
  </si>
  <si>
    <t xml:space="preserve">CARA MEMBACA DAFTAR INI</t>
  </si>
  <si>
    <t xml:space="preserve">Stok sistem minus</t>
  </si>
  <si>
    <t xml:space="preserve">Bukan berarti gudang kehilangan barang. Artinya jumlah yang dikirim menurut database melebihi saldo yang tercatat di file stok gudang.</t>
  </si>
  <si>
    <t xml:space="preserve">Patokan yang dipakai</t>
  </si>
  <si>
    <t xml:space="preserve">Saldo file Excel gudang per 03 Agustus 2026: BOX 776.500 pc + PART/LAYER 289.406 pc = 1.065.906 pc.</t>
  </si>
  <si>
    <t xml:space="preserve">Cara hitung sistem</t>
  </si>
  <si>
    <t xml:space="preserve">Saldo Excel per 03 Agustus + STB setelah tanggal itu - surat jalan setelah tanggal itu + retur setelah tanggal itu.</t>
  </si>
  <si>
    <t xml:space="preserve">9 NO. OP, -37.685 pc. Nomor OP ini tidak ada di file stok gudang, atau ada tapi semua kolomnya nol. Contoh paling jelas: item "SHEET - ..." tidak muncul sama sekali di sheet BOX maupun PART+LAYER.</t>
  </si>
  <si>
    <t xml:space="preserve">Pertanyaan untuk gudang: apakah barang ini langsung kirim tanpa masuk gudang, atau ada kategori barang yang belum ikut dipantau di file stok harian?</t>
  </si>
  <si>
    <t xml:space="preserve">8 NO. OP, -18.370 pc. Contoh SLC/2607/00487 SUN PAPER: file gudang mencatat barang keluar 1.620 pc pada 01 Agustus dan saldo akhirnya nol, tapi surat jalan di database bertanggal setelah 03 Agustus. Barang yang sama terpotong dua kali.</t>
  </si>
  <si>
    <t xml:space="preserve">Pertanyaan untuk pengiriman: apakah tanggal surat jalan bisa disamakan dengan tanggal barang keluar fisik?</t>
  </si>
  <si>
    <t xml:space="preserve">Kalau sudah dicek</t>
  </si>
  <si>
    <t xml:space="preserve">Isi kolom HASIL PENGECEKAN, lalu kirimkan kembali. Sebagian besar kemungkinan cukup diselesaikan lewat penyesuaian saldo awal bulan berikutnya.</t>
  </si>
  <si>
    <t xml:space="preserve">Catatan</t>
  </si>
  <si>
    <t xml:space="preserve">Selama belum dibereskan, 17 nomor ini tetap muncul di dashboard dengan penanda kondisi data, tidak disembunyikan.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</si>
</sst>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3CD"/>
      </patternFill>
    </fill>
    <fill>
      <patternFill patternType="solid">
        <fgColor rgb="FFFFF3CD"/>
        <bgColor rgb="FFFCE4E4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44"/>
    <col collapsed="false" customWidth="true" hidden="false" outlineLevel="0" max="8" min="8" style="0" width="13"/>
    <col collapsed="false" customWidth="true" hidden="false" outlineLevel="0" max="9" min="9" style="0" width="40"/>
    <col collapsed="false" customWidth="true" hidden="false" outlineLevel="0" max="10" min="10" style="0" width="26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45.75" hidden="false" customHeight="true" outlineLevel="0" collapsed="false">
      <c r="A6" s="5" t="n">
        <v>1</v>
      </c>
      <c r="B6" s="5" t="s">
        <v>14</v>
      </c>
      <c r="C6" s="5" t="s">
        <v>15</v>
      </c>
      <c r="D6" s="6" t="s">
        <v>16</v>
      </c>
      <c r="E6" s="7" t="n">
        <v>-12850</v>
      </c>
      <c r="F6" s="8" t="s">
        <v>17</v>
      </c>
      <c r="G6" s="9" t="s">
        <v>18</v>
      </c>
      <c r="H6" s="8" t="s">
        <v>19</v>
      </c>
      <c r="I6" s="6" t="s">
        <v>20</v>
      </c>
      <c r="J6" s="5"/>
      <c r="K6" s="5"/>
    </row>
    <row r="7" customFormat="false" ht="45.75" hidden="false" customHeight="true" outlineLevel="0" collapsed="false">
      <c r="A7" s="5" t="n">
        <v>2</v>
      </c>
      <c r="B7" s="5" t="s">
        <v>21</v>
      </c>
      <c r="C7" s="5" t="s">
        <v>22</v>
      </c>
      <c r="D7" s="6" t="s">
        <v>23</v>
      </c>
      <c r="E7" s="7" t="n">
        <v>-8920</v>
      </c>
      <c r="F7" s="10" t="s">
        <v>24</v>
      </c>
      <c r="G7" s="11" t="s">
        <v>25</v>
      </c>
      <c r="H7" s="10" t="s">
        <v>26</v>
      </c>
      <c r="I7" s="6" t="s">
        <v>27</v>
      </c>
      <c r="J7" s="5"/>
      <c r="K7" s="5"/>
    </row>
    <row r="8" customFormat="false" ht="45.75" hidden="false" customHeight="true" outlineLevel="0" collapsed="false">
      <c r="A8" s="5" t="n">
        <v>3</v>
      </c>
      <c r="B8" s="5" t="s">
        <v>28</v>
      </c>
      <c r="C8" s="5" t="s">
        <v>15</v>
      </c>
      <c r="D8" s="6" t="s">
        <v>29</v>
      </c>
      <c r="E8" s="7" t="n">
        <v>-8675</v>
      </c>
      <c r="F8" s="8" t="s">
        <v>17</v>
      </c>
      <c r="G8" s="9" t="s">
        <v>18</v>
      </c>
      <c r="H8" s="8" t="s">
        <v>19</v>
      </c>
      <c r="I8" s="6" t="s">
        <v>20</v>
      </c>
      <c r="J8" s="5"/>
      <c r="K8" s="5"/>
    </row>
    <row r="9" customFormat="false" ht="45.75" hidden="false" customHeight="true" outlineLevel="0" collapsed="false">
      <c r="A9" s="5" t="n">
        <v>4</v>
      </c>
      <c r="B9" s="5" t="s">
        <v>30</v>
      </c>
      <c r="C9" s="5" t="s">
        <v>31</v>
      </c>
      <c r="D9" s="6" t="s">
        <v>32</v>
      </c>
      <c r="E9" s="7" t="n">
        <v>-7520</v>
      </c>
      <c r="F9" s="8" t="s">
        <v>17</v>
      </c>
      <c r="G9" s="9" t="s">
        <v>18</v>
      </c>
      <c r="H9" s="8" t="s">
        <v>19</v>
      </c>
      <c r="I9" s="6" t="s">
        <v>20</v>
      </c>
      <c r="J9" s="5"/>
      <c r="K9" s="5"/>
    </row>
    <row r="10" customFormat="false" ht="45.75" hidden="false" customHeight="true" outlineLevel="0" collapsed="false">
      <c r="A10" s="5" t="n">
        <v>5</v>
      </c>
      <c r="B10" s="5" t="s">
        <v>33</v>
      </c>
      <c r="C10" s="5" t="s">
        <v>34</v>
      </c>
      <c r="D10" s="6" t="s">
        <v>35</v>
      </c>
      <c r="E10" s="7" t="n">
        <v>-5280</v>
      </c>
      <c r="F10" s="8" t="s">
        <v>17</v>
      </c>
      <c r="G10" s="9" t="s">
        <v>18</v>
      </c>
      <c r="H10" s="8" t="s">
        <v>19</v>
      </c>
      <c r="I10" s="6" t="s">
        <v>20</v>
      </c>
      <c r="J10" s="5"/>
      <c r="K10" s="5"/>
    </row>
    <row r="11" customFormat="false" ht="45.75" hidden="false" customHeight="true" outlineLevel="0" collapsed="false">
      <c r="A11" s="5" t="n">
        <v>6</v>
      </c>
      <c r="B11" s="5" t="s">
        <v>36</v>
      </c>
      <c r="C11" s="5" t="s">
        <v>37</v>
      </c>
      <c r="D11" s="6" t="s">
        <v>38</v>
      </c>
      <c r="E11" s="7" t="n">
        <v>-3280</v>
      </c>
      <c r="F11" s="10" t="s">
        <v>24</v>
      </c>
      <c r="G11" s="11" t="s">
        <v>25</v>
      </c>
      <c r="H11" s="10" t="s">
        <v>26</v>
      </c>
      <c r="I11" s="6" t="s">
        <v>27</v>
      </c>
      <c r="J11" s="5"/>
      <c r="K11" s="5"/>
    </row>
    <row r="12" customFormat="false" ht="45.75" hidden="false" customHeight="true" outlineLevel="0" collapsed="false">
      <c r="A12" s="5" t="n">
        <v>7</v>
      </c>
      <c r="B12" s="5" t="s">
        <v>39</v>
      </c>
      <c r="C12" s="5" t="s">
        <v>40</v>
      </c>
      <c r="D12" s="6" t="s">
        <v>41</v>
      </c>
      <c r="E12" s="7" t="n">
        <v>-2800</v>
      </c>
      <c r="F12" s="10" t="s">
        <v>24</v>
      </c>
      <c r="G12" s="11" t="s">
        <v>25</v>
      </c>
      <c r="H12" s="10" t="s">
        <v>26</v>
      </c>
      <c r="I12" s="6" t="s">
        <v>27</v>
      </c>
      <c r="J12" s="5"/>
      <c r="K12" s="5"/>
    </row>
    <row r="13" customFormat="false" ht="45.75" hidden="false" customHeight="true" outlineLevel="0" collapsed="false">
      <c r="A13" s="5" t="n">
        <v>8</v>
      </c>
      <c r="B13" s="5" t="s">
        <v>42</v>
      </c>
      <c r="C13" s="5" t="s">
        <v>43</v>
      </c>
      <c r="D13" s="6" t="s">
        <v>44</v>
      </c>
      <c r="E13" s="7" t="n">
        <v>-2780</v>
      </c>
      <c r="F13" s="8" t="s">
        <v>17</v>
      </c>
      <c r="G13" s="9" t="s">
        <v>18</v>
      </c>
      <c r="H13" s="8" t="s">
        <v>19</v>
      </c>
      <c r="I13" s="6" t="s">
        <v>20</v>
      </c>
      <c r="J13" s="5"/>
      <c r="K13" s="5"/>
    </row>
    <row r="14" customFormat="false" ht="45.75" hidden="false" customHeight="true" outlineLevel="0" collapsed="false">
      <c r="A14" s="5" t="n">
        <v>9</v>
      </c>
      <c r="B14" s="5" t="s">
        <v>45</v>
      </c>
      <c r="C14" s="5" t="s">
        <v>43</v>
      </c>
      <c r="D14" s="6" t="s">
        <v>46</v>
      </c>
      <c r="E14" s="7" t="n">
        <v>-1265</v>
      </c>
      <c r="F14" s="10" t="s">
        <v>24</v>
      </c>
      <c r="G14" s="11" t="s">
        <v>25</v>
      </c>
      <c r="H14" s="10" t="s">
        <v>26</v>
      </c>
      <c r="I14" s="6" t="s">
        <v>27</v>
      </c>
      <c r="J14" s="5"/>
      <c r="K14" s="5"/>
    </row>
    <row r="15" customFormat="false" ht="45.75" hidden="false" customHeight="true" outlineLevel="0" collapsed="false">
      <c r="A15" s="5" t="n">
        <v>10</v>
      </c>
      <c r="B15" s="5" t="s">
        <v>47</v>
      </c>
      <c r="C15" s="5" t="s">
        <v>34</v>
      </c>
      <c r="D15" s="6" t="s">
        <v>48</v>
      </c>
      <c r="E15" s="7" t="n">
        <v>-960</v>
      </c>
      <c r="F15" s="10" t="s">
        <v>24</v>
      </c>
      <c r="G15" s="11" t="s">
        <v>25</v>
      </c>
      <c r="H15" s="10" t="s">
        <v>26</v>
      </c>
      <c r="I15" s="6" t="s">
        <v>27</v>
      </c>
      <c r="J15" s="5"/>
      <c r="K15" s="5"/>
    </row>
    <row r="16" customFormat="false" ht="45.75" hidden="false" customHeight="true" outlineLevel="0" collapsed="false">
      <c r="A16" s="5" t="n">
        <v>11</v>
      </c>
      <c r="B16" s="5" t="s">
        <v>49</v>
      </c>
      <c r="C16" s="5" t="s">
        <v>50</v>
      </c>
      <c r="D16" s="6" t="s">
        <v>51</v>
      </c>
      <c r="E16" s="7" t="n">
        <v>-700</v>
      </c>
      <c r="F16" s="10" t="s">
        <v>24</v>
      </c>
      <c r="G16" s="11" t="s">
        <v>25</v>
      </c>
      <c r="H16" s="10" t="s">
        <v>26</v>
      </c>
      <c r="I16" s="6" t="s">
        <v>27</v>
      </c>
      <c r="J16" s="5"/>
      <c r="K16" s="5"/>
    </row>
    <row r="17" customFormat="false" ht="45.75" hidden="false" customHeight="true" outlineLevel="0" collapsed="false">
      <c r="A17" s="5" t="n">
        <v>12</v>
      </c>
      <c r="B17" s="5" t="s">
        <v>52</v>
      </c>
      <c r="C17" s="5" t="s">
        <v>53</v>
      </c>
      <c r="D17" s="6" t="s">
        <v>54</v>
      </c>
      <c r="E17" s="7" t="n">
        <v>-400</v>
      </c>
      <c r="F17" s="10" t="s">
        <v>24</v>
      </c>
      <c r="G17" s="11" t="s">
        <v>25</v>
      </c>
      <c r="H17" s="10" t="s">
        <v>26</v>
      </c>
      <c r="I17" s="6" t="s">
        <v>27</v>
      </c>
      <c r="J17" s="5"/>
      <c r="K17" s="5"/>
    </row>
    <row r="18" customFormat="false" ht="45.75" hidden="false" customHeight="true" outlineLevel="0" collapsed="false">
      <c r="A18" s="5" t="n">
        <v>13</v>
      </c>
      <c r="B18" s="5" t="s">
        <v>55</v>
      </c>
      <c r="C18" s="5" t="s">
        <v>56</v>
      </c>
      <c r="D18" s="6" t="s">
        <v>57</v>
      </c>
      <c r="E18" s="7" t="n">
        <v>-220</v>
      </c>
      <c r="F18" s="8" t="s">
        <v>17</v>
      </c>
      <c r="G18" s="9" t="s">
        <v>18</v>
      </c>
      <c r="H18" s="8" t="s">
        <v>19</v>
      </c>
      <c r="I18" s="6" t="s">
        <v>20</v>
      </c>
      <c r="J18" s="5"/>
      <c r="K18" s="5"/>
    </row>
    <row r="19" customFormat="false" ht="45.75" hidden="false" customHeight="true" outlineLevel="0" collapsed="false">
      <c r="A19" s="5" t="n">
        <v>14</v>
      </c>
      <c r="B19" s="5" t="s">
        <v>58</v>
      </c>
      <c r="C19" s="5" t="s">
        <v>59</v>
      </c>
      <c r="D19" s="6" t="s">
        <v>60</v>
      </c>
      <c r="E19" s="7" t="n">
        <v>-160</v>
      </c>
      <c r="F19" s="8" t="s">
        <v>17</v>
      </c>
      <c r="G19" s="9" t="s">
        <v>18</v>
      </c>
      <c r="H19" s="8" t="s">
        <v>19</v>
      </c>
      <c r="I19" s="6" t="s">
        <v>20</v>
      </c>
      <c r="J19" s="5"/>
      <c r="K19" s="5"/>
    </row>
    <row r="20" customFormat="false" ht="45.75" hidden="false" customHeight="true" outlineLevel="0" collapsed="false">
      <c r="A20" s="5" t="n">
        <v>15</v>
      </c>
      <c r="B20" s="5" t="s">
        <v>61</v>
      </c>
      <c r="C20" s="5" t="s">
        <v>62</v>
      </c>
      <c r="D20" s="6" t="s">
        <v>63</v>
      </c>
      <c r="E20" s="7" t="n">
        <v>-150</v>
      </c>
      <c r="F20" s="8" t="s">
        <v>17</v>
      </c>
      <c r="G20" s="9" t="s">
        <v>18</v>
      </c>
      <c r="H20" s="8" t="s">
        <v>19</v>
      </c>
      <c r="I20" s="6" t="s">
        <v>20</v>
      </c>
      <c r="J20" s="5"/>
      <c r="K20" s="5"/>
    </row>
    <row r="21" customFormat="false" ht="45.75" hidden="false" customHeight="true" outlineLevel="0" collapsed="false">
      <c r="A21" s="5" t="n">
        <v>16</v>
      </c>
      <c r="B21" s="5" t="s">
        <v>64</v>
      </c>
      <c r="C21" s="5" t="s">
        <v>65</v>
      </c>
      <c r="D21" s="6" t="s">
        <v>66</v>
      </c>
      <c r="E21" s="7" t="n">
        <v>-50</v>
      </c>
      <c r="F21" s="8" t="s">
        <v>17</v>
      </c>
      <c r="G21" s="9" t="s">
        <v>18</v>
      </c>
      <c r="H21" s="8" t="s">
        <v>19</v>
      </c>
      <c r="I21" s="6" t="s">
        <v>20</v>
      </c>
      <c r="J21" s="5"/>
      <c r="K21" s="5"/>
    </row>
    <row r="22" customFormat="false" ht="45.75" hidden="false" customHeight="true" outlineLevel="0" collapsed="false">
      <c r="A22" s="5" t="n">
        <v>17</v>
      </c>
      <c r="B22" s="5" t="s">
        <v>67</v>
      </c>
      <c r="C22" s="5" t="s">
        <v>68</v>
      </c>
      <c r="D22" s="6" t="s">
        <v>69</v>
      </c>
      <c r="E22" s="7" t="n">
        <v>-45</v>
      </c>
      <c r="F22" s="10" t="s">
        <v>24</v>
      </c>
      <c r="G22" s="11" t="s">
        <v>25</v>
      </c>
      <c r="H22" s="10" t="s">
        <v>26</v>
      </c>
      <c r="I22" s="6" t="s">
        <v>27</v>
      </c>
      <c r="J22" s="5"/>
      <c r="K22" s="5"/>
    </row>
    <row r="23" customFormat="false" ht="15" hidden="false" customHeight="false" outlineLevel="0" collapsed="false">
      <c r="A23" s="12"/>
      <c r="B23" s="12"/>
      <c r="C23" s="12"/>
      <c r="D23" s="12" t="s">
        <v>70</v>
      </c>
      <c r="E23" s="13" t="n">
        <f aca="false">SUM(E6:E22)</f>
        <v>-56055</v>
      </c>
      <c r="F23" s="12"/>
      <c r="G23" s="12"/>
      <c r="H23" s="12"/>
      <c r="I23" s="12"/>
      <c r="J23" s="12"/>
      <c r="K23" s="12"/>
    </row>
  </sheetData>
  <autoFilter ref="A5:K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71</v>
      </c>
      <c r="B1" s="14"/>
    </row>
    <row r="2" customFormat="false" ht="15" hidden="false" customHeight="false" outlineLevel="0" collapsed="false">
      <c r="A2" s="15"/>
      <c r="B2" s="14"/>
    </row>
    <row r="3" customFormat="false" ht="23.85" hidden="false" customHeight="false" outlineLevel="0" collapsed="false">
      <c r="A3" s="16" t="s">
        <v>72</v>
      </c>
      <c r="B3" s="14" t="s">
        <v>73</v>
      </c>
    </row>
    <row r="4" customFormat="false" ht="15" hidden="false" customHeight="false" outlineLevel="0" collapsed="false">
      <c r="A4" s="16" t="s">
        <v>74</v>
      </c>
      <c r="B4" s="14" t="s">
        <v>75</v>
      </c>
    </row>
    <row r="5" customFormat="false" ht="15" hidden="false" customHeight="false" outlineLevel="0" collapsed="false">
      <c r="A5" s="16" t="s">
        <v>76</v>
      </c>
      <c r="B5" s="14" t="s">
        <v>77</v>
      </c>
    </row>
    <row r="6" customFormat="false" ht="15" hidden="false" customHeight="false" outlineLevel="0" collapsed="false">
      <c r="A6" s="15"/>
      <c r="B6" s="14"/>
    </row>
    <row r="7" customFormat="false" ht="23.85" hidden="false" customHeight="false" outlineLevel="0" collapsed="false">
      <c r="A7" s="16" t="s">
        <v>17</v>
      </c>
      <c r="B7" s="14" t="s">
        <v>78</v>
      </c>
    </row>
    <row r="8" customFormat="false" ht="23.85" hidden="false" customHeight="false" outlineLevel="0" collapsed="false">
      <c r="A8" s="16"/>
      <c r="B8" s="14" t="s">
        <v>79</v>
      </c>
    </row>
    <row r="9" customFormat="false" ht="15" hidden="false" customHeight="false" outlineLevel="0" collapsed="false">
      <c r="A9" s="15"/>
      <c r="B9" s="14"/>
    </row>
    <row r="10" customFormat="false" ht="35.05" hidden="false" customHeight="false" outlineLevel="0" collapsed="false">
      <c r="A10" s="16" t="s">
        <v>24</v>
      </c>
      <c r="B10" s="14" t="s">
        <v>80</v>
      </c>
    </row>
    <row r="11" customFormat="false" ht="15" hidden="false" customHeight="false" outlineLevel="0" collapsed="false">
      <c r="A11" s="16"/>
      <c r="B11" s="14" t="s">
        <v>81</v>
      </c>
    </row>
    <row r="12" customFormat="false" ht="15" hidden="false" customHeight="false" outlineLevel="0" collapsed="false">
      <c r="A12" s="15"/>
      <c r="B12" s="14"/>
    </row>
    <row r="13" customFormat="false" ht="23.85" hidden="false" customHeight="false" outlineLevel="0" collapsed="false">
      <c r="A13" s="16" t="s">
        <v>82</v>
      </c>
      <c r="B13" s="14" t="s">
        <v>83</v>
      </c>
    </row>
    <row r="14" customFormat="false" ht="15" hidden="false" customHeight="false" outlineLevel="0" collapsed="false">
      <c r="A14" s="16" t="s">
        <v>84</v>
      </c>
      <c r="B14" s="14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2026-08-05T01:42:13Z</dcterms:created>
  <dc:creator>openpyxl</dc:creator>
  <dc:description/>
  <dc:language>en-US</dc:language>
  <cp:lastModifiedBy/>
  <dcterms:modified xsi:type="dcterms:W3CDTF">2026-08-05T01:42:13Z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