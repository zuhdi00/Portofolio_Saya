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K STB BJ" sheetId="1" state="visible" r:id="rId3"/>
    <sheet name="REKAP PER OP" sheetId="2" state="visible" r:id="rId4"/>
    <sheet name="REKAP AGING" sheetId="3" state="visible" r:id="rId5"/>
    <sheet name="CATATAN" sheetId="4" state="visible" r:id="rId6"/>
  </sheets>
  <definedNames>
    <definedName function="false" hidden="true" localSheetId="1" name="_xlnm._FilterDatabase" vbProcedure="false">'REKAP PER OP'!$A$4:$J$295</definedName>
    <definedName function="false" hidden="true" localSheetId="0" name="_xlnm._FilterDatabase" vbProcedure="false">'STOK STB BJ'!$A$5:$R$302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<sst xmlns="http://schemas.openxmlformats.org/spreadsheetml/2006/main" count="3333" uniqueCount="1373">
  <si>
    <t xml:space="preserve">PT SUPRACOR SEJAHTERA — DATA STOK BARANG JADI (STB BJ)</t>
  </si>
  <si>
    <t xml:space="preserve">Sumber: BOX_AGUSTUS.xlsx sheet "BOX" (Daily Stock Box) | Stok Awal = kolom SALDO AWAL (01 Agu 2026), Stok Akhir = kolom SALDO AKHIR</t>
  </si>
  <si>
    <t xml:space="preserve">TANGGAL CUT-OFF STOK AKHIR</t>
  </si>
  <si>
    <t xml:space="preserve">BATAS "STOK KECIL"</t>
  </si>
  <si>
    <t xml:space="preserve">PC</t>
  </si>
  <si>
    <t xml:space="preserve">KG</t>
  </si>
  <si>
    <t xml:space="preserve">&lt;&lt; sel kuning boleh diubah; UMUR &amp; KATEGORI AGING otomatis menyesuaikan</t>
  </si>
  <si>
    <t xml:space="preserve">NO</t>
  </si>
  <si>
    <t xml:space="preserve">CUSTOMER</t>
  </si>
  <si>
    <t xml:space="preserve">ITEM</t>
  </si>
  <si>
    <t xml:space="preserve">UKURAN</t>
  </si>
  <si>
    <t xml:space="preserve">BERAT (KG/PC)</t>
  </si>
  <si>
    <t xml:space="preserve">NO. MC</t>
  </si>
  <si>
    <t xml:space="preserve">NO. OP</t>
  </si>
  <si>
    <t xml:space="preserve">TGL PRODUKSI TERAKHIR</t>
  </si>
  <si>
    <t xml:space="preserve">QTY ORDER</t>
  </si>
  <si>
    <t xml:space="preserve">STOK AWAL (PC)</t>
  </si>
  <si>
    <t xml:space="preserve">STOK AWAL (KG)</t>
  </si>
  <si>
    <t xml:space="preserve">STOK AKHIR (PC)</t>
  </si>
  <si>
    <t xml:space="preserve">STOK AKHIR (KG)</t>
  </si>
  <si>
    <t xml:space="preserve">UMUR (HARI)</t>
  </si>
  <si>
    <t xml:space="preserve">KATEGORI AGING</t>
  </si>
  <si>
    <t xml:space="preserve">KETERANGAN</t>
  </si>
  <si>
    <t xml:space="preserve">INTERNAL</t>
  </si>
  <si>
    <t xml:space="preserve">SALES</t>
  </si>
  <si>
    <t xml:space="preserve">AIDA ARTAN</t>
  </si>
  <si>
    <t xml:space="preserve">BOX SNACK BABY BOSS 20 G</t>
  </si>
  <si>
    <t xml:space="preserve">460 x 344 x 295</t>
  </si>
  <si>
    <t xml:space="preserve">A031-2600100-A1</t>
  </si>
  <si>
    <t xml:space="preserve">2607/00462</t>
  </si>
  <si>
    <t xml:space="preserve">MIFTA</t>
  </si>
  <si>
    <t xml:space="preserve">NAC</t>
  </si>
  <si>
    <t xml:space="preserve">AIR GANGGA DEWATA ALAMI, PT</t>
  </si>
  <si>
    <t xml:space="preserve">ECOQUA 220 ML NEW DESIGN</t>
  </si>
  <si>
    <t xml:space="preserve">342 x 234 x 191</t>
  </si>
  <si>
    <t xml:space="preserve">0017414</t>
  </si>
  <si>
    <t xml:space="preserve">2607/01075</t>
  </si>
  <si>
    <t xml:space="preserve">MINUK</t>
  </si>
  <si>
    <t xml:space="preserve">IFAN</t>
  </si>
  <si>
    <t xml:space="preserve">AKASHA WIRA INTERNATIONAL PT TBK</t>
  </si>
  <si>
    <t xml:space="preserve">(56220501) WRAP AROUND CARTON BOX ADES 600 ML</t>
  </si>
  <si>
    <t xml:space="preserve">400 X 237 X 268</t>
  </si>
  <si>
    <t xml:space="preserve">0015651F</t>
  </si>
  <si>
    <t xml:space="preserve">2606/01282</t>
  </si>
  <si>
    <t xml:space="preserve">WINDA</t>
  </si>
  <si>
    <t xml:space="preserve">SAMUEL</t>
  </si>
  <si>
    <t xml:space="preserve">AKE ABADI, CV</t>
  </si>
  <si>
    <t xml:space="preserve">KARTON AKE 200 ML (48) MANADO</t>
  </si>
  <si>
    <t xml:space="preserve">340 x 238 x 180</t>
  </si>
  <si>
    <t xml:space="preserve">A022-2600100-A1</t>
  </si>
  <si>
    <t xml:space="preserve">2605/00660</t>
  </si>
  <si>
    <t xml:space="preserve">SISA CONTAINER</t>
  </si>
  <si>
    <t xml:space="preserve">ALBEXON JAYA SUKSES MAKMUR, CV</t>
  </si>
  <si>
    <t xml:space="preserve">TOPLES JD 3/4 DIAMOND</t>
  </si>
  <si>
    <t xml:space="preserve">369 x 369 x 152</t>
  </si>
  <si>
    <t xml:space="preserve">BF0121</t>
  </si>
  <si>
    <t xml:space="preserve">2607/00940</t>
  </si>
  <si>
    <t xml:space="preserve">MALA</t>
  </si>
  <si>
    <t xml:space="preserve">MIRZA</t>
  </si>
  <si>
    <t xml:space="preserve">ALP PETRO INDUSTRY, PT</t>
  </si>
  <si>
    <t xml:space="preserve">(RMEA-309-PK0014) CARTON BOX KRAFT EURO 5L X 4 BOTOL</t>
  </si>
  <si>
    <t xml:space="preserve">449 x 234 x 302</t>
  </si>
  <si>
    <t xml:space="preserve">BE29312</t>
  </si>
  <si>
    <t xml:space="preserve">2607/01142</t>
  </si>
  <si>
    <t xml:space="preserve">TUNGGU JADWAL</t>
  </si>
  <si>
    <t xml:space="preserve">RISTA</t>
  </si>
  <si>
    <t xml:space="preserve">HERU</t>
  </si>
  <si>
    <t xml:space="preserve">ANDRIANI</t>
  </si>
  <si>
    <t xml:space="preserve">AMDK LOE 220 ML</t>
  </si>
  <si>
    <t xml:space="preserve">350 X 233 X 190</t>
  </si>
  <si>
    <t xml:space="preserve">0015477</t>
  </si>
  <si>
    <t xml:space="preserve">2605/01086</t>
  </si>
  <si>
    <t xml:space="preserve">ANEKA RUPA TERA, PT</t>
  </si>
  <si>
    <t xml:space="preserve">DUS POLOS (UK. 330 X 320 X 190)</t>
  </si>
  <si>
    <t xml:space="preserve">330 x 320 x 190</t>
  </si>
  <si>
    <t xml:space="preserve">0022867</t>
  </si>
  <si>
    <t xml:space="preserve">2607/00431</t>
  </si>
  <si>
    <t xml:space="preserve">KURANG KIRIM</t>
  </si>
  <si>
    <t xml:space="preserve">EDI</t>
  </si>
  <si>
    <t xml:space="preserve">DUS ART UK. 370 X 370 X 265</t>
  </si>
  <si>
    <t xml:space="preserve">370 X 370 X 265</t>
  </si>
  <si>
    <t xml:space="preserve">0022203</t>
  </si>
  <si>
    <t xml:space="preserve">2607/01099</t>
  </si>
  <si>
    <t xml:space="preserve">ANUGERAH MULIA BOX,CV</t>
  </si>
  <si>
    <t xml:space="preserve">FROZEN FISH POLOS K200 / M125 / K200</t>
  </si>
  <si>
    <t xml:space="preserve">495 x 310 x 95</t>
  </si>
  <si>
    <t xml:space="preserve">BE27907X9</t>
  </si>
  <si>
    <t xml:space="preserve">2607/00826</t>
  </si>
  <si>
    <t xml:space="preserve">POLOS 30 LBS</t>
  </si>
  <si>
    <t xml:space="preserve">440 x 300 x 210</t>
  </si>
  <si>
    <t xml:space="preserve">A004-2601500-A1</t>
  </si>
  <si>
    <t xml:space="preserve">2607/00941</t>
  </si>
  <si>
    <t xml:space="preserve">FROZEN NFE K125 / M125 / K110</t>
  </si>
  <si>
    <t xml:space="preserve">A004-2601700-DC</t>
  </si>
  <si>
    <t xml:space="preserve">2607/01000</t>
  </si>
  <si>
    <t xml:space="preserve">ANUGRAH MAJU KEMASINDO, PT</t>
  </si>
  <si>
    <t xml:space="preserve">BOX PECI NASIONAL</t>
  </si>
  <si>
    <t xml:space="preserve">300 x 300 x 300</t>
  </si>
  <si>
    <t xml:space="preserve">A025-2600600-A1</t>
  </si>
  <si>
    <t xml:space="preserve">2607/00853</t>
  </si>
  <si>
    <t xml:space="preserve">AMEL </t>
  </si>
  <si>
    <t xml:space="preserve">RW</t>
  </si>
  <si>
    <t xml:space="preserve">ARISU INDONESIA, PT</t>
  </si>
  <si>
    <t xml:space="preserve">HAZEL 50 REV, BOX</t>
  </si>
  <si>
    <t xml:space="preserve">560 X 383 X 135</t>
  </si>
  <si>
    <t xml:space="preserve">0016708</t>
  </si>
  <si>
    <t xml:space="preserve">2606/00231</t>
  </si>
  <si>
    <t xml:space="preserve">NUR</t>
  </si>
  <si>
    <t xml:space="preserve">WAWAN</t>
  </si>
  <si>
    <t xml:space="preserve">ULI D01 UK1, BOX</t>
  </si>
  <si>
    <t xml:space="preserve">545 X 430 X 205</t>
  </si>
  <si>
    <t xml:space="preserve">0016677</t>
  </si>
  <si>
    <t xml:space="preserve">2607/00247</t>
  </si>
  <si>
    <t xml:space="preserve">ULI D01 UK1, COVER</t>
  </si>
  <si>
    <t xml:space="preserve">567 X 440 X 50</t>
  </si>
  <si>
    <t xml:space="preserve">0016678</t>
  </si>
  <si>
    <t xml:space="preserve">2607/00248</t>
  </si>
  <si>
    <t xml:space="preserve">AROMA DEWI, CV</t>
  </si>
  <si>
    <t xml:space="preserve">TEPUNG CRISPY</t>
  </si>
  <si>
    <t xml:space="preserve">402 x 337 x 225</t>
  </si>
  <si>
    <t xml:space="preserve">0025287</t>
  </si>
  <si>
    <t xml:space="preserve">2606/01256</t>
  </si>
  <si>
    <t xml:space="preserve">JONI</t>
  </si>
  <si>
    <t xml:space="preserve">ASERA TIRTA POSIDONIA , PT</t>
  </si>
  <si>
    <t xml:space="preserve">BOX AMDK ASERA 48 X 220 ML</t>
  </si>
  <si>
    <t xml:space="preserve">352 x 233 x 190</t>
  </si>
  <si>
    <t xml:space="preserve">BF0128</t>
  </si>
  <si>
    <t xml:space="preserve">2607/00779</t>
  </si>
  <si>
    <t xml:space="preserve">ASIA PACIFIC FIBERS, PT</t>
  </si>
  <si>
    <t xml:space="preserve">BOX BOTTOM JUMBO DTY 1000 "CARL WEISKE"</t>
  </si>
  <si>
    <t xml:space="preserve">1,130 x 1,130 x 1,000</t>
  </si>
  <si>
    <t xml:space="preserve">0025359</t>
  </si>
  <si>
    <t xml:space="preserve">2607/00514</t>
  </si>
  <si>
    <t xml:space="preserve">MAYUN</t>
  </si>
  <si>
    <t xml:space="preserve">BINTARA</t>
  </si>
  <si>
    <t xml:space="preserve">LAYER JUMBO DTY 1 LAPIS DOUBLE WALL CW</t>
  </si>
  <si>
    <t xml:space="preserve">1,130 x 1,130</t>
  </si>
  <si>
    <t xml:space="preserve">BF0321</t>
  </si>
  <si>
    <t xml:space="preserve">2607/00517</t>
  </si>
  <si>
    <t xml:space="preserve">AVIA AVIAN TBK, PT</t>
  </si>
  <si>
    <t xml:space="preserve">DS AVITEX TEMBOK 5 KG AW-07</t>
  </si>
  <si>
    <t xml:space="preserve">375 x 375 x 194</t>
  </si>
  <si>
    <t xml:space="preserve">BF0062</t>
  </si>
  <si>
    <t xml:space="preserve">2606/01084</t>
  </si>
  <si>
    <t xml:space="preserve">LEBIH PRODUKSI</t>
  </si>
  <si>
    <t xml:space="preserve">BADRI</t>
  </si>
  <si>
    <t xml:space="preserve">AMDK ALAS 220 ML</t>
  </si>
  <si>
    <t xml:space="preserve">335 x 230 x 193</t>
  </si>
  <si>
    <t xml:space="preserve">BE28725</t>
  </si>
  <si>
    <t xml:space="preserve">2606/00799</t>
  </si>
  <si>
    <t xml:space="preserve">BAMBANG HERMANTO</t>
  </si>
  <si>
    <t xml:space="preserve">BODY BOX SSF GOLD</t>
  </si>
  <si>
    <t xml:space="preserve">647 X 490 X 210</t>
  </si>
  <si>
    <t xml:space="preserve">0022275F</t>
  </si>
  <si>
    <t xml:space="preserve">2606/00774</t>
  </si>
  <si>
    <t xml:space="preserve">TIDAK SET</t>
  </si>
  <si>
    <t xml:space="preserve">BEHAESTEX, PT</t>
  </si>
  <si>
    <t xml:space="preserve">DBL SR AS SUPREM 925 2025</t>
  </si>
  <si>
    <t xml:space="preserve">1,300 x 455 x 260</t>
  </si>
  <si>
    <t xml:space="preserve">BF0244</t>
  </si>
  <si>
    <t xml:space="preserve">2606/00081</t>
  </si>
  <si>
    <t xml:space="preserve">BELUM KETEMU</t>
  </si>
  <si>
    <t xml:space="preserve">BERKAH SUMBER ABADI, CV</t>
  </si>
  <si>
    <t xml:space="preserve">BOX AMDK BST 220 ML NEW 2</t>
  </si>
  <si>
    <t xml:space="preserve">338 X 236 X 194</t>
  </si>
  <si>
    <t xml:space="preserve">0025855</t>
  </si>
  <si>
    <t xml:space="preserve">2602/01006</t>
  </si>
  <si>
    <t xml:space="preserve">BERKAT SEJAHTERA ERGA JAYA, CV</t>
  </si>
  <si>
    <t xml:space="preserve">ERIKO KODE V</t>
  </si>
  <si>
    <t xml:space="preserve">624 X 564 X 786</t>
  </si>
  <si>
    <t xml:space="preserve">0023320</t>
  </si>
  <si>
    <t xml:space="preserve">2606/01178</t>
  </si>
  <si>
    <t xml:space="preserve">BLUE OCEAN FOODS INDONESIA , PT</t>
  </si>
  <si>
    <t xml:space="preserve">KARTON BRAND RADIANCE 155 G SARDINE IN TOMATO SAUCE (BROWN CRAFT)</t>
  </si>
  <si>
    <t xml:space="preserve">336 x 225 x 91</t>
  </si>
  <si>
    <t xml:space="preserve">BE28533</t>
  </si>
  <si>
    <t xml:space="preserve">2606/01045</t>
  </si>
  <si>
    <t xml:space="preserve">KARTON NOSH SARDINES IN SOYBEAN OIL WITH CHILLI</t>
  </si>
  <si>
    <t xml:space="preserve">313 x 213 x 128</t>
  </si>
  <si>
    <t xml:space="preserve">BE29432</t>
  </si>
  <si>
    <t xml:space="preserve">2607/00833</t>
  </si>
  <si>
    <t xml:space="preserve">BONDVAST INDO SUKSES, PT</t>
  </si>
  <si>
    <t xml:space="preserve">P-NK-12001200-ID SERAT LAYER (GARIS TEKAN / DIECUT)</t>
  </si>
  <si>
    <t xml:space="preserve">1,200 x 1,200</t>
  </si>
  <si>
    <t xml:space="preserve">0026591F</t>
  </si>
  <si>
    <t xml:space="preserve">2607/00072</t>
  </si>
  <si>
    <t xml:space="preserve">P-NY-16201011-ID SERAT LAYER (GARIS TEKAN)</t>
  </si>
  <si>
    <t xml:space="preserve">1,011 x 1,620</t>
  </si>
  <si>
    <t xml:space="preserve">B009-2600500-DC</t>
  </si>
  <si>
    <t xml:space="preserve">2607/00924</t>
  </si>
  <si>
    <t xml:space="preserve">BUANA MAHAYASA SAKTI</t>
  </si>
  <si>
    <t xml:space="preserve">BOX 106 GR BOTTOM</t>
  </si>
  <si>
    <t xml:space="preserve">655 x 375 x 106</t>
  </si>
  <si>
    <t xml:space="preserve">B013-2600100-DB</t>
  </si>
  <si>
    <t xml:space="preserve">2607/00093</t>
  </si>
  <si>
    <t xml:space="preserve">BOX 106 GR TOP</t>
  </si>
  <si>
    <t xml:space="preserve">675 x 385 x 50</t>
  </si>
  <si>
    <t xml:space="preserve">B013-2600100-DT</t>
  </si>
  <si>
    <t xml:space="preserve">BOX 86 GR BOTTOM</t>
  </si>
  <si>
    <t xml:space="preserve">655 x 375 x 86</t>
  </si>
  <si>
    <t xml:space="preserve">B013-2600200-DB</t>
  </si>
  <si>
    <t xml:space="preserve">2607/00094</t>
  </si>
  <si>
    <t xml:space="preserve">BOX 86 GR TOP</t>
  </si>
  <si>
    <t xml:space="preserve">675 x 385 x 46</t>
  </si>
  <si>
    <t xml:space="preserve">B013-2600200-DT</t>
  </si>
  <si>
    <t xml:space="preserve">BUANA MAHAYASA SAKTI CV</t>
  </si>
  <si>
    <t xml:space="preserve">BOTT 134 (653 X 365 X 134) TANPA LOGO BMS</t>
  </si>
  <si>
    <t xml:space="preserve">655 X 366 X 134</t>
  </si>
  <si>
    <t xml:space="preserve">0026596F</t>
  </si>
  <si>
    <t xml:space="preserve">2601/00538</t>
  </si>
  <si>
    <t xml:space="preserve">TOP 134</t>
  </si>
  <si>
    <t xml:space="preserve">670 X 375 X 65</t>
  </si>
  <si>
    <t xml:space="preserve">0026714</t>
  </si>
  <si>
    <t xml:space="preserve">TOP 102</t>
  </si>
  <si>
    <t xml:space="preserve">672 X 381 X 52</t>
  </si>
  <si>
    <t xml:space="preserve">0026628</t>
  </si>
  <si>
    <t xml:space="preserve">2604/00311</t>
  </si>
  <si>
    <t xml:space="preserve">STANDAR BOTTOM 122 (653 X 365 X 122 MM) TANPA LOGO BMS</t>
  </si>
  <si>
    <t xml:space="preserve">653 X 364 X 122</t>
  </si>
  <si>
    <t xml:space="preserve">0026507F</t>
  </si>
  <si>
    <t xml:space="preserve">2605/00809</t>
  </si>
  <si>
    <t xml:space="preserve">TOP 122</t>
  </si>
  <si>
    <t xml:space="preserve">672 X 374 X 62</t>
  </si>
  <si>
    <t xml:space="preserve">0026509</t>
  </si>
  <si>
    <t xml:space="preserve">CAHAYA BINTANG PLASTINDO,PT</t>
  </si>
  <si>
    <t xml:space="preserve">DUS PACK OTC LUXURY 3P PACK A</t>
  </si>
  <si>
    <t xml:space="preserve">910 x 440 x 405</t>
  </si>
  <si>
    <t xml:space="preserve">C009-2600300-A1</t>
  </si>
  <si>
    <t xml:space="preserve">2606/00259</t>
  </si>
  <si>
    <t xml:space="preserve">DUS PACK OTC LUXURY 3P PACK B</t>
  </si>
  <si>
    <t xml:space="preserve">885 x 525 x 575</t>
  </si>
  <si>
    <t xml:space="preserve">C009-2600400-A1</t>
  </si>
  <si>
    <t xml:space="preserve">2607/00701</t>
  </si>
  <si>
    <t xml:space="preserve">CAHAYA BUKIT SUKA, PT</t>
  </si>
  <si>
    <t xml:space="preserve">BHUMI ALAMI 16</t>
  </si>
  <si>
    <t xml:space="preserve">545 x 368 x 380</t>
  </si>
  <si>
    <t xml:space="preserve">BF0270</t>
  </si>
  <si>
    <t xml:space="preserve">2607/01029</t>
  </si>
  <si>
    <t xml:space="preserve">AMINAH</t>
  </si>
  <si>
    <t xml:space="preserve">YOSUA</t>
  </si>
  <si>
    <t xml:space="preserve">CENDRAWASIH DWIMEGA KENCANA</t>
  </si>
  <si>
    <t xml:space="preserve">AMDK CENDRAQUA 220 ML</t>
  </si>
  <si>
    <t xml:space="preserve">337 x 223 x 191</t>
  </si>
  <si>
    <t xml:space="preserve">BF0027</t>
  </si>
  <si>
    <t xml:space="preserve">2602/00978</t>
  </si>
  <si>
    <t xml:space="preserve">BF0027-01</t>
  </si>
  <si>
    <t xml:space="preserve">2607/00080</t>
  </si>
  <si>
    <t xml:space="preserve">CENTRALPERTIWI BAHARI . PT</t>
  </si>
  <si>
    <t xml:space="preserve">MC BLANK BROWN</t>
  </si>
  <si>
    <t xml:space="preserve">575 x 380 x 170</t>
  </si>
  <si>
    <t xml:space="preserve">C019-2600300-A1</t>
  </si>
  <si>
    <t xml:space="preserve">2607/00485</t>
  </si>
  <si>
    <t xml:space="preserve">CHAROEN POKPHAND INDONESIA TBK, PT</t>
  </si>
  <si>
    <t xml:space="preserve">MC CP BRAND K200 NEW NKV</t>
  </si>
  <si>
    <t xml:space="preserve">445 x 273 x 175</t>
  </si>
  <si>
    <t xml:space="preserve">C023-2600101-DC</t>
  </si>
  <si>
    <t xml:space="preserve">2605/01029</t>
  </si>
  <si>
    <t xml:space="preserve">CHAROEN POKPHAND INDONESIA, PT</t>
  </si>
  <si>
    <t xml:space="preserve">MC FIESTA RTG NEW ISI 6 BOX</t>
  </si>
  <si>
    <t xml:space="preserve">465 x 195 x 165</t>
  </si>
  <si>
    <t xml:space="preserve">BF0238</t>
  </si>
  <si>
    <t xml:space="preserve">2603/00918</t>
  </si>
  <si>
    <t xml:space="preserve">MC OKEY SAUSAGE NEW NKV</t>
  </si>
  <si>
    <t xml:space="preserve">380 x 265 x 155</t>
  </si>
  <si>
    <t xml:space="preserve">C002-2600402-A1</t>
  </si>
  <si>
    <t xml:space="preserve">2605/01032</t>
  </si>
  <si>
    <t xml:space="preserve">MC AKUMO 500GR NEW NKV</t>
  </si>
  <si>
    <t xml:space="preserve">405 x 240 x 175</t>
  </si>
  <si>
    <t xml:space="preserve">C023-2600400-A1</t>
  </si>
  <si>
    <t xml:space="preserve">2605/01043</t>
  </si>
  <si>
    <t xml:space="preserve">CHAROEN POKPHAND JAYA FARM,PT</t>
  </si>
  <si>
    <t xml:space="preserve">BOX DOC HY LINE</t>
  </si>
  <si>
    <t xml:space="preserve">665 x 493 x 141</t>
  </si>
  <si>
    <t xml:space="preserve">0025818F</t>
  </si>
  <si>
    <t xml:space="preserve">2607/00674</t>
  </si>
  <si>
    <t xml:space="preserve">CHAROEN POKPHAND JAYA FARM.PT</t>
  </si>
  <si>
    <t xml:space="preserve">DOC CP707 (BOTTOM)</t>
  </si>
  <si>
    <t xml:space="preserve">665 X 493 X 141</t>
  </si>
  <si>
    <t xml:space="preserve">0023200F</t>
  </si>
  <si>
    <t xml:space="preserve">2607/00161</t>
  </si>
  <si>
    <t xml:space="preserve">IWAN</t>
  </si>
  <si>
    <t xml:space="preserve">TOP DOC CP707</t>
  </si>
  <si>
    <t xml:space="preserve">612 X 452 X 35</t>
  </si>
  <si>
    <t xml:space="preserve">0023274F2</t>
  </si>
  <si>
    <t xml:space="preserve">CHEIL JEDANG INDONESIA, PT</t>
  </si>
  <si>
    <t xml:space="preserve">702659 BOX/MIPOONG 250 GRAM REV.1</t>
  </si>
  <si>
    <t xml:space="preserve">358 x 293 x 206</t>
  </si>
  <si>
    <t xml:space="preserve">C003-2600300-DC</t>
  </si>
  <si>
    <t xml:space="preserve">2605/00766</t>
  </si>
  <si>
    <t xml:space="preserve">CITRA ANEKA PANGAN, CV</t>
  </si>
  <si>
    <t xml:space="preserve">BOX LOVELY</t>
  </si>
  <si>
    <t xml:space="preserve">344 X 220 X 291</t>
  </si>
  <si>
    <t xml:space="preserve">0021048</t>
  </si>
  <si>
    <t xml:space="preserve">2607/00585</t>
  </si>
  <si>
    <t xml:space="preserve">DIA LAXMI</t>
  </si>
  <si>
    <t xml:space="preserve">AMDK ABI 220 ML</t>
  </si>
  <si>
    <t xml:space="preserve">350 x 233 x 192</t>
  </si>
  <si>
    <t xml:space="preserve">BE29334</t>
  </si>
  <si>
    <t xml:space="preserve">2607/01098</t>
  </si>
  <si>
    <t xml:space="preserve">DINAMIKA MEGATAMA CITRA.PT</t>
  </si>
  <si>
    <t xml:space="preserve">BOX DOC PRINT (TUTUP)</t>
  </si>
  <si>
    <t xml:space="preserve">615 X 452 X 35</t>
  </si>
  <si>
    <t xml:space="preserve">0023001F2</t>
  </si>
  <si>
    <t xml:space="preserve">2606/00651</t>
  </si>
  <si>
    <t xml:space="preserve">DUA KELINCI, PT</t>
  </si>
  <si>
    <t xml:space="preserve">(4072663) BOX TIC TAC 80G OPTION 8 VARIAN</t>
  </si>
  <si>
    <t xml:space="preserve">530 x 220 x 275</t>
  </si>
  <si>
    <t xml:space="preserve">D004-2600700-A1</t>
  </si>
  <si>
    <t xml:space="preserve">2606/00437</t>
  </si>
  <si>
    <t xml:space="preserve">(4071175) BOX KUACI FUZO 130G OPT</t>
  </si>
  <si>
    <t xml:space="preserve">500 x 230 x 260</t>
  </si>
  <si>
    <t xml:space="preserve">D004-2601100-A1</t>
  </si>
  <si>
    <t xml:space="preserve">2607/00338</t>
  </si>
  <si>
    <t xml:space="preserve">(4071540) BOX SUKRO ORIGINAL 95G</t>
  </si>
  <si>
    <t xml:space="preserve">440 x 225 x 275</t>
  </si>
  <si>
    <t xml:space="preserve">D004-2601200-A1</t>
  </si>
  <si>
    <t xml:space="preserve">2607/00567</t>
  </si>
  <si>
    <t xml:space="preserve">(4070309) BOX DUA KELINCI 370G LOGO HALAL HITAM</t>
  </si>
  <si>
    <t xml:space="preserve">454 x 300 x 310</t>
  </si>
  <si>
    <t xml:space="preserve">D004-2600200-A1</t>
  </si>
  <si>
    <t xml:space="preserve">2607/00589</t>
  </si>
  <si>
    <t xml:space="preserve">(4072936) BOX TOS 20G OPT 3 VAR</t>
  </si>
  <si>
    <t xml:space="preserve">480 x 280 x 350</t>
  </si>
  <si>
    <t xml:space="preserve">D004-2600500-A1</t>
  </si>
  <si>
    <t xml:space="preserve">2607/01011</t>
  </si>
  <si>
    <t xml:space="preserve">(4070257) BOX DUA KELINCI 60G LOGO HALAL HITAM</t>
  </si>
  <si>
    <t xml:space="preserve">500 x 300 x 410</t>
  </si>
  <si>
    <t xml:space="preserve">D004-2601000-A1</t>
  </si>
  <si>
    <t xml:space="preserve">2607/01297</t>
  </si>
  <si>
    <t xml:space="preserve">(4075705) BOX RONI 24G/26G OPTION</t>
  </si>
  <si>
    <t xml:space="preserve">440 x 280 x 350</t>
  </si>
  <si>
    <t xml:space="preserve">D004-2600100-A1</t>
  </si>
  <si>
    <t xml:space="preserve">2607/01298</t>
  </si>
  <si>
    <t xml:space="preserve">DWI SUPRIANTO/PRIHANDIKA BAGAS PRATAMA/</t>
  </si>
  <si>
    <t xml:space="preserve">OUT WAX - FROZEN FISH 110 / 110 / 110</t>
  </si>
  <si>
    <t xml:space="preserve">495 X 310 X 95</t>
  </si>
  <si>
    <t xml:space="preserve">BF0133X9</t>
  </si>
  <si>
    <t xml:space="preserve">2607/00848</t>
  </si>
  <si>
    <t xml:space="preserve">AGUS</t>
  </si>
  <si>
    <t xml:space="preserve">DWIMITRA MEGAH SEJAHTERA, PT</t>
  </si>
  <si>
    <t xml:space="preserve">NS HEXA CRACKERS 4000 G (12383-1)</t>
  </si>
  <si>
    <t xml:space="preserve">350 x 232 x 196</t>
  </si>
  <si>
    <t xml:space="preserve">D008-2601100-A1</t>
  </si>
  <si>
    <t xml:space="preserve">2606/00434</t>
  </si>
  <si>
    <t xml:space="preserve">ELODA MITRA, PT</t>
  </si>
  <si>
    <t xml:space="preserve">5553102023 BOX BUN MINI TRAY</t>
  </si>
  <si>
    <t xml:space="preserve">585 x 400 x 230</t>
  </si>
  <si>
    <t xml:space="preserve">0021931</t>
  </si>
  <si>
    <t xml:space="preserve">2606/00135</t>
  </si>
  <si>
    <t xml:space="preserve">5553102020 BOX ROTI 108</t>
  </si>
  <si>
    <t xml:space="preserve">600 X 310 X 295</t>
  </si>
  <si>
    <t xml:space="preserve">0021890</t>
  </si>
  <si>
    <t xml:space="preserve">2607/00743</t>
  </si>
  <si>
    <t xml:space="preserve">EMPAT SEKAWAN MULIA PT.</t>
  </si>
  <si>
    <t xml:space="preserve">FILTER (TRY REG) TUMBU TUTUP</t>
  </si>
  <si>
    <t xml:space="preserve">665 x 370 x 125</t>
  </si>
  <si>
    <t xml:space="preserve">BE27486</t>
  </si>
  <si>
    <t xml:space="preserve">2606/00450</t>
  </si>
  <si>
    <t xml:space="preserve">TUTUP</t>
  </si>
  <si>
    <t xml:space="preserve">680 x 380 x 35</t>
  </si>
  <si>
    <t xml:space="preserve">BE27488</t>
  </si>
  <si>
    <t xml:space="preserve">ENDRIAN RUSLIM,</t>
  </si>
  <si>
    <t xml:space="preserve">FROZEN NFE</t>
  </si>
  <si>
    <t xml:space="preserve">0024009X</t>
  </si>
  <si>
    <t xml:space="preserve">2604/01094</t>
  </si>
  <si>
    <t xml:space="preserve">FROZEN FISH POLOS K110 / M110 / K110</t>
  </si>
  <si>
    <t xml:space="preserve">0025970X</t>
  </si>
  <si>
    <t xml:space="preserve">2607/00824</t>
  </si>
  <si>
    <t xml:space="preserve">ENVIRONEER, PT</t>
  </si>
  <si>
    <t xml:space="preserve">UNITOR 4L + 2 LYR UK 290 X 290 X 110 MM</t>
  </si>
  <si>
    <t xml:space="preserve">290 x 290 x 110</t>
  </si>
  <si>
    <t xml:space="preserve">0022574</t>
  </si>
  <si>
    <t xml:space="preserve">2607/01027</t>
  </si>
  <si>
    <t xml:space="preserve">ETIKA DAIRIES INDONESIA, PT</t>
  </si>
  <si>
    <t xml:space="preserve">CARTON BOX DAIRY CHAMP 48 X 480 G NEW HALAL LOGO</t>
  </si>
  <si>
    <t xml:space="preserve">456 X 302 X 205</t>
  </si>
  <si>
    <t xml:space="preserve">0023006F</t>
  </si>
  <si>
    <t xml:space="preserve">2606/00429</t>
  </si>
  <si>
    <t xml:space="preserve">CB PB DC 2.5 KG LOKAL NEW HALAL LOGO + PARTISI</t>
  </si>
  <si>
    <t xml:space="preserve">394 X 326 X 210</t>
  </si>
  <si>
    <t xml:space="preserve">0023123</t>
  </si>
  <si>
    <t xml:space="preserve">2607/00099</t>
  </si>
  <si>
    <t xml:space="preserve">EVANDER SEBASTIAN THOMAS</t>
  </si>
  <si>
    <t xml:space="preserve">BOX SARABATT FARM ANAK AYAM (BODY)</t>
  </si>
  <si>
    <t xml:space="preserve">0026710F</t>
  </si>
  <si>
    <t xml:space="preserve">2607/00083</t>
  </si>
  <si>
    <t xml:space="preserve">FADLAN</t>
  </si>
  <si>
    <t xml:space="preserve">AMDK SEGAR - 48 X 220 ML NEW</t>
  </si>
  <si>
    <t xml:space="preserve">349 X 237 X 191</t>
  </si>
  <si>
    <t xml:space="preserve">BF0380</t>
  </si>
  <si>
    <t xml:space="preserve">2604/00577</t>
  </si>
  <si>
    <t xml:space="preserve">FELINE VICTORIA</t>
  </si>
  <si>
    <t xml:space="preserve">BOX ALSHAMANDY 10 KG 39 X 30 X 14 SW</t>
  </si>
  <si>
    <t xml:space="preserve">390 x 300 x 140</t>
  </si>
  <si>
    <t xml:space="preserve">F003-2600100-A1</t>
  </si>
  <si>
    <t xml:space="preserve">2606/00903</t>
  </si>
  <si>
    <t xml:space="preserve">AMBIL SENDIRI</t>
  </si>
  <si>
    <t xml:space="preserve">OUT WAX - PT. KIMCI JAYA BERSAUDARA</t>
  </si>
  <si>
    <t xml:space="preserve">BE27513X9</t>
  </si>
  <si>
    <t xml:space="preserve">2606/01015</t>
  </si>
  <si>
    <t xml:space="preserve">BOX CUMI PRODUCT 20 KG PUTIH PRINT F4</t>
  </si>
  <si>
    <t xml:space="preserve">507 x 307 x 192</t>
  </si>
  <si>
    <t xml:space="preserve">F003-2601000-A1</t>
  </si>
  <si>
    <t xml:space="preserve">2606/01050</t>
  </si>
  <si>
    <t xml:space="preserve">POLOS PUTIH DW 40 X 27 X 16</t>
  </si>
  <si>
    <t xml:space="preserve">400 x 270 x 160</t>
  </si>
  <si>
    <t xml:space="preserve">F003-2600800-A1</t>
  </si>
  <si>
    <t xml:space="preserve">2607/01071</t>
  </si>
  <si>
    <t xml:space="preserve">FRUIT ING INDONESIA, PT</t>
  </si>
  <si>
    <t xml:space="preserve">BOX BOTTOM</t>
  </si>
  <si>
    <t xml:space="preserve">526 X 377 X 142</t>
  </si>
  <si>
    <t xml:space="preserve">0025555</t>
  </si>
  <si>
    <t xml:space="preserve">2605/00060</t>
  </si>
  <si>
    <t xml:space="preserve">GAJAH MITRA CEMERLANG</t>
  </si>
  <si>
    <t xml:space="preserve">OUTER RICE BUCKET 6 LT</t>
  </si>
  <si>
    <t xml:space="preserve">743 x 497 x 543</t>
  </si>
  <si>
    <t xml:space="preserve">BE29449</t>
  </si>
  <si>
    <t xml:space="preserve">2607/00907</t>
  </si>
  <si>
    <t xml:space="preserve">INNER RICE BUCKET 6 LT</t>
  </si>
  <si>
    <t xml:space="preserve">242 x 242 x 259</t>
  </si>
  <si>
    <t xml:space="preserve">G007-2600200-A1</t>
  </si>
  <si>
    <t xml:space="preserve">2607/00908</t>
  </si>
  <si>
    <t xml:space="preserve">GALAXY PACKINDO, CV</t>
  </si>
  <si>
    <t xml:space="preserve">DOS (545 X 175 X 240) SAUCE 25</t>
  </si>
  <si>
    <t xml:space="preserve">545 x 175 x 240</t>
  </si>
  <si>
    <t xml:space="preserve">G004-2600500-A1</t>
  </si>
  <si>
    <t xml:space="preserve">2606/01137</t>
  </si>
  <si>
    <t xml:space="preserve">DOS (480 X 200 X 245) TBR 2B - H</t>
  </si>
  <si>
    <t xml:space="preserve">480 x 200 x 245</t>
  </si>
  <si>
    <t xml:space="preserve">G004-2600300-A1</t>
  </si>
  <si>
    <t xml:space="preserve">2607/00003</t>
  </si>
  <si>
    <t xml:space="preserve">DOS (370 X 270 X 230) SAUCE 75</t>
  </si>
  <si>
    <t xml:space="preserve">370 x 270 x 230</t>
  </si>
  <si>
    <t xml:space="preserve">G004-2600700-A1</t>
  </si>
  <si>
    <t xml:space="preserve">2607/00020</t>
  </si>
  <si>
    <t xml:space="preserve">GRANDVILLE FOOD INDONESIA</t>
  </si>
  <si>
    <t xml:space="preserve">KARDUS KECIL</t>
  </si>
  <si>
    <t xml:space="preserve">130 x 75 x 210</t>
  </si>
  <si>
    <t xml:space="preserve">G001-2600200-DC</t>
  </si>
  <si>
    <t xml:space="preserve">2605/00283</t>
  </si>
  <si>
    <t xml:space="preserve">RUDY</t>
  </si>
  <si>
    <t xml:space="preserve">GUNUNG AGUNG SENTOSA, PT</t>
  </si>
  <si>
    <t xml:space="preserve">IB CERMIN OVAL S 014</t>
  </si>
  <si>
    <t xml:space="preserve">213 x 22 x 283</t>
  </si>
  <si>
    <t xml:space="preserve">BE29317</t>
  </si>
  <si>
    <t xml:space="preserve">2511/00798</t>
  </si>
  <si>
    <t xml:space="preserve">SHEET UK 720 X 330 MM</t>
  </si>
  <si>
    <t xml:space="preserve">720 x 330</t>
  </si>
  <si>
    <t xml:space="preserve">LY00952</t>
  </si>
  <si>
    <t xml:space="preserve">2607/01006</t>
  </si>
  <si>
    <t xml:space="preserve">GUNUNG STARLINDO UTAMA, PT</t>
  </si>
  <si>
    <t xml:space="preserve">KARTON PH 4 MINI</t>
  </si>
  <si>
    <t xml:space="preserve">505 x 425 x 440</t>
  </si>
  <si>
    <t xml:space="preserve">G002-2600201-A1</t>
  </si>
  <si>
    <t xml:space="preserve">2604/00650</t>
  </si>
  <si>
    <t xml:space="preserve">H. ASNAWING</t>
  </si>
  <si>
    <t xml:space="preserve">OUT WAX - FROZEN FISH BIRU</t>
  </si>
  <si>
    <t xml:space="preserve">0021698X</t>
  </si>
  <si>
    <t xml:space="preserve">2607/00937</t>
  </si>
  <si>
    <t xml:space="preserve">HARTONO ISTANA TEKNOLOGI, PT</t>
  </si>
  <si>
    <t xml:space="preserve">GA-177550-AJA10 BOTTOM CARTON WM 8KG W30 (M01)</t>
  </si>
  <si>
    <t xml:space="preserve">550 x 550</t>
  </si>
  <si>
    <t xml:space="preserve">LY00853</t>
  </si>
  <si>
    <t xml:space="preserve">2606/00686</t>
  </si>
  <si>
    <t xml:space="preserve">HBFULLER ADHESIVES INDONESIA, PT</t>
  </si>
  <si>
    <t xml:space="preserve">P123 (355 X 265 X 380 MM)</t>
  </si>
  <si>
    <t xml:space="preserve">355 X 265 X 380</t>
  </si>
  <si>
    <t xml:space="preserve">0019676</t>
  </si>
  <si>
    <t xml:space="preserve">2602/00226</t>
  </si>
  <si>
    <t xml:space="preserve">P124 (483 X 288 X 246 MM)</t>
  </si>
  <si>
    <t xml:space="preserve">483 X 288 X 246</t>
  </si>
  <si>
    <t xml:space="preserve">0019677</t>
  </si>
  <si>
    <t xml:space="preserve">2602/00228</t>
  </si>
  <si>
    <t xml:space="preserve">P162 (355 X 265 X 380 MM) KR BCF WITH-ACS-TAPE</t>
  </si>
  <si>
    <t xml:space="preserve">355 x 265 x 380</t>
  </si>
  <si>
    <t xml:space="preserve">0019676 A</t>
  </si>
  <si>
    <t xml:space="preserve">2605/00291</t>
  </si>
  <si>
    <t xml:space="preserve">HOKKAN DELTAPACK INDUSTRI, PT</t>
  </si>
  <si>
    <t xml:space="preserve">BOX UK. 530 X 420 X 415 MM</t>
  </si>
  <si>
    <t xml:space="preserve">530 X 420 X 415</t>
  </si>
  <si>
    <t xml:space="preserve">0026241</t>
  </si>
  <si>
    <t xml:space="preserve">2606/00295</t>
  </si>
  <si>
    <t xml:space="preserve">INDO CERIA PLASTIK DAN PRINTING, PT</t>
  </si>
  <si>
    <t xml:space="preserve">K.BOX SPLASH 240 ML</t>
  </si>
  <si>
    <t xml:space="preserve">384 X 372 X 590</t>
  </si>
  <si>
    <t xml:space="preserve">0024887</t>
  </si>
  <si>
    <t xml:space="preserve">2607/01088</t>
  </si>
  <si>
    <t xml:space="preserve">INDOFLORA CIPTA MANDIRI, PT</t>
  </si>
  <si>
    <t xml:space="preserve">KARTON LUMBA-LUMBA XTRA</t>
  </si>
  <si>
    <t xml:space="preserve">395 x 213 x 142</t>
  </si>
  <si>
    <t xml:space="preserve">0022795</t>
  </si>
  <si>
    <t xml:space="preserve">2607/01074</t>
  </si>
  <si>
    <t xml:space="preserve">INTERBAT, PT</t>
  </si>
  <si>
    <t xml:space="preserve">(S4029001) CARTON R</t>
  </si>
  <si>
    <t xml:space="preserve">187 X 157 X 132</t>
  </si>
  <si>
    <t xml:space="preserve">0015826</t>
  </si>
  <si>
    <t xml:space="preserve">2606/00551</t>
  </si>
  <si>
    <t xml:space="preserve">INTIDRAGON SURYATAMA, PT</t>
  </si>
  <si>
    <t xml:space="preserve">DOS PROATT BTSN 12 35/38 71 X 48 X 28.5 CM</t>
  </si>
  <si>
    <t xml:space="preserve">710 x 480 x 285</t>
  </si>
  <si>
    <t xml:space="preserve">I004-2600500-A1</t>
  </si>
  <si>
    <t xml:space="preserve">2607/00158</t>
  </si>
  <si>
    <t xml:space="preserve">DOS PROATT BTSN 12 31/34 65X44X26 CM</t>
  </si>
  <si>
    <t xml:space="preserve">650 x 440 x 260</t>
  </si>
  <si>
    <t xml:space="preserve">I004-2601200-A1</t>
  </si>
  <si>
    <t xml:space="preserve">2607/00215</t>
  </si>
  <si>
    <t xml:space="preserve">DOS PROATT LD 12 67X47.5X30 CM</t>
  </si>
  <si>
    <t xml:space="preserve">670 x 475 x 300</t>
  </si>
  <si>
    <t xml:space="preserve">I004-2601100-A1</t>
  </si>
  <si>
    <t xml:space="preserve">2607/00216</t>
  </si>
  <si>
    <t xml:space="preserve">DOS PROATT NGLT 12 35/38 68X46X28.5 CM</t>
  </si>
  <si>
    <t xml:space="preserve">680 x 460 x 285</t>
  </si>
  <si>
    <t xml:space="preserve">I004-2601000-A1</t>
  </si>
  <si>
    <t xml:space="preserve">2607/00217</t>
  </si>
  <si>
    <t xml:space="preserve">CARTON BOX ATT PHL 30/33 33X32X23</t>
  </si>
  <si>
    <t xml:space="preserve">330 x 320 x 230</t>
  </si>
  <si>
    <t xml:space="preserve">I004-2600900-A1</t>
  </si>
  <si>
    <t xml:space="preserve">2607/00218</t>
  </si>
  <si>
    <t xml:space="preserve">CARTON BOX ATT PHL 38/41 39X37X28.5</t>
  </si>
  <si>
    <t xml:space="preserve">390 x 370 x 285</t>
  </si>
  <si>
    <t xml:space="preserve">I004-2600800-A1</t>
  </si>
  <si>
    <t xml:space="preserve">2607/00219</t>
  </si>
  <si>
    <t xml:space="preserve">CARTON BOX ATT PHL 34/37 37X34X25.5</t>
  </si>
  <si>
    <t xml:space="preserve">370 x 340 x 255</t>
  </si>
  <si>
    <t xml:space="preserve">I004-2601300-A1</t>
  </si>
  <si>
    <t xml:space="preserve">2607/00391</t>
  </si>
  <si>
    <t xml:space="preserve">DOS PROATT CFK-LC 39/44 665</t>
  </si>
  <si>
    <t xml:space="preserve">665 x 475 x 325</t>
  </si>
  <si>
    <t xml:space="preserve">I004-2600300-A1</t>
  </si>
  <si>
    <t xml:space="preserve">2607/00665</t>
  </si>
  <si>
    <t xml:space="preserve">DOS PROATT CFK-LC 39/43</t>
  </si>
  <si>
    <t xml:space="preserve">640 x 475 x 315</t>
  </si>
  <si>
    <t xml:space="preserve">I004-2600101-A1</t>
  </si>
  <si>
    <t xml:space="preserve">2607/00666</t>
  </si>
  <si>
    <t xml:space="preserve">DOS PROATT CFK-LHC 39/42 67 X 43.5 X 30</t>
  </si>
  <si>
    <t xml:space="preserve">670 x 435 x 300</t>
  </si>
  <si>
    <t xml:space="preserve">I004-2600600-A1</t>
  </si>
  <si>
    <t xml:space="preserve">2607/00866</t>
  </si>
  <si>
    <t xml:space="preserve">DOS PROATT CFK LC 41/44 66.5X47.5X32.5 CM</t>
  </si>
  <si>
    <t xml:space="preserve">I004-2601400-A1</t>
  </si>
  <si>
    <t xml:space="preserve">2607/00867</t>
  </si>
  <si>
    <t xml:space="preserve">KAMBERA JAYA ABADI , PT</t>
  </si>
  <si>
    <t xml:space="preserve">KARTON BUNAFIT 180 ML SB</t>
  </si>
  <si>
    <t xml:space="preserve">342 x 236 x 179</t>
  </si>
  <si>
    <t xml:space="preserve">K008-2600201-A1</t>
  </si>
  <si>
    <t xml:space="preserve">2606/00227</t>
  </si>
  <si>
    <t xml:space="preserve">KARUNIA INDAH SEGAR</t>
  </si>
  <si>
    <t xml:space="preserve">43000085 - KD POWER F GRP 175 ML ND 1125</t>
  </si>
  <si>
    <t xml:space="preserve">328 x 219 x 98</t>
  </si>
  <si>
    <t xml:space="preserve">K002-2600200-A1</t>
  </si>
  <si>
    <t xml:space="preserve">2607/00371</t>
  </si>
  <si>
    <t xml:space="preserve">43000081 - KARDUS TEH RIO GULA BATU 180 ML 09.23</t>
  </si>
  <si>
    <t xml:space="preserve">K002-2600100-A1</t>
  </si>
  <si>
    <t xml:space="preserve">2607/00968</t>
  </si>
  <si>
    <t xml:space="preserve">KARUNIA TIRTA KAJUARA, PT</t>
  </si>
  <si>
    <t xml:space="preserve">KARTON WT 200 ML</t>
  </si>
  <si>
    <t xml:space="preserve">340 x 229 x 179</t>
  </si>
  <si>
    <t xml:space="preserve">K014-2600100-A1</t>
  </si>
  <si>
    <t xml:space="preserve">2604/00871</t>
  </si>
  <si>
    <t xml:space="preserve">KARTON LESTARI 1</t>
  </si>
  <si>
    <t xml:space="preserve">340 x 233 x 186</t>
  </si>
  <si>
    <t xml:space="preserve">K014-2600202-A1</t>
  </si>
  <si>
    <t xml:space="preserve">2606/00834</t>
  </si>
  <si>
    <t xml:space="preserve">KARYA INDAH MEDIKA</t>
  </si>
  <si>
    <t xml:space="preserve">KARTON BED PASIEN 3 CRANK IDM</t>
  </si>
  <si>
    <t xml:space="preserve">2,094 x 929 x 488</t>
  </si>
  <si>
    <t xml:space="preserve">K017-2600100-A1</t>
  </si>
  <si>
    <t xml:space="preserve">2605/01075</t>
  </si>
  <si>
    <t xml:space="preserve">KARYA INDAH MULTIGUNA, PT</t>
  </si>
  <si>
    <t xml:space="preserve">735884 DEVIDER BYGN PART 72 X 6</t>
  </si>
  <si>
    <t xml:space="preserve">180 X 365 X 0</t>
  </si>
  <si>
    <t xml:space="preserve">LY00546</t>
  </si>
  <si>
    <t xml:space="preserve">2605/00880</t>
  </si>
  <si>
    <t xml:space="preserve">1210608 CC RSC RAID COILS GREEN 4 X 50G / 48 UN AR</t>
  </si>
  <si>
    <t xml:space="preserve">475 x 130 x 125</t>
  </si>
  <si>
    <t xml:space="preserve">BE27464</t>
  </si>
  <si>
    <t xml:space="preserve">2607/00285</t>
  </si>
  <si>
    <t xml:space="preserve">1265578 RSC BAYGON BASE COIL LAV12S SHK 6/6TH</t>
  </si>
  <si>
    <t xml:space="preserve">491 x 367 x 178</t>
  </si>
  <si>
    <t xml:space="preserve">K006-2600200-A1</t>
  </si>
  <si>
    <t xml:space="preserve">2607/00286</t>
  </si>
  <si>
    <t xml:space="preserve">1210624 RSC RAID COIL CNTRYFRSH 12/150G/24U</t>
  </si>
  <si>
    <t xml:space="preserve">370 X 245 X 123</t>
  </si>
  <si>
    <t xml:space="preserve">BD27039</t>
  </si>
  <si>
    <t xml:space="preserve">2607/00287</t>
  </si>
  <si>
    <t xml:space="preserve">897765 RSC BYGN METAL 60 X 10</t>
  </si>
  <si>
    <t xml:space="preserve">367 X 245 X 255</t>
  </si>
  <si>
    <t xml:space="preserve">0019864</t>
  </si>
  <si>
    <t xml:space="preserve">2607/01248</t>
  </si>
  <si>
    <t xml:space="preserve">KARYA REPTIL SENTOSA, PT</t>
  </si>
  <si>
    <t xml:space="preserve">BOX TEKEK POLOS</t>
  </si>
  <si>
    <t xml:space="preserve">747 x 300 x 852</t>
  </si>
  <si>
    <t xml:space="preserve">0026278</t>
  </si>
  <si>
    <t xml:space="preserve">2606/00800</t>
  </si>
  <si>
    <t xml:space="preserve">KEMBANG JAYA CV</t>
  </si>
  <si>
    <t xml:space="preserve">FAZZA ISI 40 X 220 ML NEW</t>
  </si>
  <si>
    <t xml:space="preserve">294 X 231 X 184</t>
  </si>
  <si>
    <t xml:space="preserve">0025703</t>
  </si>
  <si>
    <t xml:space="preserve">2512/00047</t>
  </si>
  <si>
    <t xml:space="preserve">FAZZA ISI 45 X 120 ML NEW</t>
  </si>
  <si>
    <t xml:space="preserve">312 x 193 x 138</t>
  </si>
  <si>
    <t xml:space="preserve">0025701-02</t>
  </si>
  <si>
    <t xml:space="preserve">2604/00148</t>
  </si>
  <si>
    <t xml:space="preserve">294 x 231 x 184</t>
  </si>
  <si>
    <t xml:space="preserve">0025703-02</t>
  </si>
  <si>
    <t xml:space="preserve">2607/00406</t>
  </si>
  <si>
    <t xml:space="preserve">KEMILAU SURYA PLASTINDO, CV</t>
  </si>
  <si>
    <t xml:space="preserve">KARTON QUARTER 220 ML</t>
  </si>
  <si>
    <t xml:space="preserve">340 x 230 x 190</t>
  </si>
  <si>
    <t xml:space="preserve">K004-2600101-A1</t>
  </si>
  <si>
    <t xml:space="preserve">2605/00743</t>
  </si>
  <si>
    <t xml:space="preserve">KEONG NUSANTARA ABADI, PT</t>
  </si>
  <si>
    <t xml:space="preserve">MY JELLY SK 14 GR X 5 CUPS X 60 BAGS</t>
  </si>
  <si>
    <t xml:space="preserve">395 x 235 x 235</t>
  </si>
  <si>
    <t xml:space="preserve">0021063</t>
  </si>
  <si>
    <t xml:space="preserve">2606/00562</t>
  </si>
  <si>
    <t xml:space="preserve">MY JELLY SK 14 GR X 30 CUPS X 12 NEW</t>
  </si>
  <si>
    <t xml:space="preserve">410 x 300 x 175</t>
  </si>
  <si>
    <t xml:space="preserve">0010479</t>
  </si>
  <si>
    <t xml:space="preserve">2607/00294</t>
  </si>
  <si>
    <t xml:space="preserve">MY JELLY SK 14 GR X 5 CUPS X 60 BAGS + LAYER</t>
  </si>
  <si>
    <t xml:space="preserve">BE29013</t>
  </si>
  <si>
    <t xml:space="preserve">2607/00295</t>
  </si>
  <si>
    <t xml:space="preserve">KERAMIK DIAMOND INDUSTRIES</t>
  </si>
  <si>
    <t xml:space="preserve">40 X 40 ARTKERAMIK KW 1</t>
  </si>
  <si>
    <t xml:space="preserve">404 x 404 x 60</t>
  </si>
  <si>
    <t xml:space="preserve">K005-2600400-DK</t>
  </si>
  <si>
    <t xml:space="preserve">2604/01260</t>
  </si>
  <si>
    <t xml:space="preserve">40 X 40 STARGRES KW 1</t>
  </si>
  <si>
    <t xml:space="preserve">K005-2600300-DK</t>
  </si>
  <si>
    <t xml:space="preserve">2607/00978</t>
  </si>
  <si>
    <t xml:space="preserve">KHOLIFATUN NURJANNAH</t>
  </si>
  <si>
    <t xml:space="preserve">AMDK AL - ISHLAHIYYAH 220 ML X 48</t>
  </si>
  <si>
    <t xml:space="preserve">350 x 235 x 192</t>
  </si>
  <si>
    <t xml:space="preserve">K025-2600100-A1</t>
  </si>
  <si>
    <t xml:space="preserve">2607/00590</t>
  </si>
  <si>
    <t xml:space="preserve">KOBE BOGA UTAMA, PT</t>
  </si>
  <si>
    <t xml:space="preserve">2100002303 - KARTON BONCRISPY UBI BALADO 20G X 60PCS</t>
  </si>
  <si>
    <t xml:space="preserve">580 x 395 x 250</t>
  </si>
  <si>
    <t xml:space="preserve">BE28208</t>
  </si>
  <si>
    <t xml:space="preserve">2607/00728</t>
  </si>
  <si>
    <t xml:space="preserve">2100002300 - KARTON BONCABE CAKAR NAGA LV15 24 X 60 G</t>
  </si>
  <si>
    <t xml:space="preserve">480 x 310 x 250</t>
  </si>
  <si>
    <t xml:space="preserve">BE28064</t>
  </si>
  <si>
    <t xml:space="preserve">2607/00729</t>
  </si>
  <si>
    <t xml:space="preserve">KOPERASI PESANTREN LATANSA PONDOK MODERN GONTOR</t>
  </si>
  <si>
    <t xml:space="preserve">AMDK AMIDAS GONTOR 48 X 220 ML + LYR</t>
  </si>
  <si>
    <t xml:space="preserve">350 x 242 x 189</t>
  </si>
  <si>
    <t xml:space="preserve">K012-2600101-A1</t>
  </si>
  <si>
    <t xml:space="preserve">2607/00234</t>
  </si>
  <si>
    <t xml:space="preserve">LA ODE ASMIN</t>
  </si>
  <si>
    <t xml:space="preserve">LAYUR POLOS COKLAT</t>
  </si>
  <si>
    <t xml:space="preserve">745 x 340 x 70</t>
  </si>
  <si>
    <t xml:space="preserve">0026576</t>
  </si>
  <si>
    <t xml:space="preserve">2607/01001</t>
  </si>
  <si>
    <t xml:space="preserve">LOTUS INDAH TEXTILE INDUSTRIES, PT</t>
  </si>
  <si>
    <t xml:space="preserve">LAYER LOTUS 545 X 280</t>
  </si>
  <si>
    <t xml:space="preserve">280 x 545</t>
  </si>
  <si>
    <t xml:space="preserve">L001-2601200-LY</t>
  </si>
  <si>
    <t xml:space="preserve">2605/00592</t>
  </si>
  <si>
    <t xml:space="preserve">BOX 555 X 365 X 345 NON LOGO</t>
  </si>
  <si>
    <t xml:space="preserve">555 x 365 x 345</t>
  </si>
  <si>
    <t xml:space="preserve">0024948</t>
  </si>
  <si>
    <t xml:space="preserve">2605/00597</t>
  </si>
  <si>
    <t xml:space="preserve">LAYER LOTUS 550 X 360</t>
  </si>
  <si>
    <t xml:space="preserve">360 x 550</t>
  </si>
  <si>
    <t xml:space="preserve">L001-2600300-LY</t>
  </si>
  <si>
    <t xml:space="preserve">2605/00600</t>
  </si>
  <si>
    <t xml:space="preserve">LAYER LOTUS 535 X 350</t>
  </si>
  <si>
    <t xml:space="preserve">350 X 535 X 0</t>
  </si>
  <si>
    <t xml:space="preserve">LY00870</t>
  </si>
  <si>
    <t xml:space="preserve">2606/00254</t>
  </si>
  <si>
    <t xml:space="preserve">LAYER LOTUS 330 X 260</t>
  </si>
  <si>
    <t xml:space="preserve">260 x 330</t>
  </si>
  <si>
    <t xml:space="preserve">L001-2601600-LY</t>
  </si>
  <si>
    <t xml:space="preserve">2607/00017</t>
  </si>
  <si>
    <t xml:space="preserve">MANNASATRIA KUSUMAJAYA PERKASA, PT.</t>
  </si>
  <si>
    <t xml:space="preserve">KARTON SIIPLAH 120 ML</t>
  </si>
  <si>
    <t xml:space="preserve">257 x 141 x 183</t>
  </si>
  <si>
    <t xml:space="preserve">M032-2600100-A1</t>
  </si>
  <si>
    <t xml:space="preserve">2607/00770</t>
  </si>
  <si>
    <t xml:space="preserve">MANUSIA WANGI SEPANJANG HARI.CV</t>
  </si>
  <si>
    <t xml:space="preserve">MANDALIKA FULL BLACK</t>
  </si>
  <si>
    <t xml:space="preserve">230 x 140 x 110</t>
  </si>
  <si>
    <t xml:space="preserve">M017-2600200-DC</t>
  </si>
  <si>
    <t xml:space="preserve">2607/00663</t>
  </si>
  <si>
    <t xml:space="preserve">AMEL</t>
  </si>
  <si>
    <t xml:space="preserve">EGA</t>
  </si>
  <si>
    <t xml:space="preserve">MARIMAS PUTERA KENCANA, PT</t>
  </si>
  <si>
    <t xml:space="preserve">(KTH72-01) KARTON MARITEH R72</t>
  </si>
  <si>
    <t xml:space="preserve">360 X 155 X 265</t>
  </si>
  <si>
    <t xml:space="preserve">0024983</t>
  </si>
  <si>
    <t xml:space="preserve">2607/00990</t>
  </si>
  <si>
    <t xml:space="preserve">MARTHINUS FAMDALE</t>
  </si>
  <si>
    <t xml:space="preserve">FROZEN FISH LILIN LUAR 11</t>
  </si>
  <si>
    <t xml:space="preserve">496 X 311 X 97</t>
  </si>
  <si>
    <t xml:space="preserve">0026849X A</t>
  </si>
  <si>
    <t xml:space="preserve">2606/00005</t>
  </si>
  <si>
    <t xml:space="preserve">MAS RIZAL,CV</t>
  </si>
  <si>
    <t xml:space="preserve">BALL SW</t>
  </si>
  <si>
    <t xml:space="preserve">768 x 484 x 1,246</t>
  </si>
  <si>
    <t xml:space="preserve">BE28540</t>
  </si>
  <si>
    <t xml:space="preserve">2607/00408</t>
  </si>
  <si>
    <t xml:space="preserve">OUTER BOX UK 768 X 484 X 1246 MM</t>
  </si>
  <si>
    <t xml:space="preserve">BE28541</t>
  </si>
  <si>
    <t xml:space="preserve">2607/00409</t>
  </si>
  <si>
    <t xml:space="preserve">MASPION, PT</t>
  </si>
  <si>
    <t xml:space="preserve">DOOS LUAR MSC 1860</t>
  </si>
  <si>
    <t xml:space="preserve">469 x 469 x 398</t>
  </si>
  <si>
    <t xml:space="preserve">0024737</t>
  </si>
  <si>
    <t xml:space="preserve">2603/00609</t>
  </si>
  <si>
    <t xml:space="preserve">DOOS LUAR EX 1000 (ISI 12)</t>
  </si>
  <si>
    <t xml:space="preserve">493 x 355 x 237</t>
  </si>
  <si>
    <t xml:space="preserve">BE29310</t>
  </si>
  <si>
    <t xml:space="preserve">2606/00745</t>
  </si>
  <si>
    <t xml:space="preserve">DOOS LUAR EX 1010 BLACKBERRY (ISI 12)</t>
  </si>
  <si>
    <t xml:space="preserve">440 x 360 x 249</t>
  </si>
  <si>
    <t xml:space="preserve">M003-2600401-A1</t>
  </si>
  <si>
    <t xml:space="preserve">2606/00746</t>
  </si>
  <si>
    <t xml:space="preserve">BOX TUMBU MMC 1291</t>
  </si>
  <si>
    <t xml:space="preserve">840 x 540 x 68</t>
  </si>
  <si>
    <t xml:space="preserve">0023603</t>
  </si>
  <si>
    <t xml:space="preserve">2607/00709</t>
  </si>
  <si>
    <t xml:space="preserve">MEGASURYA MAS, PT</t>
  </si>
  <si>
    <t xml:space="preserve">BOX REFILL MINYAK 1 LTR MSM 2016 - SUNCO POUCH 1 L 04-05-23</t>
  </si>
  <si>
    <t xml:space="preserve">318 x 244 x 195</t>
  </si>
  <si>
    <t xml:space="preserve">0018915</t>
  </si>
  <si>
    <t xml:space="preserve">2605/00255</t>
  </si>
  <si>
    <t xml:space="preserve">BOX LERVIA 80 GR - REVAMP - ALL VARIANT LOKAL 18-03-26</t>
  </si>
  <si>
    <t xml:space="preserve">372 x 187 x 187</t>
  </si>
  <si>
    <t xml:space="preserve">M008-2601700-A1</t>
  </si>
  <si>
    <t xml:space="preserve">2607/00582</t>
  </si>
  <si>
    <t xml:space="preserve">BOX POUCH LIQUID SOAP 85GR - MEDICARE ALL VARIANT 16-03-26</t>
  </si>
  <si>
    <t xml:space="preserve">295 x 215 x 157</t>
  </si>
  <si>
    <t xml:space="preserve">M008-2602900-A1</t>
  </si>
  <si>
    <t xml:space="preserve">2607/00706</t>
  </si>
  <si>
    <t xml:space="preserve">BOX REFILL MINYAK 2 LTR MSM 2018 - SUNCO POUCH 2 L 04-05-23</t>
  </si>
  <si>
    <t xml:space="preserve">300 X 275 X 195</t>
  </si>
  <si>
    <t xml:space="preserve">0018914</t>
  </si>
  <si>
    <t xml:space="preserve">2607/00844</t>
  </si>
  <si>
    <t xml:space="preserve">BOX HARMONY 70 GR LOKAL REVAMP - NS (2601) - GRAPE SPARKLING 16-03-26</t>
  </si>
  <si>
    <t xml:space="preserve">283 x 185 x 174</t>
  </si>
  <si>
    <t xml:space="preserve">M008-2600200-A1</t>
  </si>
  <si>
    <t xml:space="preserve">2607/01083</t>
  </si>
  <si>
    <t xml:space="preserve">BOX HARMONY 70 GR LOKAL REVAMP - NS (2601) - MELON HONEYDEW 16-03-26</t>
  </si>
  <si>
    <t xml:space="preserve">M008-2600400-A1</t>
  </si>
  <si>
    <t xml:space="preserve">2607/01084</t>
  </si>
  <si>
    <t xml:space="preserve">MERLYANA SOIK</t>
  </si>
  <si>
    <t xml:space="preserve">LILIN ISI 40 PAK, OB</t>
  </si>
  <si>
    <t xml:space="preserve">210 x 180 x 110</t>
  </si>
  <si>
    <t xml:space="preserve">0010656</t>
  </si>
  <si>
    <t xml:space="preserve">2605/00759</t>
  </si>
  <si>
    <t xml:space="preserve">MIFTAKHUL SALAM</t>
  </si>
  <si>
    <t xml:space="preserve">SONGKOK NASIONAL HALUS 10 POTONG</t>
  </si>
  <si>
    <t xml:space="preserve">472 x 145 x 303</t>
  </si>
  <si>
    <t xml:space="preserve">0023109</t>
  </si>
  <si>
    <t xml:space="preserve">2606/00679</t>
  </si>
  <si>
    <t xml:space="preserve">MISSOURI, CV</t>
  </si>
  <si>
    <t xml:space="preserve">BOX DOC RM 726 WARNA BIRU (TOP)</t>
  </si>
  <si>
    <t xml:space="preserve">615 x 452 x 35</t>
  </si>
  <si>
    <t xml:space="preserve">M028-2600100-DT</t>
  </si>
  <si>
    <t xml:space="preserve">2605/00748</t>
  </si>
  <si>
    <t xml:space="preserve">BOX DOC HM 623 (TOP)</t>
  </si>
  <si>
    <t xml:space="preserve">BF0302F2</t>
  </si>
  <si>
    <t xml:space="preserve">2607/00052</t>
  </si>
  <si>
    <t xml:space="preserve">MITRA ALAM SEGAR</t>
  </si>
  <si>
    <t xml:space="preserve">23000946 - KARDUS PFG 175 ML 0725</t>
  </si>
  <si>
    <t xml:space="preserve">BE28786</t>
  </si>
  <si>
    <t xml:space="preserve">2606/01243</t>
  </si>
  <si>
    <t xml:space="preserve">23000735 - KARDUS TEH RIO GULA BATU 180 ML</t>
  </si>
  <si>
    <t xml:space="preserve">328 X 219 X 98</t>
  </si>
  <si>
    <t xml:space="preserve">0026446</t>
  </si>
  <si>
    <t xml:space="preserve">2607/00774</t>
  </si>
  <si>
    <t xml:space="preserve">MUHAMMAD SYAHRIR</t>
  </si>
  <si>
    <t xml:space="preserve">BBC</t>
  </si>
  <si>
    <t xml:space="preserve">408 X 318 X 212</t>
  </si>
  <si>
    <t xml:space="preserve">0013435</t>
  </si>
  <si>
    <t xml:space="preserve">2602/00117</t>
  </si>
  <si>
    <t xml:space="preserve">MULTI NABATI SULAWESI, PT</t>
  </si>
  <si>
    <t xml:space="preserve">SOVIA BIB 18 L</t>
  </si>
  <si>
    <t xml:space="preserve">266 x 240 x 290</t>
  </si>
  <si>
    <t xml:space="preserve">M013-2600101-DC</t>
  </si>
  <si>
    <t xml:space="preserve">2605/00209</t>
  </si>
  <si>
    <t xml:space="preserve">MUTU GADING TEKSTIL, PT</t>
  </si>
  <si>
    <t xml:space="preserve">DTY-H LOGO MGT</t>
  </si>
  <si>
    <t xml:space="preserve">672 x 448 x 288</t>
  </si>
  <si>
    <t xml:space="preserve">M005-2600300-A1</t>
  </si>
  <si>
    <t xml:space="preserve">2606/00656</t>
  </si>
  <si>
    <t xml:space="preserve">DTY-HT LOGO MGT</t>
  </si>
  <si>
    <t xml:space="preserve">671 x 447 x 279</t>
  </si>
  <si>
    <t xml:space="preserve">M005-2600100-A1</t>
  </si>
  <si>
    <t xml:space="preserve">2606/00658</t>
  </si>
  <si>
    <t xml:space="preserve">JUMBO BOX BOTTOM Y (DW) BK</t>
  </si>
  <si>
    <t xml:space="preserve">1130 X 1130 X 1000</t>
  </si>
  <si>
    <t xml:space="preserve">0022904F9</t>
  </si>
  <si>
    <t xml:space="preserve">2607/00489</t>
  </si>
  <si>
    <t xml:space="preserve">JUMBO BOX TOP Y (DW) BT</t>
  </si>
  <si>
    <t xml:space="preserve">1140 X 1140 X 370</t>
  </si>
  <si>
    <t xml:space="preserve">0022911</t>
  </si>
  <si>
    <t xml:space="preserve">2607/00490</t>
  </si>
  <si>
    <t xml:space="preserve">NIPSEA PAINT AND CHEMICALS. PT</t>
  </si>
  <si>
    <t xml:space="preserve">PN114 VINILEX CCM 5KG O/T SW DC</t>
  </si>
  <si>
    <t xml:space="preserve">372 X 357 X 150</t>
  </si>
  <si>
    <t xml:space="preserve">0021851</t>
  </si>
  <si>
    <t xml:space="preserve">2603/00552</t>
  </si>
  <si>
    <t xml:space="preserve">PN106 NIPPON HI EPOXY FILLER BASE 12X0,8L SW</t>
  </si>
  <si>
    <t xml:space="preserve">340 X 223 X 251</t>
  </si>
  <si>
    <t xml:space="preserve">0021856</t>
  </si>
  <si>
    <t xml:space="preserve">2603/00557</t>
  </si>
  <si>
    <t xml:space="preserve">PN044 BOX POLOS SW-6X0.2L</t>
  </si>
  <si>
    <t xml:space="preserve">222 X 147 X 69</t>
  </si>
  <si>
    <t xml:space="preserve">0022749</t>
  </si>
  <si>
    <t xml:space="preserve">2605/01009</t>
  </si>
  <si>
    <t xml:space="preserve">PN038 NPI POLOS OT SW (DC)-4X5K</t>
  </si>
  <si>
    <t xml:space="preserve">340 X 335 X 150</t>
  </si>
  <si>
    <t xml:space="preserve">0022763</t>
  </si>
  <si>
    <t xml:space="preserve">2605/01010</t>
  </si>
  <si>
    <t xml:space="preserve">PN100 NPI POLOS PLASTIK SW (DC)-12X1L</t>
  </si>
  <si>
    <t xml:space="preserve">340 X 225 X 249</t>
  </si>
  <si>
    <t xml:space="preserve">0021672</t>
  </si>
  <si>
    <t xml:space="preserve">2605/01011</t>
  </si>
  <si>
    <t xml:space="preserve">PN099 MATEX PLASTIK OT SW (DC) 4X4.5 K</t>
  </si>
  <si>
    <t xml:space="preserve">372 X 367 X 150</t>
  </si>
  <si>
    <t xml:space="preserve">0021670</t>
  </si>
  <si>
    <t xml:space="preserve">2606/00175</t>
  </si>
  <si>
    <t xml:space="preserve">PN107 KOMILEX 4,5KG O/T SW DC</t>
  </si>
  <si>
    <t xml:space="preserve">0021859</t>
  </si>
  <si>
    <t xml:space="preserve">2606/00183</t>
  </si>
  <si>
    <t xml:space="preserve">PN183 ELASTEX WATERPROOF 3IN1 ACCENT# 4KG</t>
  </si>
  <si>
    <t xml:space="preserve">372 x 367 x 150</t>
  </si>
  <si>
    <t xml:space="preserve">BF0257</t>
  </si>
  <si>
    <t xml:space="preserve">2607/00381</t>
  </si>
  <si>
    <t xml:space="preserve">NOFITA WAMIR</t>
  </si>
  <si>
    <t xml:space="preserve">LIPOKU 220 ML</t>
  </si>
  <si>
    <t xml:space="preserve">345 x 232 x 193</t>
  </si>
  <si>
    <t xml:space="preserve">N005-2600100-A1</t>
  </si>
  <si>
    <t xml:space="preserve">2605/00370</t>
  </si>
  <si>
    <t xml:space="preserve">PANGAN SUKSES GEMILANG. PT</t>
  </si>
  <si>
    <t xml:space="preserve">FILLET PATIN SUPER TINTA BIRU</t>
  </si>
  <si>
    <t xml:space="preserve">500 x 307 x 128</t>
  </si>
  <si>
    <t xml:space="preserve">0024645-02</t>
  </si>
  <si>
    <t xml:space="preserve">2607/00652</t>
  </si>
  <si>
    <t xml:space="preserve">FILLET PATIN SUPER TINTA BIRU (PSG1)</t>
  </si>
  <si>
    <t xml:space="preserve">P008-2600100-A1</t>
  </si>
  <si>
    <t xml:space="preserve">2607/00653</t>
  </si>
  <si>
    <t xml:space="preserve">PERSEROAN TERBATAS - BADAN HALIMJAYA SAKTI</t>
  </si>
  <si>
    <t xml:space="preserve">BOX ANDO HAWAI (AB)</t>
  </si>
  <si>
    <t xml:space="preserve">450 x 235 x 290</t>
  </si>
  <si>
    <t xml:space="preserve">P015-2600200-A1</t>
  </si>
  <si>
    <t xml:space="preserve">2605/00317</t>
  </si>
  <si>
    <t xml:space="preserve">BOX GEMOY PRIA</t>
  </si>
  <si>
    <t xml:space="preserve">510 x 475 x 305</t>
  </si>
  <si>
    <t xml:space="preserve">BF0341</t>
  </si>
  <si>
    <t xml:space="preserve">2605/00528</t>
  </si>
  <si>
    <t xml:space="preserve">BOX ANDO HAWAI</t>
  </si>
  <si>
    <t xml:space="preserve">420 x 245 x 335</t>
  </si>
  <si>
    <t xml:space="preserve">BE29325</t>
  </si>
  <si>
    <t xml:space="preserve">2605/00530</t>
  </si>
  <si>
    <t xml:space="preserve">BOX ANDO THUNDER 02</t>
  </si>
  <si>
    <t xml:space="preserve">480 x 350 x 245</t>
  </si>
  <si>
    <t xml:space="preserve">P015-2600400-A1</t>
  </si>
  <si>
    <t xml:space="preserve">2607/00891</t>
  </si>
  <si>
    <t xml:space="preserve">PERSEROAN TERBATAS - BADAN KARUNIA INDAH ABADI</t>
  </si>
  <si>
    <t xml:space="preserve">23000125 - KARTON MIE SEDAAP ST (ND0724)</t>
  </si>
  <si>
    <t xml:space="preserve">337 x 203 x 231</t>
  </si>
  <si>
    <t xml:space="preserve">K003-2600100-A1</t>
  </si>
  <si>
    <t xml:space="preserve">2607/00953</t>
  </si>
  <si>
    <t xml:space="preserve">23000124 - KARTON MIE SEDAAP GR (ND0724)</t>
  </si>
  <si>
    <t xml:space="preserve">371 x 203 x 231</t>
  </si>
  <si>
    <t xml:space="preserve">K003-2600200-A1</t>
  </si>
  <si>
    <t xml:space="preserve">2607/00965</t>
  </si>
  <si>
    <t xml:space="preserve">PERSEROAN TERBATAS LESAFFRE SARI NUSA</t>
  </si>
  <si>
    <t xml:space="preserve">(400011608) CARTON BOX 500G BRUGEMAN CAN2694</t>
  </si>
  <si>
    <t xml:space="preserve">331 X 190 X 246</t>
  </si>
  <si>
    <t xml:space="preserve">0026006F</t>
  </si>
  <si>
    <t xml:space="preserve">2605/01000</t>
  </si>
  <si>
    <t xml:space="preserve">(400011367) CARTON BOX 500G BAKERY DELIGHT CAN2673</t>
  </si>
  <si>
    <t xml:space="preserve">0026004F</t>
  </si>
  <si>
    <t xml:space="preserve">2607/00036</t>
  </si>
  <si>
    <t xml:space="preserve">(400011231) CARTON BOX 500G BRUGGEMAN CAN2665</t>
  </si>
  <si>
    <t xml:space="preserve">0025585F</t>
  </si>
  <si>
    <t xml:space="preserve">2607/00037</t>
  </si>
  <si>
    <t xml:space="preserve">(400011366) CARTON BOX 500G SAF INSTANT RED CAN 2696 H246</t>
  </si>
  <si>
    <t xml:space="preserve">0026008F</t>
  </si>
  <si>
    <t xml:space="preserve">2607/00086</t>
  </si>
  <si>
    <t xml:space="preserve">(400011232) CARTON BOX 500G SAF INSTANT CAN2667</t>
  </si>
  <si>
    <t xml:space="preserve">331 X 190 X 245</t>
  </si>
  <si>
    <t xml:space="preserve">0025583F</t>
  </si>
  <si>
    <t xml:space="preserve">2607/00088</t>
  </si>
  <si>
    <t xml:space="preserve">(400011607) CARTON BOX 500G DCL CAN2695</t>
  </si>
  <si>
    <t xml:space="preserve">331 x 190 x 246</t>
  </si>
  <si>
    <t xml:space="preserve">0026234F</t>
  </si>
  <si>
    <t xml:space="preserve">2607/00267</t>
  </si>
  <si>
    <t xml:space="preserve">(400011382) CARTON BOX 500G FERMIPAN CAN2666</t>
  </si>
  <si>
    <t xml:space="preserve">0025991F</t>
  </si>
  <si>
    <t xml:space="preserve">2607/00268</t>
  </si>
  <si>
    <t xml:space="preserve">PERSEROAN TERBATAS SINOSURA FAT CHEMISTRY INDONESI</t>
  </si>
  <si>
    <t xml:space="preserve">BOX SHORTENING (PRINTING)</t>
  </si>
  <si>
    <t xml:space="preserve">394 x 234 x 246</t>
  </si>
  <si>
    <t xml:space="preserve">P012-2600201-A1</t>
  </si>
  <si>
    <t xml:space="preserve">2607/00777</t>
  </si>
  <si>
    <t xml:space="preserve">PERSEROAN TERBATAS YOU WANG YOU</t>
  </si>
  <si>
    <t xml:space="preserve">BOX MOOH ORIGINAL 220 ML</t>
  </si>
  <si>
    <t xml:space="preserve">350 x 238 x 111</t>
  </si>
  <si>
    <t xml:space="preserve">BE27887</t>
  </si>
  <si>
    <t xml:space="preserve">2607/00827</t>
  </si>
  <si>
    <t xml:space="preserve">BOX MOOH MANGGA 220 ML</t>
  </si>
  <si>
    <t xml:space="preserve">BE29082</t>
  </si>
  <si>
    <t xml:space="preserve">2607/00829</t>
  </si>
  <si>
    <t xml:space="preserve">BOX MOOH BLUEBARRY 220 ML</t>
  </si>
  <si>
    <t xml:space="preserve">BE27891</t>
  </si>
  <si>
    <t xml:space="preserve">2607/00830</t>
  </si>
  <si>
    <t xml:space="preserve">MALA </t>
  </si>
  <si>
    <t xml:space="preserve">PLATINUM CERAMICS INDUSTRY, PT</t>
  </si>
  <si>
    <t xml:space="preserve">NFT14 30X30 AT DC KW-B K</t>
  </si>
  <si>
    <t xml:space="preserve">303 x 303 x 80</t>
  </si>
  <si>
    <t xml:space="preserve">BE28823</t>
  </si>
  <si>
    <t xml:space="preserve">2605/00795</t>
  </si>
  <si>
    <t xml:space="preserve">NWT16 25X40 AT DC KW-A K</t>
  </si>
  <si>
    <t xml:space="preserve">403 x 253 x 84</t>
  </si>
  <si>
    <t xml:space="preserve">P010-2600200-DK</t>
  </si>
  <si>
    <t xml:space="preserve">2606/00129</t>
  </si>
  <si>
    <t xml:space="preserve">NFT19 40X40 AT DC KW-A K</t>
  </si>
  <si>
    <t xml:space="preserve">403 x 403 x 53</t>
  </si>
  <si>
    <t xml:space="preserve">BE28654</t>
  </si>
  <si>
    <t xml:space="preserve">2606/00392</t>
  </si>
  <si>
    <t xml:space="preserve">NFT17 40X40 AT DC KW-B L</t>
  </si>
  <si>
    <t xml:space="preserve">P010-2600900-DK</t>
  </si>
  <si>
    <t xml:space="preserve">2607/00130</t>
  </si>
  <si>
    <t xml:space="preserve">PT WISMILAK INTI MAKMUR TBK</t>
  </si>
  <si>
    <t xml:space="preserve">2000000380 BOX KAKI - 4400</t>
  </si>
  <si>
    <t xml:space="preserve">663 X 375 X 122</t>
  </si>
  <si>
    <t xml:space="preserve">0023292</t>
  </si>
  <si>
    <t xml:space="preserve">2607/00077</t>
  </si>
  <si>
    <t xml:space="preserve">2000000381 BOX TUTUP - 4400</t>
  </si>
  <si>
    <t xml:space="preserve">677 X 380 X 55</t>
  </si>
  <si>
    <t xml:space="preserve">0023291</t>
  </si>
  <si>
    <t xml:space="preserve">2607/00078</t>
  </si>
  <si>
    <t xml:space="preserve">PURA BARUTAMA, PT</t>
  </si>
  <si>
    <t xml:space="preserve">SARIWANGI TB 50</t>
  </si>
  <si>
    <t xml:space="preserve">390 X 330 X 180</t>
  </si>
  <si>
    <t xml:space="preserve">0019465</t>
  </si>
  <si>
    <t xml:space="preserve">2607/01260</t>
  </si>
  <si>
    <t xml:space="preserve">ROMAN CERAMIC INTERNATIONAL, PT</t>
  </si>
  <si>
    <t xml:space="preserve">(GCAR5SD076) CART 5S THICK TILE RM TS GR 30 X 30 KW I</t>
  </si>
  <si>
    <t xml:space="preserve">303 X 303 X 124</t>
  </si>
  <si>
    <t xml:space="preserve">BE28976</t>
  </si>
  <si>
    <t xml:space="preserve">2605/00354</t>
  </si>
  <si>
    <t xml:space="preserve">(GCAR4SD094) CART 4S RM GRANIT 60 X 30 GRADE A</t>
  </si>
  <si>
    <t xml:space="preserve">330 X 304 X 53</t>
  </si>
  <si>
    <t xml:space="preserve">BD27065</t>
  </si>
  <si>
    <t xml:space="preserve">2605/00355</t>
  </si>
  <si>
    <t xml:space="preserve">(GCAR5SD141) CART 5S RM TS GR 120 X 60 GRADE A</t>
  </si>
  <si>
    <t xml:space="preserve">1,204 x 604 x 23</t>
  </si>
  <si>
    <t xml:space="preserve">BE28827</t>
  </si>
  <si>
    <t xml:space="preserve">2605/00361</t>
  </si>
  <si>
    <t xml:space="preserve">(GCAR5SD050) CART 5S RM TS GR 60 X 30 KW I</t>
  </si>
  <si>
    <t xml:space="preserve">603 X 305 X 51</t>
  </si>
  <si>
    <t xml:space="preserve">BE28812X</t>
  </si>
  <si>
    <t xml:space="preserve">2607/00311</t>
  </si>
  <si>
    <t xml:space="preserve">(GCAR5SD139) CART 5S RM GR 80 X 80 GRADE A</t>
  </si>
  <si>
    <t xml:space="preserve">803 X 803 X 27</t>
  </si>
  <si>
    <t xml:space="preserve">0025951</t>
  </si>
  <si>
    <t xml:space="preserve">2607/00314</t>
  </si>
  <si>
    <t xml:space="preserve">(GCAR4SD053) CART 4S RM 40 X 40 KW I NEW</t>
  </si>
  <si>
    <t xml:space="preserve">400 X 400 X 50</t>
  </si>
  <si>
    <t xml:space="preserve">BE28549X</t>
  </si>
  <si>
    <t xml:space="preserve">2607/00322</t>
  </si>
  <si>
    <t xml:space="preserve">(GCAR5SD078) CART 5S THICK TILE RM TS GR 60 X 60 KW I</t>
  </si>
  <si>
    <t xml:space="preserve">603 X 603 X 44</t>
  </si>
  <si>
    <t xml:space="preserve">BE28826</t>
  </si>
  <si>
    <t xml:space="preserve">2607/00323</t>
  </si>
  <si>
    <t xml:space="preserve">(GCAR4SD071) CART 4S RM FT 30 X 30 KW I GCT B1B 11PC</t>
  </si>
  <si>
    <t xml:space="preserve">303 X 303 X 84</t>
  </si>
  <si>
    <t xml:space="preserve">BE28551X</t>
  </si>
  <si>
    <t xml:space="preserve">2607/00324</t>
  </si>
  <si>
    <t xml:space="preserve">(GCAR5SD053) CART 5S RM TS GR 60 X 60 KW II</t>
  </si>
  <si>
    <t xml:space="preserve">603 X 603 X 27</t>
  </si>
  <si>
    <t xml:space="preserve">0015708X</t>
  </si>
  <si>
    <t xml:space="preserve">2607/00326</t>
  </si>
  <si>
    <t xml:space="preserve">(GCAR5SD144) CART 5S RM GRANIT 60 X 15 GRADE A</t>
  </si>
  <si>
    <t xml:space="preserve">603 X 155 X 100</t>
  </si>
  <si>
    <t xml:space="preserve">0026214</t>
  </si>
  <si>
    <t xml:space="preserve">2607/00327</t>
  </si>
  <si>
    <t xml:space="preserve">(GCAR5SD049) CART 5S RM TS GR 60 X 60 KW I</t>
  </si>
  <si>
    <t xml:space="preserve">0014255X</t>
  </si>
  <si>
    <t xml:space="preserve">2607/00328</t>
  </si>
  <si>
    <t xml:space="preserve">(GCAR5SD145) CART 5S RM GRANIT 60 X 15 GRADE B</t>
  </si>
  <si>
    <t xml:space="preserve">0026289</t>
  </si>
  <si>
    <t xml:space="preserve">2607/00329</t>
  </si>
  <si>
    <t xml:space="preserve">(GCAR5SD238) CART 5S RM GRANIT 100 X 100 GRADE B</t>
  </si>
  <si>
    <t xml:space="preserve">1,003 x 1,003 x 22</t>
  </si>
  <si>
    <t xml:space="preserve">R003-2600301-DK</t>
  </si>
  <si>
    <t xml:space="preserve">2607/00332</t>
  </si>
  <si>
    <t xml:space="preserve">R003-2600601-DK</t>
  </si>
  <si>
    <t xml:space="preserve">2607/00903</t>
  </si>
  <si>
    <t xml:space="preserve">SARIMURNI JAYA, PT</t>
  </si>
  <si>
    <t xml:space="preserve">DUS 15000 MOMOGI FUN SNACK PS1167</t>
  </si>
  <si>
    <t xml:space="preserve">500 x 285 x 570</t>
  </si>
  <si>
    <t xml:space="preserve">S040-2600200-A1</t>
  </si>
  <si>
    <t xml:space="preserve">2607/00203</t>
  </si>
  <si>
    <t xml:space="preserve">CARTON BOX 1000 CRISCITO TIKAR (CRISPY SNACK) 8X10X10G (PS1219)</t>
  </si>
  <si>
    <t xml:space="preserve">465 x 220 x 365</t>
  </si>
  <si>
    <t xml:space="preserve">BF0078</t>
  </si>
  <si>
    <t xml:space="preserve">2607/00236</t>
  </si>
  <si>
    <t xml:space="preserve">DUS 005 YALE ST2BLT (16 X 10 X 6 G) PS1035</t>
  </si>
  <si>
    <t xml:space="preserve">465 x 235 x 185</t>
  </si>
  <si>
    <t xml:space="preserve">BF0183</t>
  </si>
  <si>
    <t xml:space="preserve">2607/00238</t>
  </si>
  <si>
    <t xml:space="preserve">SATORIA ANEKA INDUSTRI, PT</t>
  </si>
  <si>
    <t xml:space="preserve">KARTON BOX SATORIA PHARMA 500 ML COKLAT (KBXXA03AA25-0002)</t>
  </si>
  <si>
    <t xml:space="preserve">435 x 240 x 213</t>
  </si>
  <si>
    <t xml:space="preserve">S003-2600200-A1</t>
  </si>
  <si>
    <t xml:space="preserve">2606/00621</t>
  </si>
  <si>
    <t xml:space="preserve">KARTON BOX COKLAT SATORIA PHARMA 100 ML ISI 40 (KBXXE03AB25-0002)</t>
  </si>
  <si>
    <t xml:space="preserve">435 x 245 x 152</t>
  </si>
  <si>
    <t xml:space="preserve">S003-2600400-A1</t>
  </si>
  <si>
    <t xml:space="preserve">2607/00251</t>
  </si>
  <si>
    <t xml:space="preserve">SAYYID HAMID</t>
  </si>
  <si>
    <t xml:space="preserve">ESHA QUEEN IMPERIAL MINI CABINET SUSUN 3</t>
  </si>
  <si>
    <t xml:space="preserve">765 x 185 x 504</t>
  </si>
  <si>
    <t xml:space="preserve">0026130</t>
  </si>
  <si>
    <t xml:space="preserve">2607/00821</t>
  </si>
  <si>
    <t xml:space="preserve">SEBASTIAN CITRA INDONESIA, PT</t>
  </si>
  <si>
    <t xml:space="preserve">7007067006202 KARTON BOX (BOX BUNS)</t>
  </si>
  <si>
    <t xml:space="preserve">392 x 294 x 204</t>
  </si>
  <si>
    <t xml:space="preserve">BE27284</t>
  </si>
  <si>
    <t xml:space="preserve">2606/01244</t>
  </si>
  <si>
    <t xml:space="preserve">SEKAR BUMI TBK, PT</t>
  </si>
  <si>
    <t xml:space="preserve">MC. MATERIAL</t>
  </si>
  <si>
    <t xml:space="preserve">350 X 300 X 200</t>
  </si>
  <si>
    <t xml:space="preserve">009922</t>
  </si>
  <si>
    <t xml:space="preserve">2605/00800</t>
  </si>
  <si>
    <t xml:space="preserve">MC WATERFRONT BISTRO CPND 5X2 LBS 91/110 (COS)</t>
  </si>
  <si>
    <t xml:space="preserve">348 x 272 x 148</t>
  </si>
  <si>
    <t xml:space="preserve">S036-2600300-A1</t>
  </si>
  <si>
    <t xml:space="preserve">2607/00376</t>
  </si>
  <si>
    <t xml:space="preserve">SIANTAR TOP TBK, PT</t>
  </si>
  <si>
    <t xml:space="preserve">DUS SPIX MIE GORENG SAMBAL BALADO CBP 500 ISI 100 PCS KTN/SMG-BDR500/L/100/01</t>
  </si>
  <si>
    <t xml:space="preserve">270 x 150 x 360</t>
  </si>
  <si>
    <t xml:space="preserve">S004-2603200-A1</t>
  </si>
  <si>
    <t xml:space="preserve">2604/01220</t>
  </si>
  <si>
    <t xml:space="preserve">DUS GEMEZ ENAAK CHICKEN 30 GR KB INTERNATIONAL VIETNAM KTN/CK/E/144/00/VNM</t>
  </si>
  <si>
    <t xml:space="preserve">390 x 330 x 365</t>
  </si>
  <si>
    <t xml:space="preserve">S004-2604900-A1</t>
  </si>
  <si>
    <t xml:space="preserve">2606/00074</t>
  </si>
  <si>
    <t xml:space="preserve">DUS GEMEZ ENAAK CHICKEN SPICY LEVEL 3 MIX DAIN KOREA KTN/GNA MIX/E/24X6/00/KOREA</t>
  </si>
  <si>
    <t xml:space="preserve">S004-2604800-A1</t>
  </si>
  <si>
    <t xml:space="preserve">2606/00075</t>
  </si>
  <si>
    <t xml:space="preserve">DUS MIE GORENG BBQ 9 GR TEKS JOZOR AL MALAYO KTN/GEM/E/300/06/JORDANIA</t>
  </si>
  <si>
    <t xml:space="preserve">340 x 290 x 340</t>
  </si>
  <si>
    <t xml:space="preserve">BE29321</t>
  </si>
  <si>
    <t xml:space="preserve">2606/00819</t>
  </si>
  <si>
    <t xml:space="preserve">DUS GEMEZ ENAAK SMOKED BBQ 28 GR CVS DAIN KOREA KTN/SBQ-CVS/E/24X6/00/KOREA</t>
  </si>
  <si>
    <t xml:space="preserve">BF0414</t>
  </si>
  <si>
    <t xml:space="preserve">2606/00996</t>
  </si>
  <si>
    <t xml:space="preserve">DUS FRENCH FRIES PREMIUM PARTY PACK 192 GR ISI 16 PCS KTN/FFP-PARTY/L/16/00</t>
  </si>
  <si>
    <t xml:space="preserve">420 x 380 x 500</t>
  </si>
  <si>
    <t xml:space="preserve">BD27177</t>
  </si>
  <si>
    <t xml:space="preserve">2606/01194</t>
  </si>
  <si>
    <t xml:space="preserve">DUS GEMEZ ENAAK NOODLE SNACK CHICKEN BBQ BULKY NON RTG KTN/GENSCB/E/195/00/XIAMENCHINA</t>
  </si>
  <si>
    <t xml:space="preserve">475 x 265 x 330</t>
  </si>
  <si>
    <t xml:space="preserve">0025689</t>
  </si>
  <si>
    <t xml:space="preserve">2606/01263</t>
  </si>
  <si>
    <t xml:space="preserve">DUS TIC-TIC BAWANG SAMCOL CBP 2000 LOKAL 60 PCS KTN/TIC-SC-NEW/L/60/00</t>
  </si>
  <si>
    <t xml:space="preserve">500 x 260 x 380</t>
  </si>
  <si>
    <t xml:space="preserve">S004-2601600-A1</t>
  </si>
  <si>
    <t xml:space="preserve">2607/00191</t>
  </si>
  <si>
    <t xml:space="preserve">DUS TIC-TIC BAWANG HANGOUT PACK LOKAL KTN/NEW-TIC-BWG/HOP/20/00</t>
  </si>
  <si>
    <t xml:space="preserve">520 x 385 x 340</t>
  </si>
  <si>
    <t xml:space="preserve">S004-2601500-A1</t>
  </si>
  <si>
    <t xml:space="preserve">2607/00192</t>
  </si>
  <si>
    <t xml:space="preserve">DUS GEMEZ ENAAK EXTRA SPICY 28 GR BULKY WITH GACC EXPORT NANJING CHINA KTN/NJSPC-BULKY/E/80/02/NANJI</t>
  </si>
  <si>
    <t xml:space="preserve">420 X 200 X 210</t>
  </si>
  <si>
    <t xml:space="preserve">0024110</t>
  </si>
  <si>
    <t xml:space="preserve">2607/00593</t>
  </si>
  <si>
    <t xml:space="preserve">DUS GEMEZ ENAAK SPICY BIGBOX 14 G XIAMEN TYSEN CHINA KTN/XMN SCY/E/180/07/XIAMENCHINA</t>
  </si>
  <si>
    <t xml:space="preserve">380 x 270 x 255</t>
  </si>
  <si>
    <t xml:space="preserve">BE29499</t>
  </si>
  <si>
    <t xml:space="preserve">2607/00594</t>
  </si>
  <si>
    <t xml:space="preserve">DUS GEMEZ ENAAK 14 GR SPICY RENTENG WITH CIDN EXPORT XIAMEN CHINA KTN/NJSCY-RENTENG120/E/120/05/XIAM</t>
  </si>
  <si>
    <t xml:space="preserve">360 X 180 X 260</t>
  </si>
  <si>
    <t xml:space="preserve">0023954</t>
  </si>
  <si>
    <t xml:space="preserve">2607/00595</t>
  </si>
  <si>
    <t xml:space="preserve">DUS TWISTKO JAGUNG BAKAR PREMIUM 70 GR KTN/TJB70/20/00</t>
  </si>
  <si>
    <t xml:space="preserve">330 X 300 X 410</t>
  </si>
  <si>
    <t xml:space="preserve">0026033</t>
  </si>
  <si>
    <t xml:space="preserve">2607/00621</t>
  </si>
  <si>
    <t xml:space="preserve">DUS FRENCH FRIES CBP 2000 15 GR IBT 60 PCS KTN/NEW-FF/IBT/60/00</t>
  </si>
  <si>
    <t xml:space="preserve">460 x 229 x 359</t>
  </si>
  <si>
    <t xml:space="preserve">BF0368</t>
  </si>
  <si>
    <t xml:space="preserve">2607/00625</t>
  </si>
  <si>
    <t xml:space="preserve">DUS TIC-TIC BAWANG CBP 2000 LOKAL 60 PCS KTN/TIC-BWG2000_NEW/L/60/00</t>
  </si>
  <si>
    <t xml:space="preserve">S004-2601800-A1</t>
  </si>
  <si>
    <t xml:space="preserve">2607/00636</t>
  </si>
  <si>
    <t xml:space="preserve">DUS GEMEZ ENAAK EXTRA SPICY 28G MT SHINHER KTN/SPCTWN-MT/E/24X6/01/SHINGHERTAIWAN</t>
  </si>
  <si>
    <t xml:space="preserve">390 X 330 X 365</t>
  </si>
  <si>
    <t xml:space="preserve">0020705</t>
  </si>
  <si>
    <t xml:space="preserve">2607/00661</t>
  </si>
  <si>
    <t xml:space="preserve">DUS GEMEZ ENAAK SMOKED BEEF 14 GR 180 NON RENTENG XIAMEN CHINA KTN/GMZ-SB/RTG/E/180/00/XIAMEN CHINA</t>
  </si>
  <si>
    <t xml:space="preserve">370 X 270 X 270</t>
  </si>
  <si>
    <t xml:space="preserve">0024436</t>
  </si>
  <si>
    <t xml:space="preserve">2607/00719</t>
  </si>
  <si>
    <t xml:space="preserve">DUS GORIORIO POUCH VANILA COKLAT TIRAMISU MIX ISI 16 PCS KTN/GRRP/L/16/01</t>
  </si>
  <si>
    <t xml:space="preserve">390 x 279 x 210</t>
  </si>
  <si>
    <t xml:space="preserve">BE28917</t>
  </si>
  <si>
    <t xml:space="preserve">2607/00808</t>
  </si>
  <si>
    <t xml:space="preserve">DUS GEMEZ ENAAK AYAM KECAP CBP 1000 80 RTG LOKAL KTN/GEN1-RTG/L/80/01</t>
  </si>
  <si>
    <t xml:space="preserve">400 x 170 x 200</t>
  </si>
  <si>
    <t xml:space="preserve">BE27852</t>
  </si>
  <si>
    <t xml:space="preserve">2607/00928</t>
  </si>
  <si>
    <t xml:space="preserve">DUS FRENCH FRIES PREMIUM 5000 LOGO HALAL KTN/FFP5/L/20/02/HCO</t>
  </si>
  <si>
    <t xml:space="preserve">310 X 280 X 360</t>
  </si>
  <si>
    <t xml:space="preserve">0025756</t>
  </si>
  <si>
    <t xml:space="preserve">2607/00929</t>
  </si>
  <si>
    <t xml:space="preserve">DUS FRENCH FRIES CBP 2000 15 GR LOKAL 60 PCS KTN/NEW-FF/L/60/00</t>
  </si>
  <si>
    <t xml:space="preserve">460 x 230 x 380</t>
  </si>
  <si>
    <t xml:space="preserve">BF0367</t>
  </si>
  <si>
    <t xml:space="preserve">2607/00930</t>
  </si>
  <si>
    <t xml:space="preserve">DUS DEO GORIORIO CBP 500 CENTANG ISI 240 PCS KTN/DGR500-NEW/L/240/00</t>
  </si>
  <si>
    <t xml:space="preserve">345 x 190 x 170</t>
  </si>
  <si>
    <t xml:space="preserve">S004-2603500-A1</t>
  </si>
  <si>
    <t xml:space="preserve">2607/00932</t>
  </si>
  <si>
    <t xml:space="preserve">DUS DEO GO POTATO CBP 500 ISI 240 PCS ORIGINAL LOKAL KTN/NEW-DGP/L/240/00</t>
  </si>
  <si>
    <t xml:space="preserve">310 x 180 x 185</t>
  </si>
  <si>
    <t xml:space="preserve">S004-2605100-A1</t>
  </si>
  <si>
    <t xml:space="preserve">2607/00933</t>
  </si>
  <si>
    <t xml:space="preserve">DUS BOYKI MIE GORENG CBP 1000 LOKAL 80 RTG KTN/BYK1000-MG/RTG/L/80/01</t>
  </si>
  <si>
    <t xml:space="preserve">BE28139</t>
  </si>
  <si>
    <t xml:space="preserve">2607/00934</t>
  </si>
  <si>
    <t xml:space="preserve">DUS GEMEZ ENAAK 16 GR CHICKEN SMALL BOX WITH CIDN EXPORT XIAMEN CHINA KTN/HCF-SB/E/12/07/HCFCHINA</t>
  </si>
  <si>
    <t xml:space="preserve">360 X 250 X 270</t>
  </si>
  <si>
    <t xml:space="preserve">0025992</t>
  </si>
  <si>
    <t xml:space="preserve">2607/01021</t>
  </si>
  <si>
    <t xml:space="preserve">DUS GORIORIO VANILA COKLAT TIRAMISU MIX 23 GR ISI 120 PCS KTN/GRR-DPX/HCO/L/12/01</t>
  </si>
  <si>
    <t xml:space="preserve">315 x 205 x 190</t>
  </si>
  <si>
    <t xml:space="preserve">BE28918</t>
  </si>
  <si>
    <t xml:space="preserve">2607/01203</t>
  </si>
  <si>
    <t xml:space="preserve">DUS SPIX TIC TIC AP DAN SPICY CTG ISI 88 PROMO KTN/TTM- SPC/L/88/00</t>
  </si>
  <si>
    <t xml:space="preserve">310 X 169 X 309</t>
  </si>
  <si>
    <t xml:space="preserve">0026796</t>
  </si>
  <si>
    <t xml:space="preserve">2607/01204</t>
  </si>
  <si>
    <t xml:space="preserve">DUS DEO GO! CHOCOLATE LOGO HALAL KTN/DGC/L/192/03</t>
  </si>
  <si>
    <t xml:space="preserve">310 x 195 x 150</t>
  </si>
  <si>
    <t xml:space="preserve">BE28427</t>
  </si>
  <si>
    <t xml:space="preserve">2607/01205</t>
  </si>
  <si>
    <t xml:space="preserve">DUS BOYKI MIE GORENG CBP 1000 IBT 80 RTG KTN/BYK1000-MG/RTG/IBT/80/01</t>
  </si>
  <si>
    <t xml:space="preserve">BE27971</t>
  </si>
  <si>
    <t xml:space="preserve">2607/01206</t>
  </si>
  <si>
    <t xml:space="preserve">SINAR KARYA DUTA ABADI</t>
  </si>
  <si>
    <t xml:space="preserve">KARTON BOX DIGI UNO NOUVAFIMA EXPORT 50 X 50</t>
  </si>
  <si>
    <t xml:space="preserve">503 x 503 x 41</t>
  </si>
  <si>
    <t xml:space="preserve">BE28373</t>
  </si>
  <si>
    <t xml:space="preserve">2607/00448</t>
  </si>
  <si>
    <t xml:space="preserve">SINAR KARYA DUTA ABADI, PT</t>
  </si>
  <si>
    <t xml:space="preserve">KARTON BOX UNO EXPORT 30 X 60</t>
  </si>
  <si>
    <t xml:space="preserve">605 x 305 x 49</t>
  </si>
  <si>
    <t xml:space="preserve">BE28367</t>
  </si>
  <si>
    <t xml:space="preserve">2606/00529</t>
  </si>
  <si>
    <t xml:space="preserve">KARTON BOX UNO EXPORT 50 X 50 R BIII</t>
  </si>
  <si>
    <t xml:space="preserve">S048-2600100-DK</t>
  </si>
  <si>
    <t xml:space="preserve">2607/00449</t>
  </si>
  <si>
    <t xml:space="preserve">SINAR KEMASAN TERANG, PT</t>
  </si>
  <si>
    <t xml:space="preserve">OB AIR ACCU 1 LT</t>
  </si>
  <si>
    <t xml:space="preserve">321 X 236 X 265</t>
  </si>
  <si>
    <t xml:space="preserve">0022477</t>
  </si>
  <si>
    <t xml:space="preserve">2505/01199</t>
  </si>
  <si>
    <t xml:space="preserve">IB 5 KG 1 1/2" X 14 (WT TULIS 5 KG)</t>
  </si>
  <si>
    <t xml:space="preserve">189 X 110 X 112</t>
  </si>
  <si>
    <t xml:space="preserve">0024911</t>
  </si>
  <si>
    <t xml:space="preserve">2606/00034</t>
  </si>
  <si>
    <t xml:space="preserve">OB 13 KG 2" X 12 (WT DIKOSONGI)</t>
  </si>
  <si>
    <t xml:space="preserve">370 X 194 X 80</t>
  </si>
  <si>
    <t xml:space="preserve">BD27219</t>
  </si>
  <si>
    <t xml:space="preserve">2606/00040</t>
  </si>
  <si>
    <t xml:space="preserve">OB AIR ZUUR 1 LT</t>
  </si>
  <si>
    <t xml:space="preserve">0022478</t>
  </si>
  <si>
    <t xml:space="preserve">2606/00160</t>
  </si>
  <si>
    <t xml:space="preserve">OB 29 KG 1 1/2" X 14 (WT DIKOSONGI)</t>
  </si>
  <si>
    <t xml:space="preserve">380 X 193 X 230</t>
  </si>
  <si>
    <t xml:space="preserve">0024778</t>
  </si>
  <si>
    <t xml:space="preserve">2606/00823</t>
  </si>
  <si>
    <t xml:space="preserve">IB 5 KG 1 1/2" X 14 (WT DIKOSONGI)</t>
  </si>
  <si>
    <t xml:space="preserve">0024780</t>
  </si>
  <si>
    <t xml:space="preserve">2606/00824</t>
  </si>
  <si>
    <t xml:space="preserve">OB 13 KG 3 1/2" X 9 (WT DIKOSONGI)</t>
  </si>
  <si>
    <t xml:space="preserve">370 X 194 X 118</t>
  </si>
  <si>
    <t xml:space="preserve">0024381</t>
  </si>
  <si>
    <t xml:space="preserve">2606/00827</t>
  </si>
  <si>
    <t xml:space="preserve">NAYUN</t>
  </si>
  <si>
    <t xml:space="preserve">OB 13 KG 4" X 8 (WT DIKOSONGI)</t>
  </si>
  <si>
    <t xml:space="preserve">370 x 194 x 100</t>
  </si>
  <si>
    <t xml:space="preserve">0024074</t>
  </si>
  <si>
    <t xml:space="preserve">2606/00828</t>
  </si>
  <si>
    <t xml:space="preserve">OB 13 KG 3" X 10 (WT DIKOSONGI)</t>
  </si>
  <si>
    <t xml:space="preserve">370 X 194 X 95</t>
  </si>
  <si>
    <t xml:space="preserve">2607/01058</t>
  </si>
  <si>
    <t xml:space="preserve">MB GULA MERAH GUDANG KELAPA</t>
  </si>
  <si>
    <t xml:space="preserve">288 x 208 x 233</t>
  </si>
  <si>
    <t xml:space="preserve">0024651</t>
  </si>
  <si>
    <t xml:space="preserve">2607/01228</t>
  </si>
  <si>
    <t xml:space="preserve">SOEJASCH BALI, PT</t>
  </si>
  <si>
    <t xml:space="preserve">KARTON BOX DOMINOS (POLOS)</t>
  </si>
  <si>
    <t xml:space="preserve">355 x 285 x 210</t>
  </si>
  <si>
    <t xml:space="preserve">0022845</t>
  </si>
  <si>
    <t xml:space="preserve">2606/00625</t>
  </si>
  <si>
    <t xml:space="preserve">SRI YULIANA</t>
  </si>
  <si>
    <t xml:space="preserve">FROZEN FISH POLOS 110 / 110 / 110</t>
  </si>
  <si>
    <t xml:space="preserve">0025901X9</t>
  </si>
  <si>
    <t xml:space="preserve">2607/00142</t>
  </si>
  <si>
    <t xml:space="preserve">SRIANI</t>
  </si>
  <si>
    <t xml:space="preserve">DOS HELLO TANGGUNG</t>
  </si>
  <si>
    <t xml:space="preserve">315 x 215 x 135</t>
  </si>
  <si>
    <t xml:space="preserve">BE29047</t>
  </si>
  <si>
    <t xml:space="preserve">2607/01141</t>
  </si>
  <si>
    <t xml:space="preserve">SUKSES MITRA INDO,PT</t>
  </si>
  <si>
    <t xml:space="preserve">W528 MANGKUK SUP GELOMBANG TIMBUL</t>
  </si>
  <si>
    <t xml:space="preserve">625 x 410 x 215</t>
  </si>
  <si>
    <t xml:space="preserve">S012-2604000-A1</t>
  </si>
  <si>
    <t xml:space="preserve">2607/00333</t>
  </si>
  <si>
    <t xml:space="preserve">SUMARNO</t>
  </si>
  <si>
    <t xml:space="preserve">POLOS COKLAT UK LUAR 395 X 340 X 250 MM</t>
  </si>
  <si>
    <t xml:space="preserve">389 x 334 x 238</t>
  </si>
  <si>
    <t xml:space="preserve">S026-2600500-A1</t>
  </si>
  <si>
    <t xml:space="preserve">2607/00002</t>
  </si>
  <si>
    <t xml:space="preserve">SUMBER AIR AFIAT, PT</t>
  </si>
  <si>
    <t xml:space="preserve">AMDK YJAS 48 X 220 ML</t>
  </si>
  <si>
    <t xml:space="preserve">344 x 235 x 192</t>
  </si>
  <si>
    <t xml:space="preserve">BE27600</t>
  </si>
  <si>
    <t xml:space="preserve">2606/00975</t>
  </si>
  <si>
    <t xml:space="preserve">SUMBER SARI PANGAN</t>
  </si>
  <si>
    <t xml:space="preserve">MAX ROLL KALENG ISI 6</t>
  </si>
  <si>
    <t xml:space="preserve">457 x 305 x 163</t>
  </si>
  <si>
    <t xml:space="preserve">S008-2601000-A1</t>
  </si>
  <si>
    <t xml:space="preserve">2607/00798</t>
  </si>
  <si>
    <t xml:space="preserve">SUN PAPER SOURCE, PT</t>
  </si>
  <si>
    <t xml:space="preserve">03.06.02.0152 CB SP AST 150 S WHITE RIBBON DESAIN BARU</t>
  </si>
  <si>
    <t xml:space="preserve">490 x 460 x 385</t>
  </si>
  <si>
    <t xml:space="preserve">BE27645</t>
  </si>
  <si>
    <t xml:space="preserve">2606/01038</t>
  </si>
  <si>
    <t xml:space="preserve">03.06.02.0168 CB SF MONTISS 200 S 2IN1 (SUPERBRAND)</t>
  </si>
  <si>
    <t xml:space="preserve">480 x 390 x 415</t>
  </si>
  <si>
    <t xml:space="preserve">BE28956</t>
  </si>
  <si>
    <t xml:space="preserve">2607/00470</t>
  </si>
  <si>
    <t xml:space="preserve">03.06.02.0175 CB SOFTPACK FAVOUR MOLANG 200 S R1</t>
  </si>
  <si>
    <t xml:space="preserve">580 x 405 x 370</t>
  </si>
  <si>
    <t xml:space="preserve">BE28959</t>
  </si>
  <si>
    <t xml:space="preserve">2607/00487</t>
  </si>
  <si>
    <t xml:space="preserve">03.06.02.0090 CB SOFTPACK INDO MARET 180 S</t>
  </si>
  <si>
    <t xml:space="preserve">480 x 385 x 410</t>
  </si>
  <si>
    <t xml:space="preserve">S034-2601001-A1</t>
  </si>
  <si>
    <t xml:space="preserve">2607/00768</t>
  </si>
  <si>
    <t xml:space="preserve">03.06.02.0196 CB SOFTPACK SIERRA 250 S 4IN1</t>
  </si>
  <si>
    <t xml:space="preserve">555 x 385 x 355</t>
  </si>
  <si>
    <t xml:space="preserve">BE28957</t>
  </si>
  <si>
    <t xml:space="preserve">2607/01094</t>
  </si>
  <si>
    <t xml:space="preserve">SUN POWER CERAMICS, PT</t>
  </si>
  <si>
    <t xml:space="preserve">0147 - CARTON COKLAT PORCELAIN LITE SERIES 60 X 60</t>
  </si>
  <si>
    <t xml:space="preserve">608 x 608 x 42</t>
  </si>
  <si>
    <t xml:space="preserve">BF0198-00</t>
  </si>
  <si>
    <t xml:space="preserve">2606/00810</t>
  </si>
  <si>
    <t xml:space="preserve">SURYA CITRA INTI MAKMUR, PT</t>
  </si>
  <si>
    <t xml:space="preserve">SAWDUST MERAH</t>
  </si>
  <si>
    <t xml:space="preserve">453 x 233 x 182</t>
  </si>
  <si>
    <t xml:space="preserve">S042-2600100-A1</t>
  </si>
  <si>
    <t xml:space="preserve">2606/00817</t>
  </si>
  <si>
    <t xml:space="preserve">SUYATNO</t>
  </si>
  <si>
    <t xml:space="preserve">POLOS COKLAT UK LUAR 510 X 310 X 145 MM</t>
  </si>
  <si>
    <t xml:space="preserve">507 x 307 x 140</t>
  </si>
  <si>
    <t xml:space="preserve">0025526</t>
  </si>
  <si>
    <t xml:space="preserve">2607/01290</t>
  </si>
  <si>
    <t xml:space="preserve">TAWON JAYA MAKASSAR, PT</t>
  </si>
  <si>
    <t xml:space="preserve">TAWON - CC , OB</t>
  </si>
  <si>
    <t xml:space="preserve">417 X 395 X 204</t>
  </si>
  <si>
    <t xml:space="preserve">001975</t>
  </si>
  <si>
    <t xml:space="preserve">2605/01157</t>
  </si>
  <si>
    <t xml:space="preserve">TAWON - CC, IB</t>
  </si>
  <si>
    <t xml:space="preserve">187 X 130 X 92</t>
  </si>
  <si>
    <t xml:space="preserve">T006-2600100-DC</t>
  </si>
  <si>
    <t xml:space="preserve">2605/01158</t>
  </si>
  <si>
    <t xml:space="preserve">TIRTA FRESINDO JAYA, PT</t>
  </si>
  <si>
    <t xml:space="preserve">2051502103 CRT B1 TPH 24 X 350 ML P1 BIRU</t>
  </si>
  <si>
    <t xml:space="preserve">352 x 235 x 198</t>
  </si>
  <si>
    <t xml:space="preserve">T001-2600400-A1</t>
  </si>
  <si>
    <t xml:space="preserve">2607/00420</t>
  </si>
  <si>
    <t xml:space="preserve">TIRTA MAMBRAMO, PT</t>
  </si>
  <si>
    <t xml:space="preserve">AMDK TIRMAS 220</t>
  </si>
  <si>
    <t xml:space="preserve">BE27859</t>
  </si>
  <si>
    <t xml:space="preserve">2606/01033</t>
  </si>
  <si>
    <t xml:space="preserve">TJAKRINDO MAS,PT</t>
  </si>
  <si>
    <t xml:space="preserve">PK-1632 BOX RAM END 800 X 1500 TT</t>
  </si>
  <si>
    <t xml:space="preserve">1,475 x 810 x 65</t>
  </si>
  <si>
    <t xml:space="preserve">T009-2600600-DC</t>
  </si>
  <si>
    <t xml:space="preserve">2606/00912</t>
  </si>
  <si>
    <t xml:space="preserve">PK-1631 BOX RAM DOUBLE 900 X 1500 TT</t>
  </si>
  <si>
    <t xml:space="preserve">1,495 x 910 x 65</t>
  </si>
  <si>
    <t xml:space="preserve">T009-2600400-DC</t>
  </si>
  <si>
    <t xml:space="preserve">2606/01218</t>
  </si>
  <si>
    <t xml:space="preserve">USAHA SEKAWAN FARMASI INDONESIA, PT</t>
  </si>
  <si>
    <t xml:space="preserve">DOS BEDAK SALICYL 50 GR</t>
  </si>
  <si>
    <t xml:space="preserve">322 x 239 x 131</t>
  </si>
  <si>
    <t xml:space="preserve">U005-2600100-A1</t>
  </si>
  <si>
    <t xml:space="preserve">2607/00445</t>
  </si>
  <si>
    <t xml:space="preserve">VICKY FARDIANSYAH</t>
  </si>
  <si>
    <t xml:space="preserve">NON WAX - FROZEN FISH K110</t>
  </si>
  <si>
    <t xml:space="preserve">BE27916X9</t>
  </si>
  <si>
    <t xml:space="preserve">2606/01200</t>
  </si>
  <si>
    <t xml:space="preserve">VPOL TIRTA SEJAHTERA, PT</t>
  </si>
  <si>
    <t xml:space="preserve">VPOL 220 ML</t>
  </si>
  <si>
    <t xml:space="preserve">347 x 229 x 191</t>
  </si>
  <si>
    <t xml:space="preserve">V004-2600101-A1</t>
  </si>
  <si>
    <t xml:space="preserve">2604/00635</t>
  </si>
  <si>
    <t xml:space="preserve">WILMAR NABATI INDONESIA, PT</t>
  </si>
  <si>
    <t xml:space="preserve">CARTON TULIP 1 KG X 10 BAG</t>
  </si>
  <si>
    <t xml:space="preserve">379 x 259 x 193</t>
  </si>
  <si>
    <t xml:space="preserve">W003-2600400-A1</t>
  </si>
  <si>
    <t xml:space="preserve">2607/00896</t>
  </si>
  <si>
    <t xml:space="preserve">CARTON FORTUNE POUCH 6 X 2 L</t>
  </si>
  <si>
    <t xml:space="preserve">370 x 255 x 180</t>
  </si>
  <si>
    <t xml:space="preserve">W003-2601000-DC</t>
  </si>
  <si>
    <t xml:space="preserve">2607/00949</t>
  </si>
  <si>
    <t xml:space="preserve">WISMA TIRTA WANGI, CV</t>
  </si>
  <si>
    <t xml:space="preserve">AMDK WJ 48 X 220 ML</t>
  </si>
  <si>
    <t xml:space="preserve">335 x 230 x 188</t>
  </si>
  <si>
    <t xml:space="preserve">BE28547</t>
  </si>
  <si>
    <t xml:space="preserve">2606/00624</t>
  </si>
  <si>
    <t xml:space="preserve">YOULIAN TAPE INDONESIA</t>
  </si>
  <si>
    <t xml:space="preserve">SEVEN STAR 48</t>
  </si>
  <si>
    <t xml:space="preserve">435 X 330 X 290</t>
  </si>
  <si>
    <t xml:space="preserve">BD35082-W</t>
  </si>
  <si>
    <t xml:space="preserve">2607/00401</t>
  </si>
  <si>
    <t xml:space="preserve">TOTAL</t>
  </si>
  <si>
    <t xml:space="preserve">REKAP STOK STB BJ PER NO. OP (siap import ke database)</t>
  </si>
  <si>
    <t xml:space="preserve">Satu baris = satu NO. OP (cNoSc). Baris ganda pada sheet detail sudah dijumlahkan.</t>
  </si>
  <si>
    <t xml:space="preserve">NO. OP (cNoSc)</t>
  </si>
  <si>
    <t xml:space="preserve">REKAP AGING &amp; KETERANGAN STOK (mengikuti format sheet "Aging Stock")</t>
  </si>
  <si>
    <t xml:space="preserve">PER KATEGORI UMUR (basis STOK AKHIR)</t>
  </si>
  <si>
    <t xml:space="preserve">KATEGORI</t>
  </si>
  <si>
    <t xml:space="preserve">QTY (PCS)</t>
  </si>
  <si>
    <t xml:space="preserve">QTY (KG)</t>
  </si>
  <si>
    <t xml:space="preserve">JML ITEM</t>
  </si>
  <si>
    <t xml:space="preserve">&lt;= 5 HARI</t>
  </si>
  <si>
    <t xml:space="preserve">&lt;= 7 HARI</t>
  </si>
  <si>
    <t xml:space="preserve">&lt;= 14 HARI</t>
  </si>
  <si>
    <t xml:space="preserve">&gt; 14 HARI</t>
  </si>
  <si>
    <t xml:space="preserve">&lt;=150pc &amp; &lt;=10kg</t>
  </si>
  <si>
    <t xml:space="preserve">TANPA TGL</t>
  </si>
  <si>
    <t xml:space="preserve">PER KETERANGAN (basis STOK AKHIR)</t>
  </si>
  <si>
    <t xml:space="preserve">TUNGGU CONTAINER</t>
  </si>
  <si>
    <t xml:space="preserve">REVISI</t>
  </si>
  <si>
    <t xml:space="preserve">TANPA KETERANGAN</t>
  </si>
  <si>
    <t xml:space="preserve">CATATAN &amp; ASUMSI</t>
  </si>
  <si>
    <t xml:space="preserve">Sumber data</t>
  </si>
  <si>
    <t xml:space="preserve">BOX_AGUSTUS.xlsx, sheet "BOX" (DAILY STOCK BOX), baris 7 s/d 5122</t>
  </si>
  <si>
    <t xml:space="preserve">STOK AWAL</t>
  </si>
  <si>
    <t xml:space="preserve">Kolom Q/R "SALDO AWAL" = posisi stok gudang per 01 Agustus 2026</t>
  </si>
  <si>
    <t xml:space="preserve">STOK AKHIR</t>
  </si>
  <si>
    <t xml:space="preserve">Kolom EM/EN "SALDO AKHIR" = SALDO AWAL + STB harian - DLV harian (terisi s/d 03 Agu 2026)</t>
  </si>
  <si>
    <t xml:space="preserve">Validasi 1</t>
  </si>
  <si>
    <t xml:space="preserve">Total STOK AWAL = 758.966 pc / 240.491,44 kg — sama dengan baris total sheet BOX</t>
  </si>
  <si>
    <t xml:space="preserve">Validasi 2</t>
  </si>
  <si>
    <t xml:space="preserve">Total STOK AKHIR = 776.500 pc / 238.658,73 kg — sama dengan sheet "Aging Stock" (update 03 Agu 2026)</t>
  </si>
  <si>
    <t xml:space="preserve">Filter baris</t>
  </si>
  <si>
    <t xml:space="preserve">Hanya baris yang punya CUSTOMER dan stok awal atau stok akhir &lt;&gt; 0 (297 baris)</t>
  </si>
  <si>
    <t xml:space="preserve">Diambil dari kolom M (NO. OP aktif); bila kosong dipakai kolom J (NO. OP LAMA). Ini yang dipetakan ke cNoSc di database</t>
  </si>
  <si>
    <t xml:space="preserve">Baris ganda</t>
  </si>
  <si>
    <t xml:space="preserve">Beberapa NO. OP muncul &gt;1 baris di sheet detail (beda lokasi/batch). Sudah dijumlahkan di sheet REKAP PER OP</t>
  </si>
  <si>
    <t xml:space="preserve">Untuk import DB</t>
  </si>
  <si>
    <t xml:space="preserve">Pakai sheet REKAP PER OP. Kolom kunci: NO. OP (cNoSc) + STOK AWAL (PC) atau STOK AKHIR (PC)</t>
  </si>
  <si>
    <t xml:space="preserve">Mana yang dipakai?</t>
  </si>
  <si>
    <t xml:space="preserve">STOK AWAL bila transaksi STB/DLV Agustus tetap dijalankan dari database. STOK AKHIR bila database di-reset per 03 Agu 2026</t>
  </si>
  <si>
    <t xml:space="preserve">WAJIB</t>
  </si>
  <si>
    <t xml:space="preserve">Backup tabel stok di database sebelum replace — lihat file import_stok_stb_bj.sql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</si>
</sst>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000"/>
    <numFmt numFmtId="167" formatCode="#,##0;\(#,##0\);\-"/>
    <numFmt numFmtId="168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3" min="11" style="0" width="14"/>
    <col collapsed="false" customWidth="true" hidden="false" outlineLevel="0" max="14" min="14" style="0" width="11"/>
    <col collapsed="false" customWidth="true" hidden="false" outlineLevel="0" max="15" min="15" style="0" width="17"/>
    <col collapsed="false" customWidth="true" hidden="false" outlineLevel="0" max="16" min="16" style="0" width="16"/>
    <col collapsed="false" customWidth="true" hidden="false" outlineLevel="0" max="18" min="1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46237</v>
      </c>
    </row>
    <row r="4" customFormat="false" ht="15" hidden="false" customHeight="false" outlineLevel="0" collapsed="false">
      <c r="A4" s="3" t="s">
        <v>3</v>
      </c>
      <c r="C4" s="5" t="n">
        <v>150</v>
      </c>
      <c r="D4" s="6" t="s">
        <v>4</v>
      </c>
      <c r="E4" s="5" t="n">
        <v>10</v>
      </c>
      <c r="F4" s="6" t="s">
        <v>5</v>
      </c>
      <c r="G4" s="7" t="s">
        <v>6</v>
      </c>
    </row>
    <row r="5" customFormat="false" ht="35.05" hidden="false" customHeight="false" outlineLevel="0" collapsed="false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</row>
    <row r="6" customFormat="false" ht="15" hidden="false" customHeight="false" outlineLevel="0" collapsed="false">
      <c r="A6" s="9" t="n">
        <v>1</v>
      </c>
      <c r="B6" s="9" t="s">
        <v>25</v>
      </c>
      <c r="C6" s="9" t="s">
        <v>26</v>
      </c>
      <c r="D6" s="9" t="s">
        <v>27</v>
      </c>
      <c r="E6" s="10" t="n">
        <v>0.39265</v>
      </c>
      <c r="F6" s="9" t="s">
        <v>28</v>
      </c>
      <c r="G6" s="9" t="s">
        <v>29</v>
      </c>
      <c r="H6" s="11" t="n">
        <v>46235</v>
      </c>
      <c r="I6" s="12" t="n">
        <v>10000</v>
      </c>
      <c r="J6" s="12" t="n">
        <v>0</v>
      </c>
      <c r="K6" s="13" t="n">
        <v>0</v>
      </c>
      <c r="L6" s="12" t="n">
        <v>9500</v>
      </c>
      <c r="M6" s="13" t="n">
        <v>3730.175</v>
      </c>
      <c r="N6" s="12" t="n">
        <f aca="false">IF(H6="","",$C$3-H6)</f>
        <v>2</v>
      </c>
      <c r="O6" s="9" t="str">
        <f aca="false">IF(AND(L6&lt;=$C$4,M6&lt;=$E$4),"&lt;=150pc &amp; &lt;=10kg",IF(N6="","TANPA TGL",IF(N6&lt;=5,"&lt;= 5 HARI",IF(N6&lt;=7,"&lt;= 7 HARI",IF(N6&lt;=14,"&lt;= 14 HARI","&gt; 14 HARI")))))</f>
        <v>&lt;= 5 HARI</v>
      </c>
      <c r="P6" s="9"/>
      <c r="Q6" s="9" t="s">
        <v>30</v>
      </c>
      <c r="R6" s="9" t="s">
        <v>31</v>
      </c>
    </row>
    <row r="7" customFormat="false" ht="15" hidden="false" customHeight="false" outlineLevel="0" collapsed="false">
      <c r="A7" s="9" t="n">
        <v>2</v>
      </c>
      <c r="B7" s="9" t="s">
        <v>32</v>
      </c>
      <c r="C7" s="9" t="s">
        <v>33</v>
      </c>
      <c r="D7" s="9" t="s">
        <v>34</v>
      </c>
      <c r="E7" s="10" t="n">
        <v>0.21637</v>
      </c>
      <c r="F7" s="9" t="s">
        <v>35</v>
      </c>
      <c r="G7" s="9" t="s">
        <v>36</v>
      </c>
      <c r="H7" s="11" t="n">
        <v>46232</v>
      </c>
      <c r="I7" s="12" t="n">
        <v>80000</v>
      </c>
      <c r="J7" s="12" t="n">
        <v>1180</v>
      </c>
      <c r="K7" s="13" t="n">
        <v>255.3166</v>
      </c>
      <c r="L7" s="12" t="n">
        <v>1180</v>
      </c>
      <c r="M7" s="13" t="n">
        <v>255.3166</v>
      </c>
      <c r="N7" s="12" t="n">
        <f aca="false">IF(H7="","",$C$3-H7)</f>
        <v>5</v>
      </c>
      <c r="O7" s="9" t="str">
        <f aca="false">IF(AND(L7&lt;=$C$4,M7&lt;=$E$4),"&lt;=150pc &amp; &lt;=10kg",IF(N7="","TANPA TGL",IF(N7&lt;=5,"&lt;= 5 HARI",IF(N7&lt;=7,"&lt;= 7 HARI",IF(N7&lt;=14,"&lt;= 14 HARI","&gt; 14 HARI")))))</f>
        <v>&lt;= 5 HARI</v>
      </c>
      <c r="P7" s="9"/>
      <c r="Q7" s="9" t="s">
        <v>37</v>
      </c>
      <c r="R7" s="9" t="s">
        <v>38</v>
      </c>
    </row>
    <row r="8" customFormat="false" ht="15" hidden="false" customHeight="false" outlineLevel="0" collapsed="false">
      <c r="A8" s="9" t="n">
        <v>3</v>
      </c>
      <c r="B8" s="9" t="s">
        <v>39</v>
      </c>
      <c r="C8" s="9" t="s">
        <v>40</v>
      </c>
      <c r="D8" s="9" t="s">
        <v>41</v>
      </c>
      <c r="E8" s="10" t="n">
        <v>0.28119</v>
      </c>
      <c r="F8" s="9" t="s">
        <v>42</v>
      </c>
      <c r="G8" s="9" t="s">
        <v>43</v>
      </c>
      <c r="H8" s="11" t="n">
        <v>46233</v>
      </c>
      <c r="I8" s="12" t="n">
        <v>392000</v>
      </c>
      <c r="J8" s="12" t="n">
        <v>1010</v>
      </c>
      <c r="K8" s="13" t="n">
        <v>284.0019</v>
      </c>
      <c r="L8" s="12" t="n">
        <v>1010</v>
      </c>
      <c r="M8" s="13" t="n">
        <v>284.0019</v>
      </c>
      <c r="N8" s="12" t="n">
        <f aca="false">IF(H8="","",$C$3-H8)</f>
        <v>4</v>
      </c>
      <c r="O8" s="9" t="str">
        <f aca="false">IF(AND(L8&lt;=$C$4,M8&lt;=$E$4),"&lt;=150pc &amp; &lt;=10kg",IF(N8="","TANPA TGL",IF(N8&lt;=5,"&lt;= 5 HARI",IF(N8&lt;=7,"&lt;= 7 HARI",IF(N8&lt;=14,"&lt;= 14 HARI","&gt; 14 HARI")))))</f>
        <v>&lt;= 5 HARI</v>
      </c>
      <c r="P8" s="9"/>
      <c r="Q8" s="9" t="s">
        <v>44</v>
      </c>
      <c r="R8" s="9" t="s">
        <v>45</v>
      </c>
    </row>
    <row r="9" customFormat="false" ht="15" hidden="false" customHeight="false" outlineLevel="0" collapsed="false">
      <c r="A9" s="9" t="n">
        <v>4</v>
      </c>
      <c r="B9" s="9" t="s">
        <v>46</v>
      </c>
      <c r="C9" s="9" t="s">
        <v>47</v>
      </c>
      <c r="D9" s="9" t="s">
        <v>48</v>
      </c>
      <c r="E9" s="10" t="n">
        <v>0.22995</v>
      </c>
      <c r="F9" s="9" t="s">
        <v>49</v>
      </c>
      <c r="G9" s="9" t="s">
        <v>50</v>
      </c>
      <c r="H9" s="11" t="n">
        <v>46221</v>
      </c>
      <c r="I9" s="12" t="n">
        <v>384000</v>
      </c>
      <c r="J9" s="12" t="n">
        <v>4260</v>
      </c>
      <c r="K9" s="13" t="n">
        <v>979.587</v>
      </c>
      <c r="L9" s="12" t="n">
        <v>4260</v>
      </c>
      <c r="M9" s="13" t="n">
        <v>979.587</v>
      </c>
      <c r="N9" s="12" t="n">
        <f aca="false">IF(H9="","",$C$3-H9)</f>
        <v>16</v>
      </c>
      <c r="O9" s="9" t="str">
        <f aca="false">IF(AND(L9&lt;=$C$4,M9&lt;=$E$4),"&lt;=150pc &amp; &lt;=10kg",IF(N9="","TANPA TGL",IF(N9&lt;=5,"&lt;= 5 HARI",IF(N9&lt;=7,"&lt;= 7 HARI",IF(N9&lt;=14,"&lt;= 14 HARI","&gt; 14 HARI")))))</f>
        <v>&gt; 14 HARI</v>
      </c>
      <c r="P9" s="9" t="s">
        <v>51</v>
      </c>
      <c r="Q9" s="9" t="s">
        <v>30</v>
      </c>
      <c r="R9" s="9" t="s">
        <v>31</v>
      </c>
    </row>
    <row r="10" customFormat="false" ht="15" hidden="false" customHeight="false" outlineLevel="0" collapsed="false">
      <c r="A10" s="9" t="n">
        <v>5</v>
      </c>
      <c r="B10" s="9" t="s">
        <v>52</v>
      </c>
      <c r="C10" s="9" t="s">
        <v>53</v>
      </c>
      <c r="D10" s="9" t="s">
        <v>54</v>
      </c>
      <c r="E10" s="10" t="n">
        <v>0.29467</v>
      </c>
      <c r="F10" s="9" t="s">
        <v>55</v>
      </c>
      <c r="G10" s="9" t="s">
        <v>56</v>
      </c>
      <c r="H10" s="11" t="n">
        <v>46231</v>
      </c>
      <c r="I10" s="12" t="n">
        <v>3000</v>
      </c>
      <c r="J10" s="12" t="n">
        <v>3100</v>
      </c>
      <c r="K10" s="13" t="n">
        <v>913.477</v>
      </c>
      <c r="L10" s="12" t="n">
        <v>3100</v>
      </c>
      <c r="M10" s="13" t="n">
        <v>913.477</v>
      </c>
      <c r="N10" s="12" t="n">
        <f aca="false">IF(H10="","",$C$3-H10)</f>
        <v>6</v>
      </c>
      <c r="O10" s="9" t="str">
        <f aca="false">IF(AND(L10&lt;=$C$4,M10&lt;=$E$4),"&lt;=150pc &amp; &lt;=10kg",IF(N10="","TANPA TGL",IF(N10&lt;=5,"&lt;= 5 HARI",IF(N10&lt;=7,"&lt;= 7 HARI",IF(N10&lt;=14,"&lt;= 14 HARI","&gt; 14 HARI")))))</f>
        <v>&lt;= 7 HARI</v>
      </c>
      <c r="P10" s="9"/>
      <c r="Q10" s="9" t="s">
        <v>57</v>
      </c>
      <c r="R10" s="9" t="s">
        <v>58</v>
      </c>
    </row>
    <row r="11" customFormat="false" ht="15" hidden="false" customHeight="false" outlineLevel="0" collapsed="false">
      <c r="A11" s="9" t="n">
        <v>6</v>
      </c>
      <c r="B11" s="9" t="s">
        <v>59</v>
      </c>
      <c r="C11" s="9" t="s">
        <v>60</v>
      </c>
      <c r="D11" s="9" t="s">
        <v>61</v>
      </c>
      <c r="E11" s="10" t="n">
        <v>0.77205</v>
      </c>
      <c r="F11" s="9" t="s">
        <v>62</v>
      </c>
      <c r="G11" s="9" t="s">
        <v>63</v>
      </c>
      <c r="H11" s="11" t="n">
        <v>46235</v>
      </c>
      <c r="I11" s="12" t="n">
        <v>3000</v>
      </c>
      <c r="J11" s="12" t="n">
        <v>1100</v>
      </c>
      <c r="K11" s="13" t="n">
        <v>849.255</v>
      </c>
      <c r="L11" s="12" t="n">
        <v>3140</v>
      </c>
      <c r="M11" s="13" t="n">
        <v>2424.237</v>
      </c>
      <c r="N11" s="12" t="n">
        <f aca="false">IF(H11="","",$C$3-H11)</f>
        <v>2</v>
      </c>
      <c r="O11" s="9" t="str">
        <f aca="false">IF(AND(L11&lt;=$C$4,M11&lt;=$E$4),"&lt;=150pc &amp; &lt;=10kg",IF(N11="","TANPA TGL",IF(N11&lt;=5,"&lt;= 5 HARI",IF(N11&lt;=7,"&lt;= 7 HARI",IF(N11&lt;=14,"&lt;= 14 HARI","&gt; 14 HARI")))))</f>
        <v>&lt;= 5 HARI</v>
      </c>
      <c r="P11" s="9" t="s">
        <v>64</v>
      </c>
      <c r="Q11" s="9" t="s">
        <v>65</v>
      </c>
      <c r="R11" s="9" t="s">
        <v>66</v>
      </c>
    </row>
    <row r="12" customFormat="false" ht="15" hidden="false" customHeight="false" outlineLevel="0" collapsed="false">
      <c r="A12" s="9" t="n">
        <v>7</v>
      </c>
      <c r="B12" s="9" t="s">
        <v>67</v>
      </c>
      <c r="C12" s="9" t="s">
        <v>68</v>
      </c>
      <c r="D12" s="9" t="s">
        <v>69</v>
      </c>
      <c r="E12" s="10" t="n">
        <v>0.19195</v>
      </c>
      <c r="F12" s="9" t="s">
        <v>70</v>
      </c>
      <c r="G12" s="9" t="s">
        <v>71</v>
      </c>
      <c r="H12" s="11" t="n">
        <v>46227</v>
      </c>
      <c r="I12" s="12" t="n">
        <v>80000</v>
      </c>
      <c r="J12" s="12" t="n">
        <v>3660</v>
      </c>
      <c r="K12" s="13" t="n">
        <v>702.537</v>
      </c>
      <c r="L12" s="12" t="n">
        <v>3660</v>
      </c>
      <c r="M12" s="13" t="n">
        <v>702.537</v>
      </c>
      <c r="N12" s="12" t="n">
        <f aca="false">IF(H12="","",$C$3-H12)</f>
        <v>10</v>
      </c>
      <c r="O12" s="9" t="str">
        <f aca="false">IF(AND(L12&lt;=$C$4,M12&lt;=$E$4),"&lt;=150pc &amp; &lt;=10kg",IF(N12="","TANPA TGL",IF(N12&lt;=5,"&lt;= 5 HARI",IF(N12&lt;=7,"&lt;= 7 HARI",IF(N12&lt;=14,"&lt;= 14 HARI","&gt; 14 HARI")))))</f>
        <v>&lt;= 14 HARI</v>
      </c>
      <c r="P12" s="9" t="s">
        <v>51</v>
      </c>
      <c r="Q12" s="9" t="s">
        <v>37</v>
      </c>
      <c r="R12" s="9" t="s">
        <v>38</v>
      </c>
    </row>
    <row r="13" customFormat="false" ht="15" hidden="false" customHeight="false" outlineLevel="0" collapsed="false">
      <c r="A13" s="9" t="n">
        <v>8</v>
      </c>
      <c r="B13" s="9" t="s">
        <v>72</v>
      </c>
      <c r="C13" s="9" t="s">
        <v>73</v>
      </c>
      <c r="D13" s="9" t="s">
        <v>74</v>
      </c>
      <c r="E13" s="10" t="n">
        <v>0.30666</v>
      </c>
      <c r="F13" s="9" t="s">
        <v>75</v>
      </c>
      <c r="G13" s="9" t="s">
        <v>76</v>
      </c>
      <c r="H13" s="11" t="n">
        <v>46221</v>
      </c>
      <c r="I13" s="12" t="n">
        <v>2000</v>
      </c>
      <c r="J13" s="12" t="n">
        <v>200</v>
      </c>
      <c r="K13" s="13" t="n">
        <v>61.332</v>
      </c>
      <c r="L13" s="12" t="n">
        <v>200</v>
      </c>
      <c r="M13" s="13" t="n">
        <v>61.332</v>
      </c>
      <c r="N13" s="12" t="n">
        <f aca="false">IF(H13="","",$C$3-H13)</f>
        <v>16</v>
      </c>
      <c r="O13" s="9" t="str">
        <f aca="false">IF(AND(L13&lt;=$C$4,M13&lt;=$E$4),"&lt;=150pc &amp; &lt;=10kg",IF(N13="","TANPA TGL",IF(N13&lt;=5,"&lt;= 5 HARI",IF(N13&lt;=7,"&lt;= 7 HARI",IF(N13&lt;=14,"&lt;= 14 HARI","&gt; 14 HARI")))))</f>
        <v>&gt; 14 HARI</v>
      </c>
      <c r="P13" s="9" t="s">
        <v>77</v>
      </c>
      <c r="Q13" s="9" t="s">
        <v>65</v>
      </c>
      <c r="R13" s="9" t="s">
        <v>78</v>
      </c>
    </row>
    <row r="14" customFormat="false" ht="15" hidden="false" customHeight="false" outlineLevel="0" collapsed="false">
      <c r="A14" s="9" t="n">
        <v>9</v>
      </c>
      <c r="B14" s="9" t="s">
        <v>72</v>
      </c>
      <c r="C14" s="9" t="s">
        <v>79</v>
      </c>
      <c r="D14" s="9" t="s">
        <v>80</v>
      </c>
      <c r="E14" s="10" t="n">
        <v>0.43022</v>
      </c>
      <c r="F14" s="9" t="s">
        <v>81</v>
      </c>
      <c r="G14" s="9" t="s">
        <v>82</v>
      </c>
      <c r="H14" s="11" t="n">
        <v>46235</v>
      </c>
      <c r="I14" s="12" t="n">
        <v>1500</v>
      </c>
      <c r="J14" s="12" t="n">
        <v>1420</v>
      </c>
      <c r="K14" s="13" t="n">
        <v>610.9124</v>
      </c>
      <c r="L14" s="12" t="n">
        <v>0</v>
      </c>
      <c r="M14" s="13" t="n">
        <v>0</v>
      </c>
      <c r="N14" s="12" t="n">
        <f aca="false">IF(H14="","",$C$3-H14)</f>
        <v>2</v>
      </c>
      <c r="O14" s="9" t="str">
        <f aca="false">IF(AND(L14&lt;=$C$4,M14&lt;=$E$4),"&lt;=150pc &amp; &lt;=10kg",IF(N14="","TANPA TGL",IF(N14&lt;=5,"&lt;= 5 HARI",IF(N14&lt;=7,"&lt;= 7 HARI",IF(N14&lt;=14,"&lt;= 14 HARI","&gt; 14 HARI")))))</f>
        <v>&lt;=150pc &amp; &lt;=10kg</v>
      </c>
      <c r="P14" s="9"/>
      <c r="Q14" s="9" t="s">
        <v>65</v>
      </c>
      <c r="R14" s="9" t="s">
        <v>78</v>
      </c>
    </row>
    <row r="15" customFormat="false" ht="15" hidden="false" customHeight="false" outlineLevel="0" collapsed="false">
      <c r="A15" s="9" t="n">
        <v>10</v>
      </c>
      <c r="B15" s="9" t="s">
        <v>83</v>
      </c>
      <c r="C15" s="9" t="s">
        <v>84</v>
      </c>
      <c r="D15" s="9" t="s">
        <v>85</v>
      </c>
      <c r="E15" s="10" t="n">
        <v>0.39702</v>
      </c>
      <c r="F15" s="9" t="s">
        <v>86</v>
      </c>
      <c r="G15" s="9" t="s">
        <v>87</v>
      </c>
      <c r="H15" s="11" t="n">
        <v>46227</v>
      </c>
      <c r="I15" s="12" t="n">
        <v>3200</v>
      </c>
      <c r="J15" s="12" t="n">
        <v>3700</v>
      </c>
      <c r="K15" s="13" t="n">
        <v>1468.974</v>
      </c>
      <c r="L15" s="12" t="n">
        <v>3700</v>
      </c>
      <c r="M15" s="13" t="n">
        <v>1468.974</v>
      </c>
      <c r="N15" s="12" t="n">
        <f aca="false">IF(H15="","",$C$3-H15)</f>
        <v>10</v>
      </c>
      <c r="O15" s="9" t="str">
        <f aca="false">IF(AND(L15&lt;=$C$4,M15&lt;=$E$4),"&lt;=150pc &amp; &lt;=10kg",IF(N15="","TANPA TGL",IF(N15&lt;=5,"&lt;= 5 HARI",IF(N15&lt;=7,"&lt;= 7 HARI",IF(N15&lt;=14,"&lt;= 14 HARI","&gt; 14 HARI")))))</f>
        <v>&lt;= 14 HARI</v>
      </c>
      <c r="P15" s="9" t="s">
        <v>64</v>
      </c>
      <c r="Q15" s="9" t="s">
        <v>57</v>
      </c>
      <c r="R15" s="9" t="s">
        <v>45</v>
      </c>
    </row>
    <row r="16" customFormat="false" ht="15" hidden="false" customHeight="false" outlineLevel="0" collapsed="false">
      <c r="A16" s="9" t="n">
        <v>11</v>
      </c>
      <c r="B16" s="9" t="s">
        <v>83</v>
      </c>
      <c r="C16" s="9" t="s">
        <v>88</v>
      </c>
      <c r="D16" s="9" t="s">
        <v>89</v>
      </c>
      <c r="E16" s="10" t="n">
        <v>0.71705</v>
      </c>
      <c r="F16" s="9" t="s">
        <v>90</v>
      </c>
      <c r="G16" s="9" t="s">
        <v>91</v>
      </c>
      <c r="H16" s="11" t="n">
        <v>46232</v>
      </c>
      <c r="I16" s="12" t="n">
        <v>2200</v>
      </c>
      <c r="J16" s="12" t="n">
        <v>2200</v>
      </c>
      <c r="K16" s="13" t="n">
        <v>1577.51</v>
      </c>
      <c r="L16" s="12" t="n">
        <v>2200</v>
      </c>
      <c r="M16" s="13" t="n">
        <v>1577.51</v>
      </c>
      <c r="N16" s="12" t="n">
        <f aca="false">IF(H16="","",$C$3-H16)</f>
        <v>5</v>
      </c>
      <c r="O16" s="9" t="str">
        <f aca="false">IF(AND(L16&lt;=$C$4,M16&lt;=$E$4),"&lt;=150pc &amp; &lt;=10kg",IF(N16="","TANPA TGL",IF(N16&lt;=5,"&lt;= 5 HARI",IF(N16&lt;=7,"&lt;= 7 HARI",IF(N16&lt;=14,"&lt;= 14 HARI","&gt; 14 HARI")))))</f>
        <v>&lt;= 5 HARI</v>
      </c>
      <c r="P16" s="9"/>
      <c r="Q16" s="9" t="s">
        <v>57</v>
      </c>
      <c r="R16" s="9" t="s">
        <v>45</v>
      </c>
    </row>
    <row r="17" customFormat="false" ht="15" hidden="false" customHeight="false" outlineLevel="0" collapsed="false">
      <c r="A17" s="9" t="n">
        <v>12</v>
      </c>
      <c r="B17" s="9" t="s">
        <v>83</v>
      </c>
      <c r="C17" s="9" t="s">
        <v>92</v>
      </c>
      <c r="D17" s="9" t="s">
        <v>85</v>
      </c>
      <c r="E17" s="10" t="n">
        <v>0.28209</v>
      </c>
      <c r="F17" s="9" t="s">
        <v>93</v>
      </c>
      <c r="G17" s="9" t="s">
        <v>94</v>
      </c>
      <c r="H17" s="11" t="n">
        <v>46235</v>
      </c>
      <c r="I17" s="12" t="n">
        <v>14500</v>
      </c>
      <c r="J17" s="12" t="n">
        <v>11200</v>
      </c>
      <c r="K17" s="13" t="n">
        <v>3159.408</v>
      </c>
      <c r="L17" s="12" t="n">
        <v>14500</v>
      </c>
      <c r="M17" s="13" t="n">
        <v>4090.305</v>
      </c>
      <c r="N17" s="12" t="n">
        <f aca="false">IF(H17="","",$C$3-H17)</f>
        <v>2</v>
      </c>
      <c r="O17" s="9" t="str">
        <f aca="false">IF(AND(L17&lt;=$C$4,M17&lt;=$E$4),"&lt;=150pc &amp; &lt;=10kg",IF(N17="","TANPA TGL",IF(N17&lt;=5,"&lt;= 5 HARI",IF(N17&lt;=7,"&lt;= 7 HARI",IF(N17&lt;=14,"&lt;= 14 HARI","&gt; 14 HARI")))))</f>
        <v>&lt;= 5 HARI</v>
      </c>
      <c r="P17" s="9"/>
      <c r="Q17" s="9" t="s">
        <v>57</v>
      </c>
      <c r="R17" s="9" t="s">
        <v>45</v>
      </c>
    </row>
    <row r="18" customFormat="false" ht="15" hidden="false" customHeight="false" outlineLevel="0" collapsed="false">
      <c r="A18" s="9" t="n">
        <v>13</v>
      </c>
      <c r="B18" s="9" t="s">
        <v>95</v>
      </c>
      <c r="C18" s="9" t="s">
        <v>96</v>
      </c>
      <c r="D18" s="9" t="s">
        <v>97</v>
      </c>
      <c r="E18" s="10" t="n">
        <v>0.31511</v>
      </c>
      <c r="F18" s="9" t="s">
        <v>98</v>
      </c>
      <c r="G18" s="9" t="s">
        <v>99</v>
      </c>
      <c r="H18" s="11" t="n">
        <v>46233</v>
      </c>
      <c r="I18" s="12" t="n">
        <v>3500</v>
      </c>
      <c r="J18" s="12" t="n">
        <v>3500</v>
      </c>
      <c r="K18" s="13" t="n">
        <v>1102.885</v>
      </c>
      <c r="L18" s="12" t="n">
        <v>3500</v>
      </c>
      <c r="M18" s="13" t="n">
        <v>1102.885</v>
      </c>
      <c r="N18" s="12" t="n">
        <f aca="false">IF(H18="","",$C$3-H18)</f>
        <v>4</v>
      </c>
      <c r="O18" s="9" t="str">
        <f aca="false">IF(AND(L18&lt;=$C$4,M18&lt;=$E$4),"&lt;=150pc &amp; &lt;=10kg",IF(N18="","TANPA TGL",IF(N18&lt;=5,"&lt;= 5 HARI",IF(N18&lt;=7,"&lt;= 7 HARI",IF(N18&lt;=14,"&lt;= 14 HARI","&gt; 14 HARI")))))</f>
        <v>&lt;= 5 HARI</v>
      </c>
      <c r="P18" s="9"/>
      <c r="Q18" s="9" t="s">
        <v>100</v>
      </c>
      <c r="R18" s="9" t="s">
        <v>101</v>
      </c>
    </row>
    <row r="19" customFormat="false" ht="15" hidden="false" customHeight="false" outlineLevel="0" collapsed="false">
      <c r="A19" s="9" t="n">
        <v>14</v>
      </c>
      <c r="B19" s="9" t="s">
        <v>102</v>
      </c>
      <c r="C19" s="9" t="s">
        <v>103</v>
      </c>
      <c r="D19" s="9" t="s">
        <v>104</v>
      </c>
      <c r="E19" s="10" t="n">
        <v>0.48833</v>
      </c>
      <c r="F19" s="9" t="s">
        <v>105</v>
      </c>
      <c r="G19" s="9" t="s">
        <v>106</v>
      </c>
      <c r="H19" s="11" t="n">
        <v>46194</v>
      </c>
      <c r="I19" s="12" t="n">
        <v>3482</v>
      </c>
      <c r="J19" s="12" t="n">
        <v>390</v>
      </c>
      <c r="K19" s="13" t="n">
        <v>190.4487</v>
      </c>
      <c r="L19" s="12" t="n">
        <v>390</v>
      </c>
      <c r="M19" s="13" t="n">
        <v>190.4487</v>
      </c>
      <c r="N19" s="12" t="n">
        <f aca="false">IF(H19="","",$C$3-H19)</f>
        <v>43</v>
      </c>
      <c r="O19" s="9" t="str">
        <f aca="false">IF(AND(L19&lt;=$C$4,M19&lt;=$E$4),"&lt;=150pc &amp; &lt;=10kg",IF(N19="","TANPA TGL",IF(N19&lt;=5,"&lt;= 5 HARI",IF(N19&lt;=7,"&lt;= 7 HARI",IF(N19&lt;=14,"&lt;= 14 HARI","&gt; 14 HARI")))))</f>
        <v>&gt; 14 HARI</v>
      </c>
      <c r="P19" s="9" t="s">
        <v>64</v>
      </c>
      <c r="Q19" s="9" t="s">
        <v>107</v>
      </c>
      <c r="R19" s="9" t="s">
        <v>108</v>
      </c>
    </row>
    <row r="20" customFormat="false" ht="15" hidden="false" customHeight="false" outlineLevel="0" collapsed="false">
      <c r="A20" s="9" t="n">
        <v>15</v>
      </c>
      <c r="B20" s="9" t="s">
        <v>102</v>
      </c>
      <c r="C20" s="9" t="s">
        <v>109</v>
      </c>
      <c r="D20" s="9" t="s">
        <v>110</v>
      </c>
      <c r="E20" s="10" t="n">
        <v>0.59983</v>
      </c>
      <c r="F20" s="9" t="s">
        <v>111</v>
      </c>
      <c r="G20" s="9" t="s">
        <v>112</v>
      </c>
      <c r="H20" s="11" t="n">
        <v>46231</v>
      </c>
      <c r="I20" s="12" t="n">
        <v>15417</v>
      </c>
      <c r="J20" s="12" t="n">
        <v>1426</v>
      </c>
      <c r="K20" s="13" t="n">
        <v>855.35758</v>
      </c>
      <c r="L20" s="12" t="n">
        <v>1426</v>
      </c>
      <c r="M20" s="13" t="n">
        <v>855.35758</v>
      </c>
      <c r="N20" s="12" t="n">
        <f aca="false">IF(H20="","",$C$3-H20)</f>
        <v>6</v>
      </c>
      <c r="O20" s="9" t="str">
        <f aca="false">IF(AND(L20&lt;=$C$4,M20&lt;=$E$4),"&lt;=150pc &amp; &lt;=10kg",IF(N20="","TANPA TGL",IF(N20&lt;=5,"&lt;= 5 HARI",IF(N20&lt;=7,"&lt;= 7 HARI",IF(N20&lt;=14,"&lt;= 14 HARI","&gt; 14 HARI")))))</f>
        <v>&lt;= 7 HARI</v>
      </c>
      <c r="P20" s="9" t="s">
        <v>64</v>
      </c>
      <c r="Q20" s="9" t="s">
        <v>107</v>
      </c>
      <c r="R20" s="9" t="s">
        <v>108</v>
      </c>
    </row>
    <row r="21" customFormat="false" ht="15" hidden="false" customHeight="false" outlineLevel="0" collapsed="false">
      <c r="A21" s="9" t="n">
        <v>16</v>
      </c>
      <c r="B21" s="9" t="s">
        <v>102</v>
      </c>
      <c r="C21" s="9" t="s">
        <v>113</v>
      </c>
      <c r="D21" s="9" t="s">
        <v>114</v>
      </c>
      <c r="E21" s="10" t="n">
        <v>0.19873</v>
      </c>
      <c r="F21" s="9" t="s">
        <v>115</v>
      </c>
      <c r="G21" s="9" t="s">
        <v>116</v>
      </c>
      <c r="H21" s="11" t="n">
        <v>46231</v>
      </c>
      <c r="I21" s="12" t="n">
        <v>43353</v>
      </c>
      <c r="J21" s="12" t="n">
        <v>435</v>
      </c>
      <c r="K21" s="13" t="n">
        <v>86.44755</v>
      </c>
      <c r="L21" s="12" t="n">
        <v>435</v>
      </c>
      <c r="M21" s="13" t="n">
        <v>86.44755</v>
      </c>
      <c r="N21" s="12" t="n">
        <f aca="false">IF(H21="","",$C$3-H21)</f>
        <v>6</v>
      </c>
      <c r="O21" s="9" t="str">
        <f aca="false">IF(AND(L21&lt;=$C$4,M21&lt;=$E$4),"&lt;=150pc &amp; &lt;=10kg",IF(N21="","TANPA TGL",IF(N21&lt;=5,"&lt;= 5 HARI",IF(N21&lt;=7,"&lt;= 7 HARI",IF(N21&lt;=14,"&lt;= 14 HARI","&gt; 14 HARI")))))</f>
        <v>&lt;= 7 HARI</v>
      </c>
      <c r="P21" s="9" t="s">
        <v>64</v>
      </c>
      <c r="Q21" s="9" t="s">
        <v>107</v>
      </c>
      <c r="R21" s="9" t="s">
        <v>108</v>
      </c>
    </row>
    <row r="22" customFormat="false" ht="15" hidden="false" customHeight="false" outlineLevel="0" collapsed="false">
      <c r="A22" s="9" t="n">
        <v>17</v>
      </c>
      <c r="B22" s="9" t="s">
        <v>117</v>
      </c>
      <c r="C22" s="9" t="s">
        <v>118</v>
      </c>
      <c r="D22" s="9" t="s">
        <v>119</v>
      </c>
      <c r="E22" s="10" t="n">
        <v>0.40519</v>
      </c>
      <c r="F22" s="9" t="s">
        <v>120</v>
      </c>
      <c r="G22" s="9" t="s">
        <v>121</v>
      </c>
      <c r="H22" s="11" t="n">
        <v>46223</v>
      </c>
      <c r="I22" s="12" t="n">
        <v>10000</v>
      </c>
      <c r="J22" s="12" t="n">
        <v>5140</v>
      </c>
      <c r="K22" s="13" t="n">
        <v>2082.6766</v>
      </c>
      <c r="L22" s="12" t="n">
        <v>5140</v>
      </c>
      <c r="M22" s="13" t="n">
        <v>2082.6766</v>
      </c>
      <c r="N22" s="12" t="n">
        <f aca="false">IF(H22="","",$C$3-H22)</f>
        <v>14</v>
      </c>
      <c r="O22" s="9" t="str">
        <f aca="false">IF(AND(L22&lt;=$C$4,M22&lt;=$E$4),"&lt;=150pc &amp; &lt;=10kg",IF(N22="","TANPA TGL",IF(N22&lt;=5,"&lt;= 5 HARI",IF(N22&lt;=7,"&lt;= 7 HARI",IF(N22&lt;=14,"&lt;= 14 HARI","&gt; 14 HARI")))))</f>
        <v>&lt;= 14 HARI</v>
      </c>
      <c r="P22" s="9"/>
      <c r="Q22" s="9" t="s">
        <v>65</v>
      </c>
      <c r="R22" s="9" t="s">
        <v>122</v>
      </c>
    </row>
    <row r="23" customFormat="false" ht="15" hidden="false" customHeight="false" outlineLevel="0" collapsed="false">
      <c r="A23" s="9" t="n">
        <v>18</v>
      </c>
      <c r="B23" s="9" t="s">
        <v>123</v>
      </c>
      <c r="C23" s="9" t="s">
        <v>124</v>
      </c>
      <c r="D23" s="9" t="s">
        <v>125</v>
      </c>
      <c r="E23" s="10" t="n">
        <v>0.23504</v>
      </c>
      <c r="F23" s="9" t="s">
        <v>126</v>
      </c>
      <c r="G23" s="9" t="s">
        <v>127</v>
      </c>
      <c r="H23" s="11" t="n">
        <v>46225</v>
      </c>
      <c r="I23" s="12" t="n">
        <v>45000</v>
      </c>
      <c r="J23" s="12" t="n">
        <v>2310</v>
      </c>
      <c r="K23" s="13" t="n">
        <v>542.9424</v>
      </c>
      <c r="L23" s="12" t="n">
        <v>2310</v>
      </c>
      <c r="M23" s="13" t="n">
        <v>542.9424</v>
      </c>
      <c r="N23" s="12" t="n">
        <f aca="false">IF(H23="","",$C$3-H23)</f>
        <v>12</v>
      </c>
      <c r="O23" s="9" t="str">
        <f aca="false">IF(AND(L23&lt;=$C$4,M23&lt;=$E$4),"&lt;=150pc &amp; &lt;=10kg",IF(N23="","TANPA TGL",IF(N23&lt;=5,"&lt;= 5 HARI",IF(N23&lt;=7,"&lt;= 7 HARI",IF(N23&lt;=14,"&lt;= 14 HARI","&gt; 14 HARI")))))</f>
        <v>&lt;= 14 HARI</v>
      </c>
      <c r="P23" s="9" t="s">
        <v>51</v>
      </c>
      <c r="Q23" s="9" t="s">
        <v>44</v>
      </c>
      <c r="R23" s="9" t="s">
        <v>45</v>
      </c>
    </row>
    <row r="24" customFormat="false" ht="15" hidden="false" customHeight="false" outlineLevel="0" collapsed="false">
      <c r="A24" s="9" t="n">
        <v>19</v>
      </c>
      <c r="B24" s="9" t="s">
        <v>128</v>
      </c>
      <c r="C24" s="9" t="s">
        <v>129</v>
      </c>
      <c r="D24" s="9" t="s">
        <v>130</v>
      </c>
      <c r="E24" s="10" t="n">
        <v>9.10231</v>
      </c>
      <c r="F24" s="9" t="s">
        <v>131</v>
      </c>
      <c r="G24" s="9" t="s">
        <v>132</v>
      </c>
      <c r="H24" s="11" t="n">
        <v>46235</v>
      </c>
      <c r="I24" s="12" t="n">
        <v>2000</v>
      </c>
      <c r="J24" s="12" t="n">
        <v>0</v>
      </c>
      <c r="K24" s="13" t="n">
        <v>0</v>
      </c>
      <c r="L24" s="12" t="n">
        <v>350</v>
      </c>
      <c r="M24" s="13" t="n">
        <v>3185.8085</v>
      </c>
      <c r="N24" s="12" t="n">
        <f aca="false">IF(H24="","",$C$3-H24)</f>
        <v>2</v>
      </c>
      <c r="O24" s="9" t="str">
        <f aca="false">IF(AND(L24&lt;=$C$4,M24&lt;=$E$4),"&lt;=150pc &amp; &lt;=10kg",IF(N24="","TANPA TGL",IF(N24&lt;=5,"&lt;= 5 HARI",IF(N24&lt;=7,"&lt;= 7 HARI",IF(N24&lt;=14,"&lt;= 14 HARI","&gt; 14 HARI")))))</f>
        <v>&lt;= 5 HARI</v>
      </c>
      <c r="P24" s="9"/>
      <c r="Q24" s="9" t="s">
        <v>133</v>
      </c>
      <c r="R24" s="9" t="s">
        <v>134</v>
      </c>
    </row>
    <row r="25" customFormat="false" ht="15" hidden="false" customHeight="false" outlineLevel="0" collapsed="false">
      <c r="A25" s="9" t="n">
        <v>20</v>
      </c>
      <c r="B25" s="9" t="s">
        <v>128</v>
      </c>
      <c r="C25" s="9" t="s">
        <v>135</v>
      </c>
      <c r="D25" s="9" t="s">
        <v>136</v>
      </c>
      <c r="E25" s="10" t="n">
        <v>1.59357</v>
      </c>
      <c r="F25" s="9" t="s">
        <v>137</v>
      </c>
      <c r="G25" s="9" t="s">
        <v>138</v>
      </c>
      <c r="H25" s="11" t="n">
        <v>46235</v>
      </c>
      <c r="I25" s="12" t="n">
        <v>10000</v>
      </c>
      <c r="J25" s="12" t="n">
        <v>0</v>
      </c>
      <c r="K25" s="13" t="n">
        <v>0</v>
      </c>
      <c r="L25" s="12" t="n">
        <v>1000</v>
      </c>
      <c r="M25" s="13" t="n">
        <v>1593.57</v>
      </c>
      <c r="N25" s="12" t="n">
        <f aca="false">IF(H25="","",$C$3-H25)</f>
        <v>2</v>
      </c>
      <c r="O25" s="9" t="str">
        <f aca="false">IF(AND(L25&lt;=$C$4,M25&lt;=$E$4),"&lt;=150pc &amp; &lt;=10kg",IF(N25="","TANPA TGL",IF(N25&lt;=5,"&lt;= 5 HARI",IF(N25&lt;=7,"&lt;= 7 HARI",IF(N25&lt;=14,"&lt;= 14 HARI","&gt; 14 HARI")))))</f>
        <v>&lt;= 5 HARI</v>
      </c>
      <c r="P25" s="9" t="s">
        <v>77</v>
      </c>
      <c r="Q25" s="9" t="s">
        <v>133</v>
      </c>
      <c r="R25" s="9" t="s">
        <v>134</v>
      </c>
    </row>
    <row r="26" customFormat="false" ht="15" hidden="false" customHeight="false" outlineLevel="0" collapsed="false">
      <c r="A26" s="9" t="n">
        <v>21</v>
      </c>
      <c r="B26" s="9" t="s">
        <v>139</v>
      </c>
      <c r="C26" s="9" t="s">
        <v>140</v>
      </c>
      <c r="D26" s="9" t="s">
        <v>141</v>
      </c>
      <c r="E26" s="10" t="n">
        <v>0.66787</v>
      </c>
      <c r="F26" s="9" t="s">
        <v>142</v>
      </c>
      <c r="G26" s="9" t="s">
        <v>143</v>
      </c>
      <c r="H26" s="11" t="n">
        <v>46203</v>
      </c>
      <c r="I26" s="12" t="n">
        <v>2500</v>
      </c>
      <c r="J26" s="12" t="n">
        <v>310</v>
      </c>
      <c r="K26" s="13" t="n">
        <v>207.0397</v>
      </c>
      <c r="L26" s="12" t="n">
        <v>310</v>
      </c>
      <c r="M26" s="13" t="n">
        <v>207.0397</v>
      </c>
      <c r="N26" s="12" t="n">
        <f aca="false">IF(H26="","",$C$3-H26)</f>
        <v>34</v>
      </c>
      <c r="O26" s="9" t="str">
        <f aca="false">IF(AND(L26&lt;=$C$4,M26&lt;=$E$4),"&lt;=150pc &amp; &lt;=10kg",IF(N26="","TANPA TGL",IF(N26&lt;=5,"&lt;= 5 HARI",IF(N26&lt;=7,"&lt;= 7 HARI",IF(N26&lt;=14,"&lt;= 14 HARI","&gt; 14 HARI")))))</f>
        <v>&gt; 14 HARI</v>
      </c>
      <c r="P26" s="9" t="s">
        <v>144</v>
      </c>
      <c r="Q26" s="9" t="s">
        <v>44</v>
      </c>
      <c r="R26" s="9" t="s">
        <v>45</v>
      </c>
    </row>
    <row r="27" customFormat="false" ht="15" hidden="false" customHeight="false" outlineLevel="0" collapsed="false">
      <c r="A27" s="9" t="n">
        <v>22</v>
      </c>
      <c r="B27" s="9" t="s">
        <v>145</v>
      </c>
      <c r="C27" s="9" t="s">
        <v>146</v>
      </c>
      <c r="D27" s="9" t="s">
        <v>147</v>
      </c>
      <c r="E27" s="10" t="n">
        <v>0.18542</v>
      </c>
      <c r="F27" s="9" t="s">
        <v>148</v>
      </c>
      <c r="G27" s="9" t="s">
        <v>149</v>
      </c>
      <c r="H27" s="11" t="n">
        <v>46199</v>
      </c>
      <c r="I27" s="12" t="n">
        <v>12000</v>
      </c>
      <c r="J27" s="12" t="n">
        <v>2000</v>
      </c>
      <c r="K27" s="13" t="n">
        <v>370.84</v>
      </c>
      <c r="L27" s="12" t="n">
        <v>2000</v>
      </c>
      <c r="M27" s="13" t="n">
        <v>370.84</v>
      </c>
      <c r="N27" s="12" t="n">
        <f aca="false">IF(H27="","",$C$3-H27)</f>
        <v>38</v>
      </c>
      <c r="O27" s="9" t="str">
        <f aca="false">IF(AND(L27&lt;=$C$4,M27&lt;=$E$4),"&lt;=150pc &amp; &lt;=10kg",IF(N27="","TANPA TGL",IF(N27&lt;=5,"&lt;= 5 HARI",IF(N27&lt;=7,"&lt;= 7 HARI",IF(N27&lt;=14,"&lt;= 14 HARI","&gt; 14 HARI")))))</f>
        <v>&gt; 14 HARI</v>
      </c>
      <c r="P27" s="9" t="s">
        <v>64</v>
      </c>
      <c r="Q27" s="9" t="s">
        <v>133</v>
      </c>
      <c r="R27" s="9" t="s">
        <v>134</v>
      </c>
    </row>
    <row r="28" customFormat="false" ht="15" hidden="false" customHeight="false" outlineLevel="0" collapsed="false">
      <c r="A28" s="9" t="n">
        <v>23</v>
      </c>
      <c r="B28" s="9" t="s">
        <v>150</v>
      </c>
      <c r="C28" s="9" t="s">
        <v>151</v>
      </c>
      <c r="D28" s="9" t="s">
        <v>152</v>
      </c>
      <c r="E28" s="10" t="n">
        <v>0.51331</v>
      </c>
      <c r="F28" s="9" t="s">
        <v>153</v>
      </c>
      <c r="G28" s="9" t="s">
        <v>154</v>
      </c>
      <c r="H28" s="11" t="n">
        <v>46212</v>
      </c>
      <c r="I28" s="12" t="n">
        <v>1000</v>
      </c>
      <c r="J28" s="12" t="n">
        <v>150</v>
      </c>
      <c r="K28" s="13" t="n">
        <v>76.9965</v>
      </c>
      <c r="L28" s="12" t="n">
        <v>150</v>
      </c>
      <c r="M28" s="13" t="n">
        <v>76.9965</v>
      </c>
      <c r="N28" s="12" t="n">
        <f aca="false">IF(H28="","",$C$3-H28)</f>
        <v>25</v>
      </c>
      <c r="O28" s="9" t="str">
        <f aca="false">IF(AND(L28&lt;=$C$4,M28&lt;=$E$4),"&lt;=150pc &amp; &lt;=10kg",IF(N28="","TANPA TGL",IF(N28&lt;=5,"&lt;= 5 HARI",IF(N28&lt;=7,"&lt;= 7 HARI",IF(N28&lt;=14,"&lt;= 14 HARI","&gt; 14 HARI")))))</f>
        <v>&gt; 14 HARI</v>
      </c>
      <c r="P28" s="9" t="s">
        <v>155</v>
      </c>
      <c r="Q28" s="9" t="s">
        <v>30</v>
      </c>
      <c r="R28" s="9" t="s">
        <v>31</v>
      </c>
    </row>
    <row r="29" customFormat="false" ht="15" hidden="false" customHeight="false" outlineLevel="0" collapsed="false">
      <c r="A29" s="9" t="n">
        <v>24</v>
      </c>
      <c r="B29" s="9" t="s">
        <v>156</v>
      </c>
      <c r="C29" s="9" t="s">
        <v>157</v>
      </c>
      <c r="D29" s="9" t="s">
        <v>158</v>
      </c>
      <c r="E29" s="10" t="n">
        <v>2.05892</v>
      </c>
      <c r="F29" s="9" t="s">
        <v>159</v>
      </c>
      <c r="G29" s="9" t="s">
        <v>160</v>
      </c>
      <c r="H29" s="11" t="n">
        <v>46212</v>
      </c>
      <c r="I29" s="12" t="n">
        <v>4100</v>
      </c>
      <c r="J29" s="12" t="n">
        <v>125</v>
      </c>
      <c r="K29" s="13" t="n">
        <v>257.365</v>
      </c>
      <c r="L29" s="12" t="n">
        <v>125</v>
      </c>
      <c r="M29" s="13" t="n">
        <v>257.365</v>
      </c>
      <c r="N29" s="12" t="n">
        <f aca="false">IF(H29="","",$C$3-H29)</f>
        <v>25</v>
      </c>
      <c r="O29" s="9" t="str">
        <f aca="false">IF(AND(L29&lt;=$C$4,M29&lt;=$E$4),"&lt;=150pc &amp; &lt;=10kg",IF(N29="","TANPA TGL",IF(N29&lt;=5,"&lt;= 5 HARI",IF(N29&lt;=7,"&lt;= 7 HARI",IF(N29&lt;=14,"&lt;= 14 HARI","&gt; 14 HARI")))))</f>
        <v>&gt; 14 HARI</v>
      </c>
      <c r="P29" s="9" t="s">
        <v>161</v>
      </c>
      <c r="Q29" s="9" t="s">
        <v>65</v>
      </c>
      <c r="R29" s="9" t="s">
        <v>66</v>
      </c>
    </row>
    <row r="30" customFormat="false" ht="15" hidden="false" customHeight="false" outlineLevel="0" collapsed="false">
      <c r="A30" s="9" t="n">
        <v>25</v>
      </c>
      <c r="B30" s="9" t="s">
        <v>162</v>
      </c>
      <c r="C30" s="9" t="s">
        <v>163</v>
      </c>
      <c r="D30" s="9" t="s">
        <v>164</v>
      </c>
      <c r="E30" s="10" t="n">
        <v>0.21886</v>
      </c>
      <c r="F30" s="9" t="s">
        <v>165</v>
      </c>
      <c r="G30" s="9" t="s">
        <v>166</v>
      </c>
      <c r="H30" s="11" t="n">
        <v>46221</v>
      </c>
      <c r="I30" s="12" t="n">
        <v>80000</v>
      </c>
      <c r="J30" s="12" t="n">
        <v>880</v>
      </c>
      <c r="K30" s="13" t="n">
        <v>192.5968</v>
      </c>
      <c r="L30" s="12" t="n">
        <v>880</v>
      </c>
      <c r="M30" s="13" t="n">
        <v>192.5968</v>
      </c>
      <c r="N30" s="12" t="n">
        <f aca="false">IF(H30="","",$C$3-H30)</f>
        <v>16</v>
      </c>
      <c r="O30" s="9" t="str">
        <f aca="false">IF(AND(L30&lt;=$C$4,M30&lt;=$E$4),"&lt;=150pc &amp; &lt;=10kg",IF(N30="","TANPA TGL",IF(N30&lt;=5,"&lt;= 5 HARI",IF(N30&lt;=7,"&lt;= 7 HARI",IF(N30&lt;=14,"&lt;= 14 HARI","&gt; 14 HARI")))))</f>
        <v>&gt; 14 HARI</v>
      </c>
      <c r="P30" s="9" t="s">
        <v>51</v>
      </c>
      <c r="Q30" s="9" t="s">
        <v>133</v>
      </c>
      <c r="R30" s="9" t="s">
        <v>134</v>
      </c>
    </row>
    <row r="31" customFormat="false" ht="15" hidden="false" customHeight="false" outlineLevel="0" collapsed="false">
      <c r="A31" s="9" t="n">
        <v>26</v>
      </c>
      <c r="B31" s="9" t="s">
        <v>167</v>
      </c>
      <c r="C31" s="9" t="s">
        <v>168</v>
      </c>
      <c r="D31" s="9" t="s">
        <v>169</v>
      </c>
      <c r="E31" s="10" t="n">
        <v>2.61148</v>
      </c>
      <c r="F31" s="9" t="s">
        <v>170</v>
      </c>
      <c r="G31" s="9" t="s">
        <v>171</v>
      </c>
      <c r="H31" s="11" t="n">
        <v>46213</v>
      </c>
      <c r="I31" s="12" t="n">
        <v>300</v>
      </c>
      <c r="J31" s="12" t="n">
        <v>75</v>
      </c>
      <c r="K31" s="13" t="n">
        <v>195.861</v>
      </c>
      <c r="L31" s="12" t="n">
        <v>75</v>
      </c>
      <c r="M31" s="13" t="n">
        <v>195.861</v>
      </c>
      <c r="N31" s="12" t="n">
        <f aca="false">IF(H31="","",$C$3-H31)</f>
        <v>24</v>
      </c>
      <c r="O31" s="9" t="str">
        <f aca="false">IF(AND(L31&lt;=$C$4,M31&lt;=$E$4),"&lt;=150pc &amp; &lt;=10kg",IF(N31="","TANPA TGL",IF(N31&lt;=5,"&lt;= 5 HARI",IF(N31&lt;=7,"&lt;= 7 HARI",IF(N31&lt;=14,"&lt;= 14 HARI","&gt; 14 HARI")))))</f>
        <v>&gt; 14 HARI</v>
      </c>
      <c r="P31" s="9"/>
      <c r="Q31" s="9" t="s">
        <v>107</v>
      </c>
      <c r="R31" s="9" t="s">
        <v>108</v>
      </c>
    </row>
    <row r="32" customFormat="false" ht="15" hidden="false" customHeight="false" outlineLevel="0" collapsed="false">
      <c r="A32" s="9" t="n">
        <v>27</v>
      </c>
      <c r="B32" s="9" t="s">
        <v>172</v>
      </c>
      <c r="C32" s="9" t="s">
        <v>173</v>
      </c>
      <c r="D32" s="9" t="s">
        <v>174</v>
      </c>
      <c r="E32" s="10" t="n">
        <v>0.18057</v>
      </c>
      <c r="F32" s="9" t="s">
        <v>175</v>
      </c>
      <c r="G32" s="9" t="s">
        <v>176</v>
      </c>
      <c r="H32" s="11" t="n">
        <v>46203</v>
      </c>
      <c r="I32" s="12" t="n">
        <v>12300</v>
      </c>
      <c r="J32" s="12" t="n">
        <v>123</v>
      </c>
      <c r="K32" s="13" t="n">
        <v>22.21011</v>
      </c>
      <c r="L32" s="12" t="n">
        <v>123</v>
      </c>
      <c r="M32" s="13" t="n">
        <v>22.21011</v>
      </c>
      <c r="N32" s="12" t="n">
        <f aca="false">IF(H32="","",$C$3-H32)</f>
        <v>34</v>
      </c>
      <c r="O32" s="9" t="str">
        <f aca="false">IF(AND(L32&lt;=$C$4,M32&lt;=$E$4),"&lt;=150pc &amp; &lt;=10kg",IF(N32="","TANPA TGL",IF(N32&lt;=5,"&lt;= 5 HARI",IF(N32&lt;=7,"&lt;= 7 HARI",IF(N32&lt;=14,"&lt;= 14 HARI","&gt; 14 HARI")))))</f>
        <v>&gt; 14 HARI</v>
      </c>
      <c r="P32" s="9" t="s">
        <v>144</v>
      </c>
      <c r="Q32" s="9" t="s">
        <v>30</v>
      </c>
      <c r="R32" s="9" t="s">
        <v>31</v>
      </c>
    </row>
    <row r="33" customFormat="false" ht="15" hidden="false" customHeight="false" outlineLevel="0" collapsed="false">
      <c r="A33" s="9" t="n">
        <v>28</v>
      </c>
      <c r="B33" s="9" t="s">
        <v>172</v>
      </c>
      <c r="C33" s="9" t="s">
        <v>177</v>
      </c>
      <c r="D33" s="9" t="s">
        <v>178</v>
      </c>
      <c r="E33" s="10" t="n">
        <v>0.19048</v>
      </c>
      <c r="F33" s="9" t="s">
        <v>179</v>
      </c>
      <c r="G33" s="9" t="s">
        <v>180</v>
      </c>
      <c r="H33" s="11" t="n">
        <v>46225</v>
      </c>
      <c r="I33" s="12" t="n">
        <v>3600</v>
      </c>
      <c r="J33" s="12" t="n">
        <v>100</v>
      </c>
      <c r="K33" s="13" t="n">
        <v>19.048</v>
      </c>
      <c r="L33" s="12" t="n">
        <v>100</v>
      </c>
      <c r="M33" s="13" t="n">
        <v>19.048</v>
      </c>
      <c r="N33" s="12" t="n">
        <f aca="false">IF(H33="","",$C$3-H33)</f>
        <v>12</v>
      </c>
      <c r="O33" s="9" t="str">
        <f aca="false">IF(AND(L33&lt;=$C$4,M33&lt;=$E$4),"&lt;=150pc &amp; &lt;=10kg",IF(N33="","TANPA TGL",IF(N33&lt;=5,"&lt;= 5 HARI",IF(N33&lt;=7,"&lt;= 7 HARI",IF(N33&lt;=14,"&lt;= 14 HARI","&gt; 14 HARI")))))</f>
        <v>&lt;= 14 HARI</v>
      </c>
      <c r="P33" s="9" t="s">
        <v>64</v>
      </c>
      <c r="Q33" s="9" t="s">
        <v>30</v>
      </c>
      <c r="R33" s="9" t="s">
        <v>31</v>
      </c>
    </row>
    <row r="34" customFormat="false" ht="15" hidden="false" customHeight="false" outlineLevel="0" collapsed="false">
      <c r="A34" s="9" t="n">
        <v>29</v>
      </c>
      <c r="B34" s="9" t="s">
        <v>181</v>
      </c>
      <c r="C34" s="9" t="s">
        <v>182</v>
      </c>
      <c r="D34" s="9" t="s">
        <v>183</v>
      </c>
      <c r="E34" s="10" t="n">
        <v>0.8208</v>
      </c>
      <c r="F34" s="9" t="s">
        <v>184</v>
      </c>
      <c r="G34" s="9" t="s">
        <v>185</v>
      </c>
      <c r="H34" s="11" t="n">
        <v>46235</v>
      </c>
      <c r="I34" s="12" t="n">
        <v>4600</v>
      </c>
      <c r="J34" s="12" t="n">
        <v>1720</v>
      </c>
      <c r="K34" s="13" t="n">
        <v>1411.776</v>
      </c>
      <c r="L34" s="12" t="n">
        <v>1978</v>
      </c>
      <c r="M34" s="13" t="n">
        <v>1623.5424</v>
      </c>
      <c r="N34" s="12" t="n">
        <f aca="false">IF(H34="","",$C$3-H34)</f>
        <v>2</v>
      </c>
      <c r="O34" s="9" t="str">
        <f aca="false">IF(AND(L34&lt;=$C$4,M34&lt;=$E$4),"&lt;=150pc &amp; &lt;=10kg",IF(N34="","TANPA TGL",IF(N34&lt;=5,"&lt;= 5 HARI",IF(N34&lt;=7,"&lt;= 7 HARI",IF(N34&lt;=14,"&lt;= 14 HARI","&gt; 14 HARI")))))</f>
        <v>&lt;= 5 HARI</v>
      </c>
      <c r="P34" s="9" t="s">
        <v>144</v>
      </c>
      <c r="Q34" s="9" t="s">
        <v>57</v>
      </c>
      <c r="R34" s="9" t="s">
        <v>58</v>
      </c>
    </row>
    <row r="35" customFormat="false" ht="15" hidden="false" customHeight="false" outlineLevel="0" collapsed="false">
      <c r="A35" s="9" t="n">
        <v>30</v>
      </c>
      <c r="B35" s="9" t="s">
        <v>181</v>
      </c>
      <c r="C35" s="9" t="s">
        <v>186</v>
      </c>
      <c r="D35" s="9" t="s">
        <v>187</v>
      </c>
      <c r="E35" s="10" t="n">
        <v>0.93356</v>
      </c>
      <c r="F35" s="9" t="s">
        <v>188</v>
      </c>
      <c r="G35" s="9" t="s">
        <v>189</v>
      </c>
      <c r="H35" s="11" t="n">
        <v>46233</v>
      </c>
      <c r="I35" s="12" t="n">
        <v>4475</v>
      </c>
      <c r="J35" s="12" t="n">
        <v>520</v>
      </c>
      <c r="K35" s="13" t="n">
        <v>485.4512</v>
      </c>
      <c r="L35" s="12" t="n">
        <v>520</v>
      </c>
      <c r="M35" s="13" t="n">
        <v>485.4512</v>
      </c>
      <c r="N35" s="12" t="n">
        <f aca="false">IF(H35="","",$C$3-H35)</f>
        <v>4</v>
      </c>
      <c r="O35" s="9" t="str">
        <f aca="false">IF(AND(L35&lt;=$C$4,M35&lt;=$E$4),"&lt;=150pc &amp; &lt;=10kg",IF(N35="","TANPA TGL",IF(N35&lt;=5,"&lt;= 5 HARI",IF(N35&lt;=7,"&lt;= 7 HARI",IF(N35&lt;=14,"&lt;= 14 HARI","&gt; 14 HARI")))))</f>
        <v>&lt;= 5 HARI</v>
      </c>
      <c r="P35" s="9"/>
      <c r="Q35" s="9" t="s">
        <v>57</v>
      </c>
      <c r="R35" s="9" t="s">
        <v>58</v>
      </c>
    </row>
    <row r="36" customFormat="false" ht="15" hidden="false" customHeight="false" outlineLevel="0" collapsed="false">
      <c r="A36" s="9" t="n">
        <v>31</v>
      </c>
      <c r="B36" s="9" t="s">
        <v>190</v>
      </c>
      <c r="C36" s="9" t="s">
        <v>191</v>
      </c>
      <c r="D36" s="9" t="s">
        <v>192</v>
      </c>
      <c r="E36" s="10" t="n">
        <v>0.34193</v>
      </c>
      <c r="F36" s="9" t="s">
        <v>193</v>
      </c>
      <c r="G36" s="9" t="s">
        <v>194</v>
      </c>
      <c r="H36" s="11" t="n">
        <v>46215</v>
      </c>
      <c r="I36" s="12" t="n">
        <v>2500</v>
      </c>
      <c r="J36" s="12" t="n">
        <v>300</v>
      </c>
      <c r="K36" s="13" t="n">
        <v>102.579</v>
      </c>
      <c r="L36" s="12" t="n">
        <v>0</v>
      </c>
      <c r="M36" s="13" t="n">
        <v>0</v>
      </c>
      <c r="N36" s="12" t="n">
        <f aca="false">IF(H36="","",$C$3-H36)</f>
        <v>22</v>
      </c>
      <c r="O36" s="9" t="str">
        <f aca="false">IF(AND(L36&lt;=$C$4,M36&lt;=$E$4),"&lt;=150pc &amp; &lt;=10kg",IF(N36="","TANPA TGL",IF(N36&lt;=5,"&lt;= 5 HARI",IF(N36&lt;=7,"&lt;= 7 HARI",IF(N36&lt;=14,"&lt;= 14 HARI","&gt; 14 HARI")))))</f>
        <v>&lt;=150pc &amp; &lt;=10kg</v>
      </c>
      <c r="P36" s="9" t="s">
        <v>64</v>
      </c>
      <c r="Q36" s="9" t="s">
        <v>133</v>
      </c>
      <c r="R36" s="9" t="s">
        <v>134</v>
      </c>
    </row>
    <row r="37" customFormat="false" ht="15" hidden="false" customHeight="false" outlineLevel="0" collapsed="false">
      <c r="A37" s="9" t="n">
        <v>32</v>
      </c>
      <c r="B37" s="9" t="s">
        <v>190</v>
      </c>
      <c r="C37" s="9" t="s">
        <v>195</v>
      </c>
      <c r="D37" s="9" t="s">
        <v>196</v>
      </c>
      <c r="E37" s="10" t="n">
        <v>0.1693</v>
      </c>
      <c r="F37" s="9" t="s">
        <v>197</v>
      </c>
      <c r="G37" s="9" t="s">
        <v>194</v>
      </c>
      <c r="H37" s="11" t="n">
        <v>46215</v>
      </c>
      <c r="I37" s="12" t="n">
        <v>2500</v>
      </c>
      <c r="J37" s="12" t="n">
        <v>300</v>
      </c>
      <c r="K37" s="13" t="n">
        <v>50.79</v>
      </c>
      <c r="L37" s="12" t="n">
        <v>0</v>
      </c>
      <c r="M37" s="13" t="n">
        <v>0</v>
      </c>
      <c r="N37" s="12" t="n">
        <f aca="false">IF(H37="","",$C$3-H37)</f>
        <v>22</v>
      </c>
      <c r="O37" s="9" t="str">
        <f aca="false">IF(AND(L37&lt;=$C$4,M37&lt;=$E$4),"&lt;=150pc &amp; &lt;=10kg",IF(N37="","TANPA TGL",IF(N37&lt;=5,"&lt;= 5 HARI",IF(N37&lt;=7,"&lt;= 7 HARI",IF(N37&lt;=14,"&lt;= 14 HARI","&gt; 14 HARI")))))</f>
        <v>&lt;=150pc &amp; &lt;=10kg</v>
      </c>
      <c r="P37" s="9" t="s">
        <v>64</v>
      </c>
      <c r="Q37" s="9" t="s">
        <v>133</v>
      </c>
      <c r="R37" s="9" t="s">
        <v>134</v>
      </c>
    </row>
    <row r="38" customFormat="false" ht="15" hidden="false" customHeight="false" outlineLevel="0" collapsed="false">
      <c r="A38" s="9" t="n">
        <v>33</v>
      </c>
      <c r="B38" s="9" t="s">
        <v>190</v>
      </c>
      <c r="C38" s="9" t="s">
        <v>198</v>
      </c>
      <c r="D38" s="9" t="s">
        <v>199</v>
      </c>
      <c r="E38" s="10" t="n">
        <v>0.29586</v>
      </c>
      <c r="F38" s="9" t="s">
        <v>200</v>
      </c>
      <c r="G38" s="9" t="s">
        <v>201</v>
      </c>
      <c r="H38" s="11" t="n">
        <v>46223</v>
      </c>
      <c r="I38" s="12" t="n">
        <v>2500</v>
      </c>
      <c r="J38" s="12" t="n">
        <v>1300</v>
      </c>
      <c r="K38" s="13" t="n">
        <v>384.618</v>
      </c>
      <c r="L38" s="12" t="n">
        <v>0</v>
      </c>
      <c r="M38" s="13" t="n">
        <v>0</v>
      </c>
      <c r="N38" s="12" t="n">
        <f aca="false">IF(H38="","",$C$3-H38)</f>
        <v>14</v>
      </c>
      <c r="O38" s="9" t="str">
        <f aca="false">IF(AND(L38&lt;=$C$4,M38&lt;=$E$4),"&lt;=150pc &amp; &lt;=10kg",IF(N38="","TANPA TGL",IF(N38&lt;=5,"&lt;= 5 HARI",IF(N38&lt;=7,"&lt;= 7 HARI",IF(N38&lt;=14,"&lt;= 14 HARI","&gt; 14 HARI")))))</f>
        <v>&lt;=150pc &amp; &lt;=10kg</v>
      </c>
      <c r="P38" s="9" t="s">
        <v>64</v>
      </c>
      <c r="Q38" s="9" t="s">
        <v>133</v>
      </c>
      <c r="R38" s="9" t="s">
        <v>134</v>
      </c>
    </row>
    <row r="39" customFormat="false" ht="15" hidden="false" customHeight="false" outlineLevel="0" collapsed="false">
      <c r="A39" s="9" t="n">
        <v>34</v>
      </c>
      <c r="B39" s="9" t="s">
        <v>190</v>
      </c>
      <c r="C39" s="9" t="s">
        <v>202</v>
      </c>
      <c r="D39" s="9" t="s">
        <v>203</v>
      </c>
      <c r="E39" s="10" t="n">
        <v>0.1646</v>
      </c>
      <c r="F39" s="9" t="s">
        <v>204</v>
      </c>
      <c r="G39" s="9" t="s">
        <v>201</v>
      </c>
      <c r="H39" s="11" t="n">
        <v>46222</v>
      </c>
      <c r="I39" s="12" t="n">
        <v>2500</v>
      </c>
      <c r="J39" s="12" t="n">
        <v>1300</v>
      </c>
      <c r="K39" s="13" t="n">
        <v>213.98</v>
      </c>
      <c r="L39" s="12" t="n">
        <v>0</v>
      </c>
      <c r="M39" s="13" t="n">
        <v>0</v>
      </c>
      <c r="N39" s="12" t="n">
        <f aca="false">IF(H39="","",$C$3-H39)</f>
        <v>15</v>
      </c>
      <c r="O39" s="9" t="str">
        <f aca="false">IF(AND(L39&lt;=$C$4,M39&lt;=$E$4),"&lt;=150pc &amp; &lt;=10kg",IF(N39="","TANPA TGL",IF(N39&lt;=5,"&lt;= 5 HARI",IF(N39&lt;=7,"&lt;= 7 HARI",IF(N39&lt;=14,"&lt;= 14 HARI","&gt; 14 HARI")))))</f>
        <v>&lt;=150pc &amp; &lt;=10kg</v>
      </c>
      <c r="P39" s="9" t="s">
        <v>64</v>
      </c>
      <c r="Q39" s="9" t="s">
        <v>133</v>
      </c>
      <c r="R39" s="9" t="s">
        <v>134</v>
      </c>
    </row>
    <row r="40" customFormat="false" ht="15" hidden="false" customHeight="false" outlineLevel="0" collapsed="false">
      <c r="A40" s="9" t="n">
        <v>35</v>
      </c>
      <c r="B40" s="9" t="s">
        <v>205</v>
      </c>
      <c r="C40" s="9" t="s">
        <v>206</v>
      </c>
      <c r="D40" s="9" t="s">
        <v>207</v>
      </c>
      <c r="E40" s="10" t="n">
        <v>0.34495</v>
      </c>
      <c r="F40" s="9" t="s">
        <v>208</v>
      </c>
      <c r="G40" s="9" t="s">
        <v>209</v>
      </c>
      <c r="H40" s="11" t="n">
        <v>46155</v>
      </c>
      <c r="I40" s="12" t="n">
        <v>3000</v>
      </c>
      <c r="J40" s="12" t="n">
        <v>195</v>
      </c>
      <c r="K40" s="13" t="n">
        <v>67.26525</v>
      </c>
      <c r="L40" s="12" t="n">
        <v>195</v>
      </c>
      <c r="M40" s="13" t="n">
        <v>67.26525</v>
      </c>
      <c r="N40" s="12" t="n">
        <f aca="false">IF(H40="","",$C$3-H40)</f>
        <v>82</v>
      </c>
      <c r="O40" s="9" t="str">
        <f aca="false">IF(AND(L40&lt;=$C$4,M40&lt;=$E$4),"&lt;=150pc &amp; &lt;=10kg",IF(N40="","TANPA TGL",IF(N40&lt;=5,"&lt;= 5 HARI",IF(N40&lt;=7,"&lt;= 7 HARI",IF(N40&lt;=14,"&lt;= 14 HARI","&gt; 14 HARI")))))</f>
        <v>&gt; 14 HARI</v>
      </c>
      <c r="P40" s="9" t="s">
        <v>64</v>
      </c>
      <c r="Q40" s="9" t="s">
        <v>133</v>
      </c>
      <c r="R40" s="9" t="s">
        <v>134</v>
      </c>
    </row>
    <row r="41" customFormat="false" ht="15" hidden="false" customHeight="false" outlineLevel="0" collapsed="false">
      <c r="A41" s="9" t="n">
        <v>36</v>
      </c>
      <c r="B41" s="9" t="s">
        <v>205</v>
      </c>
      <c r="C41" s="9" t="s">
        <v>210</v>
      </c>
      <c r="D41" s="9" t="s">
        <v>211</v>
      </c>
      <c r="E41" s="10" t="n">
        <v>0.17978</v>
      </c>
      <c r="F41" s="9" t="s">
        <v>212</v>
      </c>
      <c r="G41" s="9" t="s">
        <v>209</v>
      </c>
      <c r="H41" s="11" t="n">
        <v>46156</v>
      </c>
      <c r="I41" s="12" t="n">
        <v>3000</v>
      </c>
      <c r="J41" s="12" t="n">
        <v>259</v>
      </c>
      <c r="K41" s="13" t="n">
        <v>46.56302</v>
      </c>
      <c r="L41" s="12" t="n">
        <v>259</v>
      </c>
      <c r="M41" s="13" t="n">
        <v>46.56302</v>
      </c>
      <c r="N41" s="12" t="n">
        <f aca="false">IF(H41="","",$C$3-H41)</f>
        <v>81</v>
      </c>
      <c r="O41" s="9" t="str">
        <f aca="false">IF(AND(L41&lt;=$C$4,M41&lt;=$E$4),"&lt;=150pc &amp; &lt;=10kg",IF(N41="","TANPA TGL",IF(N41&lt;=5,"&lt;= 5 HARI",IF(N41&lt;=7,"&lt;= 7 HARI",IF(N41&lt;=14,"&lt;= 14 HARI","&gt; 14 HARI")))))</f>
        <v>&gt; 14 HARI</v>
      </c>
      <c r="P41" s="9" t="s">
        <v>64</v>
      </c>
      <c r="Q41" s="9" t="s">
        <v>133</v>
      </c>
      <c r="R41" s="9" t="s">
        <v>134</v>
      </c>
    </row>
    <row r="42" customFormat="false" ht="15" hidden="false" customHeight="false" outlineLevel="0" collapsed="false">
      <c r="A42" s="9" t="n">
        <v>37</v>
      </c>
      <c r="B42" s="9" t="s">
        <v>205</v>
      </c>
      <c r="C42" s="9" t="s">
        <v>213</v>
      </c>
      <c r="D42" s="9" t="s">
        <v>214</v>
      </c>
      <c r="E42" s="10" t="n">
        <v>0.16506</v>
      </c>
      <c r="F42" s="9" t="s">
        <v>215</v>
      </c>
      <c r="G42" s="9" t="s">
        <v>216</v>
      </c>
      <c r="H42" s="11" t="n">
        <v>46134</v>
      </c>
      <c r="I42" s="12" t="n">
        <v>4000</v>
      </c>
      <c r="J42" s="12" t="n">
        <v>504</v>
      </c>
      <c r="K42" s="13" t="n">
        <v>83.19024</v>
      </c>
      <c r="L42" s="12" t="n">
        <v>504</v>
      </c>
      <c r="M42" s="13" t="n">
        <v>83.19024</v>
      </c>
      <c r="N42" s="12" t="n">
        <f aca="false">IF(H42="","",$C$3-H42)</f>
        <v>103</v>
      </c>
      <c r="O42" s="9" t="str">
        <f aca="false">IF(AND(L42&lt;=$C$4,M42&lt;=$E$4),"&lt;=150pc &amp; &lt;=10kg",IF(N42="","TANPA TGL",IF(N42&lt;=5,"&lt;= 5 HARI",IF(N42&lt;=7,"&lt;= 7 HARI",IF(N42&lt;=14,"&lt;= 14 HARI","&gt; 14 HARI")))))</f>
        <v>&gt; 14 HARI</v>
      </c>
      <c r="P42" s="9" t="s">
        <v>64</v>
      </c>
      <c r="Q42" s="9" t="s">
        <v>133</v>
      </c>
      <c r="R42" s="9" t="s">
        <v>134</v>
      </c>
    </row>
    <row r="43" customFormat="false" ht="15" hidden="false" customHeight="false" outlineLevel="0" collapsed="false">
      <c r="A43" s="9" t="n">
        <v>38</v>
      </c>
      <c r="B43" s="9" t="s">
        <v>205</v>
      </c>
      <c r="C43" s="9" t="s">
        <v>217</v>
      </c>
      <c r="D43" s="9" t="s">
        <v>218</v>
      </c>
      <c r="E43" s="10" t="n">
        <v>0.31728</v>
      </c>
      <c r="F43" s="9" t="s">
        <v>219</v>
      </c>
      <c r="G43" s="9" t="s">
        <v>220</v>
      </c>
      <c r="H43" s="11" t="n">
        <v>46221</v>
      </c>
      <c r="I43" s="12" t="n">
        <v>4000</v>
      </c>
      <c r="J43" s="12" t="n">
        <v>1706</v>
      </c>
      <c r="K43" s="13" t="n">
        <v>541.27968</v>
      </c>
      <c r="L43" s="12" t="n">
        <v>306</v>
      </c>
      <c r="M43" s="13" t="n">
        <v>97.08768</v>
      </c>
      <c r="N43" s="12" t="n">
        <f aca="false">IF(H43="","",$C$3-H43)</f>
        <v>16</v>
      </c>
      <c r="O43" s="9" t="str">
        <f aca="false">IF(AND(L43&lt;=$C$4,M43&lt;=$E$4),"&lt;=150pc &amp; &lt;=10kg",IF(N43="","TANPA TGL",IF(N43&lt;=5,"&lt;= 5 HARI",IF(N43&lt;=7,"&lt;= 7 HARI",IF(N43&lt;=14,"&lt;= 14 HARI","&gt; 14 HARI")))))</f>
        <v>&gt; 14 HARI</v>
      </c>
      <c r="P43" s="9" t="s">
        <v>64</v>
      </c>
      <c r="Q43" s="9" t="s">
        <v>133</v>
      </c>
      <c r="R43" s="9" t="s">
        <v>134</v>
      </c>
    </row>
    <row r="44" customFormat="false" ht="15" hidden="false" customHeight="false" outlineLevel="0" collapsed="false">
      <c r="A44" s="9" t="n">
        <v>39</v>
      </c>
      <c r="B44" s="9" t="s">
        <v>205</v>
      </c>
      <c r="C44" s="9" t="s">
        <v>221</v>
      </c>
      <c r="D44" s="9" t="s">
        <v>222</v>
      </c>
      <c r="E44" s="10" t="n">
        <v>0.1764</v>
      </c>
      <c r="F44" s="9" t="s">
        <v>223</v>
      </c>
      <c r="G44" s="9" t="s">
        <v>220</v>
      </c>
      <c r="H44" s="11" t="n">
        <v>46214</v>
      </c>
      <c r="I44" s="12" t="n">
        <v>4000</v>
      </c>
      <c r="J44" s="12" t="n">
        <v>1605</v>
      </c>
      <c r="K44" s="13" t="n">
        <v>283.122</v>
      </c>
      <c r="L44" s="12" t="n">
        <v>205</v>
      </c>
      <c r="M44" s="13" t="n">
        <v>36.162</v>
      </c>
      <c r="N44" s="12" t="n">
        <f aca="false">IF(H44="","",$C$3-H44)</f>
        <v>23</v>
      </c>
      <c r="O44" s="9" t="str">
        <f aca="false">IF(AND(L44&lt;=$C$4,M44&lt;=$E$4),"&lt;=150pc &amp; &lt;=10kg",IF(N44="","TANPA TGL",IF(N44&lt;=5,"&lt;= 5 HARI",IF(N44&lt;=7,"&lt;= 7 HARI",IF(N44&lt;=14,"&lt;= 14 HARI","&gt; 14 HARI")))))</f>
        <v>&gt; 14 HARI</v>
      </c>
      <c r="P44" s="9" t="s">
        <v>64</v>
      </c>
      <c r="Q44" s="9" t="s">
        <v>133</v>
      </c>
      <c r="R44" s="9" t="s">
        <v>134</v>
      </c>
    </row>
    <row r="45" customFormat="false" ht="15" hidden="false" customHeight="false" outlineLevel="0" collapsed="false">
      <c r="A45" s="9" t="n">
        <v>40</v>
      </c>
      <c r="B45" s="9" t="s">
        <v>224</v>
      </c>
      <c r="C45" s="9" t="s">
        <v>225</v>
      </c>
      <c r="D45" s="9" t="s">
        <v>226</v>
      </c>
      <c r="E45" s="10" t="n">
        <v>1.66664</v>
      </c>
      <c r="F45" s="9" t="s">
        <v>227</v>
      </c>
      <c r="G45" s="9" t="s">
        <v>228</v>
      </c>
      <c r="H45" s="11" t="n">
        <v>46206</v>
      </c>
      <c r="I45" s="12" t="n">
        <v>1000</v>
      </c>
      <c r="J45" s="12" t="n">
        <v>1000</v>
      </c>
      <c r="K45" s="13" t="n">
        <v>1666.64</v>
      </c>
      <c r="L45" s="12" t="n">
        <v>1000</v>
      </c>
      <c r="M45" s="13" t="n">
        <v>1666.64</v>
      </c>
      <c r="N45" s="12" t="n">
        <f aca="false">IF(H45="","",$C$3-H45)</f>
        <v>31</v>
      </c>
      <c r="O45" s="9" t="str">
        <f aca="false">IF(AND(L45&lt;=$C$4,M45&lt;=$E$4),"&lt;=150pc &amp; &lt;=10kg",IF(N45="","TANPA TGL",IF(N45&lt;=5,"&lt;= 5 HARI",IF(N45&lt;=7,"&lt;= 7 HARI",IF(N45&lt;=14,"&lt;= 14 HARI","&gt; 14 HARI")))))</f>
        <v>&gt; 14 HARI</v>
      </c>
      <c r="P45" s="9" t="s">
        <v>64</v>
      </c>
      <c r="Q45" s="9" t="s">
        <v>57</v>
      </c>
      <c r="R45" s="9" t="s">
        <v>58</v>
      </c>
    </row>
    <row r="46" customFormat="false" ht="15" hidden="false" customHeight="false" outlineLevel="0" collapsed="false">
      <c r="A46" s="9" t="n">
        <v>41</v>
      </c>
      <c r="B46" s="9" t="s">
        <v>224</v>
      </c>
      <c r="C46" s="9" t="s">
        <v>229</v>
      </c>
      <c r="D46" s="9" t="s">
        <v>230</v>
      </c>
      <c r="E46" s="10" t="n">
        <v>2.27376</v>
      </c>
      <c r="F46" s="9" t="s">
        <v>231</v>
      </c>
      <c r="G46" s="9" t="s">
        <v>232</v>
      </c>
      <c r="H46" s="11" t="n">
        <v>46236</v>
      </c>
      <c r="I46" s="12" t="n">
        <v>1000</v>
      </c>
      <c r="J46" s="12" t="n">
        <v>0</v>
      </c>
      <c r="K46" s="13" t="n">
        <v>0</v>
      </c>
      <c r="L46" s="12" t="n">
        <v>1024</v>
      </c>
      <c r="M46" s="13" t="n">
        <v>2328.33024</v>
      </c>
      <c r="N46" s="12" t="n">
        <f aca="false">IF(H46="","",$C$3-H46)</f>
        <v>1</v>
      </c>
      <c r="O46" s="9" t="str">
        <f aca="false">IF(AND(L46&lt;=$C$4,M46&lt;=$E$4),"&lt;=150pc &amp; &lt;=10kg",IF(N46="","TANPA TGL",IF(N46&lt;=5,"&lt;= 5 HARI",IF(N46&lt;=7,"&lt;= 7 HARI",IF(N46&lt;=14,"&lt;= 14 HARI","&gt; 14 HARI")))))</f>
        <v>&lt;= 5 HARI</v>
      </c>
      <c r="P46" s="9"/>
      <c r="Q46" s="9" t="s">
        <v>57</v>
      </c>
      <c r="R46" s="9" t="s">
        <v>58</v>
      </c>
    </row>
    <row r="47" customFormat="false" ht="15" hidden="false" customHeight="false" outlineLevel="0" collapsed="false">
      <c r="A47" s="9" t="n">
        <v>42</v>
      </c>
      <c r="B47" s="9" t="s">
        <v>233</v>
      </c>
      <c r="C47" s="9" t="s">
        <v>234</v>
      </c>
      <c r="D47" s="9" t="s">
        <v>235</v>
      </c>
      <c r="E47" s="10" t="n">
        <v>1.12671</v>
      </c>
      <c r="F47" s="9" t="s">
        <v>236</v>
      </c>
      <c r="G47" s="9" t="s">
        <v>237</v>
      </c>
      <c r="H47" s="11" t="n">
        <v>46234</v>
      </c>
      <c r="I47" s="12" t="n">
        <v>3000</v>
      </c>
      <c r="J47" s="12" t="n">
        <v>3150</v>
      </c>
      <c r="K47" s="13" t="n">
        <v>3549.1365</v>
      </c>
      <c r="L47" s="12" t="n">
        <v>0</v>
      </c>
      <c r="M47" s="13" t="n">
        <v>0</v>
      </c>
      <c r="N47" s="12" t="n">
        <f aca="false">IF(H47="","",$C$3-H47)</f>
        <v>3</v>
      </c>
      <c r="O47" s="9" t="str">
        <f aca="false">IF(AND(L47&lt;=$C$4,M47&lt;=$E$4),"&lt;=150pc &amp; &lt;=10kg",IF(N47="","TANPA TGL",IF(N47&lt;=5,"&lt;= 5 HARI",IF(N47&lt;=7,"&lt;= 7 HARI",IF(N47&lt;=14,"&lt;= 14 HARI","&gt; 14 HARI")))))</f>
        <v>&lt;=150pc &amp; &lt;=10kg</v>
      </c>
      <c r="P47" s="9"/>
      <c r="Q47" s="9" t="s">
        <v>238</v>
      </c>
      <c r="R47" s="9" t="s">
        <v>239</v>
      </c>
    </row>
    <row r="48" customFormat="false" ht="15" hidden="false" customHeight="false" outlineLevel="0" collapsed="false">
      <c r="A48" s="9" t="n">
        <v>43</v>
      </c>
      <c r="B48" s="9" t="s">
        <v>240</v>
      </c>
      <c r="C48" s="9" t="s">
        <v>241</v>
      </c>
      <c r="D48" s="9" t="s">
        <v>242</v>
      </c>
      <c r="E48" s="10" t="n">
        <v>0.2162</v>
      </c>
      <c r="F48" s="9" t="s">
        <v>243</v>
      </c>
      <c r="G48" s="9" t="s">
        <v>244</v>
      </c>
      <c r="H48" s="11" t="n">
        <v>46080</v>
      </c>
      <c r="I48" s="12" t="n">
        <v>48000</v>
      </c>
      <c r="J48" s="12" t="n">
        <v>1980</v>
      </c>
      <c r="K48" s="13" t="n">
        <v>428.076</v>
      </c>
      <c r="L48" s="12" t="n">
        <v>1980</v>
      </c>
      <c r="M48" s="13" t="n">
        <v>428.076</v>
      </c>
      <c r="N48" s="12" t="n">
        <f aca="false">IF(H48="","",$C$3-H48)</f>
        <v>157</v>
      </c>
      <c r="O48" s="9" t="str">
        <f aca="false">IF(AND(L48&lt;=$C$4,M48&lt;=$E$4),"&lt;=150pc &amp; &lt;=10kg",IF(N48="","TANPA TGL",IF(N48&lt;=5,"&lt;= 5 HARI",IF(N48&lt;=7,"&lt;= 7 HARI",IF(N48&lt;=14,"&lt;= 14 HARI","&gt; 14 HARI")))))</f>
        <v>&gt; 14 HARI</v>
      </c>
      <c r="P48" s="9" t="s">
        <v>51</v>
      </c>
      <c r="Q48" s="9" t="s">
        <v>238</v>
      </c>
      <c r="R48" s="9" t="s">
        <v>45</v>
      </c>
    </row>
    <row r="49" customFormat="false" ht="15" hidden="false" customHeight="false" outlineLevel="0" collapsed="false">
      <c r="A49" s="9" t="n">
        <v>44</v>
      </c>
      <c r="B49" s="9" t="s">
        <v>240</v>
      </c>
      <c r="C49" s="9" t="s">
        <v>241</v>
      </c>
      <c r="D49" s="9" t="s">
        <v>242</v>
      </c>
      <c r="E49" s="10" t="n">
        <v>0.21765</v>
      </c>
      <c r="F49" s="9" t="s">
        <v>245</v>
      </c>
      <c r="G49" s="9" t="s">
        <v>246</v>
      </c>
      <c r="H49" s="11" t="n">
        <v>46210</v>
      </c>
      <c r="I49" s="12" t="n">
        <v>41320</v>
      </c>
      <c r="J49" s="12" t="n">
        <v>2000</v>
      </c>
      <c r="K49" s="13" t="n">
        <v>435.3</v>
      </c>
      <c r="L49" s="12" t="n">
        <v>2000</v>
      </c>
      <c r="M49" s="13" t="n">
        <v>435.3</v>
      </c>
      <c r="N49" s="12" t="n">
        <f aca="false">IF(H49="","",$C$3-H49)</f>
        <v>27</v>
      </c>
      <c r="O49" s="9" t="str">
        <f aca="false">IF(AND(L49&lt;=$C$4,M49&lt;=$E$4),"&lt;=150pc &amp; &lt;=10kg",IF(N49="","TANPA TGL",IF(N49&lt;=5,"&lt;= 5 HARI",IF(N49&lt;=7,"&lt;= 7 HARI",IF(N49&lt;=14,"&lt;= 14 HARI","&gt; 14 HARI")))))</f>
        <v>&gt; 14 HARI</v>
      </c>
      <c r="P49" s="9" t="s">
        <v>51</v>
      </c>
      <c r="Q49" s="9" t="s">
        <v>238</v>
      </c>
      <c r="R49" s="9" t="s">
        <v>45</v>
      </c>
    </row>
    <row r="50" customFormat="false" ht="15" hidden="false" customHeight="false" outlineLevel="0" collapsed="false">
      <c r="A50" s="9" t="n">
        <v>45</v>
      </c>
      <c r="B50" s="9" t="s">
        <v>247</v>
      </c>
      <c r="C50" s="9" t="s">
        <v>248</v>
      </c>
      <c r="D50" s="9" t="s">
        <v>249</v>
      </c>
      <c r="E50" s="10" t="n">
        <v>0.87434</v>
      </c>
      <c r="F50" s="9" t="s">
        <v>250</v>
      </c>
      <c r="G50" s="9" t="s">
        <v>251</v>
      </c>
      <c r="H50" s="11" t="n">
        <v>46234</v>
      </c>
      <c r="I50" s="12" t="n">
        <v>3000</v>
      </c>
      <c r="J50" s="12" t="n">
        <v>3000</v>
      </c>
      <c r="K50" s="13" t="n">
        <v>2623.02</v>
      </c>
      <c r="L50" s="12" t="n">
        <v>0</v>
      </c>
      <c r="M50" s="13" t="n">
        <v>0</v>
      </c>
      <c r="N50" s="12" t="n">
        <f aca="false">IF(H50="","",$C$3-H50)</f>
        <v>3</v>
      </c>
      <c r="O50" s="9" t="str">
        <f aca="false">IF(AND(L50&lt;=$C$4,M50&lt;=$E$4),"&lt;=150pc &amp; &lt;=10kg",IF(N50="","TANPA TGL",IF(N50&lt;=5,"&lt;= 5 HARI",IF(N50&lt;=7,"&lt;= 7 HARI",IF(N50&lt;=14,"&lt;= 14 HARI","&gt; 14 HARI")))))</f>
        <v>&lt;=150pc &amp; &lt;=10kg</v>
      </c>
      <c r="P50" s="9"/>
      <c r="Q50" s="9" t="s">
        <v>30</v>
      </c>
      <c r="R50" s="9" t="s">
        <v>31</v>
      </c>
    </row>
    <row r="51" customFormat="false" ht="15" hidden="false" customHeight="false" outlineLevel="0" collapsed="false">
      <c r="A51" s="9" t="n">
        <v>46</v>
      </c>
      <c r="B51" s="9" t="s">
        <v>252</v>
      </c>
      <c r="C51" s="9" t="s">
        <v>253</v>
      </c>
      <c r="D51" s="9" t="s">
        <v>254</v>
      </c>
      <c r="E51" s="10" t="n">
        <v>0.63237</v>
      </c>
      <c r="F51" s="9" t="s">
        <v>255</v>
      </c>
      <c r="G51" s="9" t="s">
        <v>256</v>
      </c>
      <c r="H51" s="11" t="n">
        <v>46217</v>
      </c>
      <c r="I51" s="12" t="n">
        <v>15000</v>
      </c>
      <c r="J51" s="12" t="n">
        <v>360</v>
      </c>
      <c r="K51" s="13" t="n">
        <v>227.6532</v>
      </c>
      <c r="L51" s="12" t="n">
        <v>360</v>
      </c>
      <c r="M51" s="13" t="n">
        <v>227.6532</v>
      </c>
      <c r="N51" s="12" t="n">
        <f aca="false">IF(H51="","",$C$3-H51)</f>
        <v>20</v>
      </c>
      <c r="O51" s="9" t="str">
        <f aca="false">IF(AND(L51&lt;=$C$4,M51&lt;=$E$4),"&lt;=150pc &amp; &lt;=10kg",IF(N51="","TANPA TGL",IF(N51&lt;=5,"&lt;= 5 HARI",IF(N51&lt;=7,"&lt;= 7 HARI",IF(N51&lt;=14,"&lt;= 14 HARI","&gt; 14 HARI")))))</f>
        <v>&gt; 14 HARI</v>
      </c>
      <c r="P51" s="9" t="s">
        <v>77</v>
      </c>
      <c r="Q51" s="9" t="s">
        <v>107</v>
      </c>
      <c r="R51" s="9" t="s">
        <v>58</v>
      </c>
    </row>
    <row r="52" customFormat="false" ht="15" hidden="false" customHeight="false" outlineLevel="0" collapsed="false">
      <c r="A52" s="9" t="n">
        <v>47</v>
      </c>
      <c r="B52" s="9" t="s">
        <v>257</v>
      </c>
      <c r="C52" s="9" t="s">
        <v>258</v>
      </c>
      <c r="D52" s="9" t="s">
        <v>259</v>
      </c>
      <c r="E52" s="10" t="n">
        <v>0.39059</v>
      </c>
      <c r="F52" s="9" t="s">
        <v>260</v>
      </c>
      <c r="G52" s="9" t="s">
        <v>261</v>
      </c>
      <c r="H52" s="11" t="n">
        <v>46163</v>
      </c>
      <c r="I52" s="12" t="n">
        <v>20000</v>
      </c>
      <c r="J52" s="12" t="n">
        <v>120</v>
      </c>
      <c r="K52" s="13" t="n">
        <v>46.8708</v>
      </c>
      <c r="L52" s="12" t="n">
        <v>120</v>
      </c>
      <c r="M52" s="13" t="n">
        <v>46.8708</v>
      </c>
      <c r="N52" s="12" t="n">
        <f aca="false">IF(H52="","",$C$3-H52)</f>
        <v>74</v>
      </c>
      <c r="O52" s="9" t="str">
        <f aca="false">IF(AND(L52&lt;=$C$4,M52&lt;=$E$4),"&lt;=150pc &amp; &lt;=10kg",IF(N52="","TANPA TGL",IF(N52&lt;=5,"&lt;= 5 HARI",IF(N52&lt;=7,"&lt;= 7 HARI",IF(N52&lt;=14,"&lt;= 14 HARI","&gt; 14 HARI")))))</f>
        <v>&gt; 14 HARI</v>
      </c>
      <c r="P52" s="9" t="s">
        <v>144</v>
      </c>
      <c r="Q52" s="9" t="s">
        <v>107</v>
      </c>
      <c r="R52" s="9" t="s">
        <v>58</v>
      </c>
    </row>
    <row r="53" customFormat="false" ht="15" hidden="false" customHeight="false" outlineLevel="0" collapsed="false">
      <c r="A53" s="9" t="n">
        <v>48</v>
      </c>
      <c r="B53" s="9" t="s">
        <v>257</v>
      </c>
      <c r="C53" s="9" t="s">
        <v>262</v>
      </c>
      <c r="D53" s="9" t="s">
        <v>263</v>
      </c>
      <c r="E53" s="10" t="n">
        <v>0.42938</v>
      </c>
      <c r="F53" s="9" t="s">
        <v>264</v>
      </c>
      <c r="G53" s="9" t="s">
        <v>265</v>
      </c>
      <c r="H53" s="11" t="n">
        <v>46234</v>
      </c>
      <c r="I53" s="12" t="n">
        <v>40000</v>
      </c>
      <c r="J53" s="12" t="n">
        <v>5250</v>
      </c>
      <c r="K53" s="13" t="n">
        <v>2254.245</v>
      </c>
      <c r="L53" s="12" t="n">
        <v>0</v>
      </c>
      <c r="M53" s="13" t="n">
        <v>0</v>
      </c>
      <c r="N53" s="12" t="n">
        <f aca="false">IF(H53="","",$C$3-H53)</f>
        <v>3</v>
      </c>
      <c r="O53" s="9" t="str">
        <f aca="false">IF(AND(L53&lt;=$C$4,M53&lt;=$E$4),"&lt;=150pc &amp; &lt;=10kg",IF(N53="","TANPA TGL",IF(N53&lt;=5,"&lt;= 5 HARI",IF(N53&lt;=7,"&lt;= 7 HARI",IF(N53&lt;=14,"&lt;= 14 HARI","&gt; 14 HARI")))))</f>
        <v>&lt;=150pc &amp; &lt;=10kg</v>
      </c>
      <c r="P53" s="9"/>
      <c r="Q53" s="9" t="s">
        <v>107</v>
      </c>
      <c r="R53" s="9" t="s">
        <v>58</v>
      </c>
    </row>
    <row r="54" customFormat="false" ht="15" hidden="false" customHeight="false" outlineLevel="0" collapsed="false">
      <c r="A54" s="9" t="n">
        <v>49</v>
      </c>
      <c r="B54" s="9" t="s">
        <v>257</v>
      </c>
      <c r="C54" s="9" t="s">
        <v>266</v>
      </c>
      <c r="D54" s="9" t="s">
        <v>267</v>
      </c>
      <c r="E54" s="10" t="n">
        <v>0.42552</v>
      </c>
      <c r="F54" s="9" t="s">
        <v>268</v>
      </c>
      <c r="G54" s="9" t="s">
        <v>269</v>
      </c>
      <c r="H54" s="11" t="n">
        <v>46234</v>
      </c>
      <c r="I54" s="12" t="n">
        <v>10000</v>
      </c>
      <c r="J54" s="12" t="n">
        <v>5290</v>
      </c>
      <c r="K54" s="13" t="n">
        <v>2251.0008</v>
      </c>
      <c r="L54" s="12" t="n">
        <v>0</v>
      </c>
      <c r="M54" s="13" t="n">
        <v>0</v>
      </c>
      <c r="N54" s="12" t="n">
        <f aca="false">IF(H54="","",$C$3-H54)</f>
        <v>3</v>
      </c>
      <c r="O54" s="9" t="str">
        <f aca="false">IF(AND(L54&lt;=$C$4,M54&lt;=$E$4),"&lt;=150pc &amp; &lt;=10kg",IF(N54="","TANPA TGL",IF(N54&lt;=5,"&lt;= 5 HARI",IF(N54&lt;=7,"&lt;= 7 HARI",IF(N54&lt;=14,"&lt;= 14 HARI","&gt; 14 HARI")))))</f>
        <v>&lt;=150pc &amp; &lt;=10kg</v>
      </c>
      <c r="P54" s="9"/>
      <c r="Q54" s="9" t="s">
        <v>107</v>
      </c>
      <c r="R54" s="9" t="s">
        <v>58</v>
      </c>
    </row>
    <row r="55" customFormat="false" ht="15" hidden="false" customHeight="false" outlineLevel="0" collapsed="false">
      <c r="A55" s="9" t="n">
        <v>50</v>
      </c>
      <c r="B55" s="9" t="s">
        <v>270</v>
      </c>
      <c r="C55" s="9" t="s">
        <v>271</v>
      </c>
      <c r="D55" s="9" t="s">
        <v>272</v>
      </c>
      <c r="E55" s="10" t="n">
        <v>0.52755</v>
      </c>
      <c r="F55" s="9" t="s">
        <v>273</v>
      </c>
      <c r="G55" s="9" t="s">
        <v>274</v>
      </c>
      <c r="H55" s="11" t="n">
        <v>46229</v>
      </c>
      <c r="I55" s="12" t="n">
        <v>2500</v>
      </c>
      <c r="J55" s="12" t="n">
        <v>125</v>
      </c>
      <c r="K55" s="13" t="n">
        <v>65.94375</v>
      </c>
      <c r="L55" s="12" t="n">
        <v>125</v>
      </c>
      <c r="M55" s="13" t="n">
        <v>65.94375</v>
      </c>
      <c r="N55" s="12" t="n">
        <f aca="false">IF(H55="","",$C$3-H55)</f>
        <v>8</v>
      </c>
      <c r="O55" s="9" t="str">
        <f aca="false">IF(AND(L55&lt;=$C$4,M55&lt;=$E$4),"&lt;=150pc &amp; &lt;=10kg",IF(N55="","TANPA TGL",IF(N55&lt;=5,"&lt;= 5 HARI",IF(N55&lt;=7,"&lt;= 7 HARI",IF(N55&lt;=14,"&lt;= 14 HARI","&gt; 14 HARI")))))</f>
        <v>&lt;= 14 HARI</v>
      </c>
      <c r="P55" s="9" t="s">
        <v>144</v>
      </c>
      <c r="Q55" s="9" t="s">
        <v>57</v>
      </c>
      <c r="R55" s="9" t="s">
        <v>58</v>
      </c>
    </row>
    <row r="56" customFormat="false" ht="15" hidden="false" customHeight="false" outlineLevel="0" collapsed="false">
      <c r="A56" s="9" t="n">
        <v>51</v>
      </c>
      <c r="B56" s="9" t="s">
        <v>275</v>
      </c>
      <c r="C56" s="9" t="s">
        <v>276</v>
      </c>
      <c r="D56" s="9" t="s">
        <v>277</v>
      </c>
      <c r="E56" s="10" t="n">
        <v>0.52755</v>
      </c>
      <c r="F56" s="9" t="s">
        <v>278</v>
      </c>
      <c r="G56" s="9" t="s">
        <v>279</v>
      </c>
      <c r="H56" s="11" t="n">
        <v>46229</v>
      </c>
      <c r="I56" s="12" t="n">
        <v>15000</v>
      </c>
      <c r="J56" s="12" t="n">
        <v>1150</v>
      </c>
      <c r="K56" s="13" t="n">
        <v>606.6825</v>
      </c>
      <c r="L56" s="12" t="n">
        <v>1150</v>
      </c>
      <c r="M56" s="13" t="n">
        <v>606.6825</v>
      </c>
      <c r="N56" s="12" t="n">
        <f aca="false">IF(H56="","",$C$3-H56)</f>
        <v>8</v>
      </c>
      <c r="O56" s="9" t="str">
        <f aca="false">IF(AND(L56&lt;=$C$4,M56&lt;=$E$4),"&lt;=150pc &amp; &lt;=10kg",IF(N56="","TANPA TGL",IF(N56&lt;=5,"&lt;= 5 HARI",IF(N56&lt;=7,"&lt;= 7 HARI",IF(N56&lt;=14,"&lt;= 14 HARI","&gt; 14 HARI")))))</f>
        <v>&lt;= 14 HARI</v>
      </c>
      <c r="P56" s="9" t="s">
        <v>144</v>
      </c>
      <c r="Q56" s="9" t="s">
        <v>57</v>
      </c>
      <c r="R56" s="9" t="s">
        <v>280</v>
      </c>
    </row>
    <row r="57" customFormat="false" ht="15" hidden="false" customHeight="false" outlineLevel="0" collapsed="false">
      <c r="A57" s="9" t="n">
        <v>52</v>
      </c>
      <c r="B57" s="9" t="s">
        <v>275</v>
      </c>
      <c r="C57" s="9" t="s">
        <v>281</v>
      </c>
      <c r="D57" s="9" t="s">
        <v>282</v>
      </c>
      <c r="E57" s="10" t="n">
        <v>0.17943</v>
      </c>
      <c r="F57" s="9" t="s">
        <v>283</v>
      </c>
      <c r="G57" s="9" t="s">
        <v>279</v>
      </c>
      <c r="H57" s="11" t="n">
        <v>46230</v>
      </c>
      <c r="I57" s="12" t="n">
        <v>15000</v>
      </c>
      <c r="J57" s="12" t="n">
        <v>1150</v>
      </c>
      <c r="K57" s="13" t="n">
        <v>206.3445</v>
      </c>
      <c r="L57" s="12" t="n">
        <v>1150</v>
      </c>
      <c r="M57" s="13" t="n">
        <v>206.3445</v>
      </c>
      <c r="N57" s="12" t="n">
        <f aca="false">IF(H57="","",$C$3-H57)</f>
        <v>7</v>
      </c>
      <c r="O57" s="9" t="str">
        <f aca="false">IF(AND(L57&lt;=$C$4,M57&lt;=$E$4),"&lt;=150pc &amp; &lt;=10kg",IF(N57="","TANPA TGL",IF(N57&lt;=5,"&lt;= 5 HARI",IF(N57&lt;=7,"&lt;= 7 HARI",IF(N57&lt;=14,"&lt;= 14 HARI","&gt; 14 HARI")))))</f>
        <v>&lt;= 7 HARI</v>
      </c>
      <c r="P57" s="9" t="s">
        <v>144</v>
      </c>
      <c r="Q57" s="9" t="s">
        <v>57</v>
      </c>
      <c r="R57" s="9" t="s">
        <v>280</v>
      </c>
    </row>
    <row r="58" customFormat="false" ht="15" hidden="false" customHeight="false" outlineLevel="0" collapsed="false">
      <c r="A58" s="9" t="n">
        <v>53</v>
      </c>
      <c r="B58" s="9" t="s">
        <v>284</v>
      </c>
      <c r="C58" s="9" t="s">
        <v>285</v>
      </c>
      <c r="D58" s="9" t="s">
        <v>286</v>
      </c>
      <c r="E58" s="10" t="n">
        <v>0.73278</v>
      </c>
      <c r="F58" s="9" t="s">
        <v>287</v>
      </c>
      <c r="G58" s="9" t="s">
        <v>288</v>
      </c>
      <c r="H58" s="11" t="n">
        <v>46199</v>
      </c>
      <c r="I58" s="12" t="n">
        <v>8000</v>
      </c>
      <c r="J58" s="12" t="n">
        <v>1000</v>
      </c>
      <c r="K58" s="13" t="n">
        <v>732.78</v>
      </c>
      <c r="L58" s="12" t="n">
        <v>1000</v>
      </c>
      <c r="M58" s="13" t="n">
        <v>732.78</v>
      </c>
      <c r="N58" s="12" t="n">
        <f aca="false">IF(H58="","",$C$3-H58)</f>
        <v>38</v>
      </c>
      <c r="O58" s="9" t="str">
        <f aca="false">IF(AND(L58&lt;=$C$4,M58&lt;=$E$4),"&lt;=150pc &amp; &lt;=10kg",IF(N58="","TANPA TGL",IF(N58&lt;=5,"&lt;= 5 HARI",IF(N58&lt;=7,"&lt;= 7 HARI",IF(N58&lt;=14,"&lt;= 14 HARI","&gt; 14 HARI")))))</f>
        <v>&gt; 14 HARI</v>
      </c>
      <c r="P58" s="9" t="s">
        <v>64</v>
      </c>
      <c r="Q58" s="9" t="s">
        <v>107</v>
      </c>
      <c r="R58" s="9" t="s">
        <v>239</v>
      </c>
    </row>
    <row r="59" customFormat="false" ht="15" hidden="false" customHeight="false" outlineLevel="0" collapsed="false">
      <c r="A59" s="9" t="n">
        <v>54</v>
      </c>
      <c r="B59" s="9" t="s">
        <v>289</v>
      </c>
      <c r="C59" s="9" t="s">
        <v>290</v>
      </c>
      <c r="D59" s="9" t="s">
        <v>291</v>
      </c>
      <c r="E59" s="10" t="n">
        <v>0.58663</v>
      </c>
      <c r="F59" s="9" t="s">
        <v>292</v>
      </c>
      <c r="G59" s="9" t="s">
        <v>293</v>
      </c>
      <c r="H59" s="11" t="n">
        <v>46224</v>
      </c>
      <c r="I59" s="12" t="n">
        <v>3000</v>
      </c>
      <c r="J59" s="12" t="n">
        <v>100</v>
      </c>
      <c r="K59" s="13" t="n">
        <v>58.663</v>
      </c>
      <c r="L59" s="12" t="n">
        <v>100</v>
      </c>
      <c r="M59" s="13" t="n">
        <v>58.663</v>
      </c>
      <c r="N59" s="12" t="n">
        <f aca="false">IF(H59="","",$C$3-H59)</f>
        <v>13</v>
      </c>
      <c r="O59" s="9" t="str">
        <f aca="false">IF(AND(L59&lt;=$C$4,M59&lt;=$E$4),"&lt;=150pc &amp; &lt;=10kg",IF(N59="","TANPA TGL",IF(N59&lt;=5,"&lt;= 5 HARI",IF(N59&lt;=7,"&lt;= 7 HARI",IF(N59&lt;=14,"&lt;= 14 HARI","&gt; 14 HARI")))))</f>
        <v>&lt;= 14 HARI</v>
      </c>
      <c r="P59" s="9"/>
      <c r="Q59" s="9" t="s">
        <v>65</v>
      </c>
      <c r="R59" s="9" t="s">
        <v>78</v>
      </c>
    </row>
    <row r="60" customFormat="false" ht="15" hidden="false" customHeight="false" outlineLevel="0" collapsed="false">
      <c r="A60" s="9" t="n">
        <v>55</v>
      </c>
      <c r="B60" s="9" t="s">
        <v>294</v>
      </c>
      <c r="C60" s="9" t="s">
        <v>295</v>
      </c>
      <c r="D60" s="9" t="s">
        <v>296</v>
      </c>
      <c r="E60" s="10" t="n">
        <v>0.21773</v>
      </c>
      <c r="F60" s="9" t="s">
        <v>297</v>
      </c>
      <c r="G60" s="9" t="s">
        <v>298</v>
      </c>
      <c r="H60" s="11" t="n">
        <v>46234</v>
      </c>
      <c r="I60" s="12" t="n">
        <v>25000</v>
      </c>
      <c r="J60" s="12" t="n">
        <v>0</v>
      </c>
      <c r="K60" s="13" t="n">
        <v>0</v>
      </c>
      <c r="L60" s="12" t="n">
        <v>900</v>
      </c>
      <c r="M60" s="13" t="n">
        <v>195.957</v>
      </c>
      <c r="N60" s="12" t="n">
        <f aca="false">IF(H60="","",$C$3-H60)</f>
        <v>3</v>
      </c>
      <c r="O60" s="9" t="str">
        <f aca="false">IF(AND(L60&lt;=$C$4,M60&lt;=$E$4),"&lt;=150pc &amp; &lt;=10kg",IF(N60="","TANPA TGL",IF(N60&lt;=5,"&lt;= 5 HARI",IF(N60&lt;=7,"&lt;= 7 HARI",IF(N60&lt;=14,"&lt;= 14 HARI","&gt; 14 HARI")))))</f>
        <v>&lt;= 5 HARI</v>
      </c>
      <c r="P60" s="9"/>
      <c r="Q60" s="9" t="s">
        <v>44</v>
      </c>
      <c r="R60" s="9" t="s">
        <v>45</v>
      </c>
    </row>
    <row r="61" customFormat="false" ht="15" hidden="false" customHeight="false" outlineLevel="0" collapsed="false">
      <c r="A61" s="9" t="n">
        <v>56</v>
      </c>
      <c r="B61" s="9" t="s">
        <v>299</v>
      </c>
      <c r="C61" s="9" t="s">
        <v>300</v>
      </c>
      <c r="D61" s="9" t="s">
        <v>301</v>
      </c>
      <c r="E61" s="10" t="n">
        <v>0.18048</v>
      </c>
      <c r="F61" s="9" t="s">
        <v>302</v>
      </c>
      <c r="G61" s="9" t="s">
        <v>303</v>
      </c>
      <c r="H61" s="11" t="n">
        <v>46226</v>
      </c>
      <c r="I61" s="12" t="n">
        <v>10000</v>
      </c>
      <c r="J61" s="12" t="n">
        <v>2860</v>
      </c>
      <c r="K61" s="13" t="n">
        <v>516.1728</v>
      </c>
      <c r="L61" s="12" t="n">
        <v>800</v>
      </c>
      <c r="M61" s="13" t="n">
        <v>144.384</v>
      </c>
      <c r="N61" s="12" t="n">
        <f aca="false">IF(H61="","",$C$3-H61)</f>
        <v>11</v>
      </c>
      <c r="O61" s="9" t="str">
        <f aca="false">IF(AND(L61&lt;=$C$4,M61&lt;=$E$4),"&lt;=150pc &amp; &lt;=10kg",IF(N61="","TANPA TGL",IF(N61&lt;=5,"&lt;= 5 HARI",IF(N61&lt;=7,"&lt;= 7 HARI",IF(N61&lt;=14,"&lt;= 14 HARI","&gt; 14 HARI")))))</f>
        <v>&lt;= 14 HARI</v>
      </c>
      <c r="P61" s="9" t="s">
        <v>144</v>
      </c>
      <c r="Q61" s="9" t="s">
        <v>57</v>
      </c>
      <c r="R61" s="9" t="s">
        <v>280</v>
      </c>
    </row>
    <row r="62" customFormat="false" ht="15" hidden="false" customHeight="false" outlineLevel="0" collapsed="false">
      <c r="A62" s="9" t="n">
        <v>57</v>
      </c>
      <c r="B62" s="9" t="s">
        <v>304</v>
      </c>
      <c r="C62" s="9" t="s">
        <v>305</v>
      </c>
      <c r="D62" s="9" t="s">
        <v>306</v>
      </c>
      <c r="E62" s="10" t="n">
        <v>0.3782</v>
      </c>
      <c r="F62" s="9" t="s">
        <v>307</v>
      </c>
      <c r="G62" s="9" t="s">
        <v>308</v>
      </c>
      <c r="H62" s="11" t="n">
        <v>46213</v>
      </c>
      <c r="I62" s="12" t="n">
        <v>10000</v>
      </c>
      <c r="J62" s="12" t="n">
        <v>1800</v>
      </c>
      <c r="K62" s="13" t="n">
        <v>680.76</v>
      </c>
      <c r="L62" s="12" t="n">
        <v>1800</v>
      </c>
      <c r="M62" s="13" t="n">
        <v>680.76</v>
      </c>
      <c r="N62" s="12" t="n">
        <f aca="false">IF(H62="","",$C$3-H62)</f>
        <v>24</v>
      </c>
      <c r="O62" s="9" t="str">
        <f aca="false">IF(AND(L62&lt;=$C$4,M62&lt;=$E$4),"&lt;=150pc &amp; &lt;=10kg",IF(N62="","TANPA TGL",IF(N62&lt;=5,"&lt;= 5 HARI",IF(N62&lt;=7,"&lt;= 7 HARI",IF(N62&lt;=14,"&lt;= 14 HARI","&gt; 14 HARI")))))</f>
        <v>&gt; 14 HARI</v>
      </c>
      <c r="P62" s="9" t="s">
        <v>64</v>
      </c>
      <c r="Q62" s="9" t="s">
        <v>65</v>
      </c>
      <c r="R62" s="9" t="s">
        <v>66</v>
      </c>
    </row>
    <row r="63" customFormat="false" ht="15" hidden="false" customHeight="false" outlineLevel="0" collapsed="false">
      <c r="A63" s="9" t="n">
        <v>58</v>
      </c>
      <c r="B63" s="9" t="s">
        <v>304</v>
      </c>
      <c r="C63" s="9" t="s">
        <v>309</v>
      </c>
      <c r="D63" s="9" t="s">
        <v>310</v>
      </c>
      <c r="E63" s="10" t="n">
        <v>0.46797</v>
      </c>
      <c r="F63" s="9" t="s">
        <v>311</v>
      </c>
      <c r="G63" s="9" t="s">
        <v>312</v>
      </c>
      <c r="H63" s="11" t="n">
        <v>46234</v>
      </c>
      <c r="I63" s="12" t="n">
        <v>6000</v>
      </c>
      <c r="J63" s="12" t="n">
        <v>-20</v>
      </c>
      <c r="K63" s="13" t="n">
        <v>-9.3594</v>
      </c>
      <c r="L63" s="12" t="n">
        <v>0</v>
      </c>
      <c r="M63" s="13" t="n">
        <v>0</v>
      </c>
      <c r="N63" s="12" t="n">
        <f aca="false">IF(H63="","",$C$3-H63)</f>
        <v>3</v>
      </c>
      <c r="O63" s="9" t="str">
        <f aca="false">IF(AND(L63&lt;=$C$4,M63&lt;=$E$4),"&lt;=150pc &amp; &lt;=10kg",IF(N63="","TANPA TGL",IF(N63&lt;=5,"&lt;= 5 HARI",IF(N63&lt;=7,"&lt;= 7 HARI",IF(N63&lt;=14,"&lt;= 14 HARI","&gt; 14 HARI")))))</f>
        <v>&lt;=150pc &amp; &lt;=10kg</v>
      </c>
      <c r="P63" s="9"/>
      <c r="Q63" s="9" t="s">
        <v>65</v>
      </c>
      <c r="R63" s="9" t="s">
        <v>66</v>
      </c>
    </row>
    <row r="64" customFormat="false" ht="15" hidden="false" customHeight="false" outlineLevel="0" collapsed="false">
      <c r="A64" s="9" t="n">
        <v>59</v>
      </c>
      <c r="B64" s="9" t="s">
        <v>304</v>
      </c>
      <c r="C64" s="9" t="s">
        <v>313</v>
      </c>
      <c r="D64" s="9" t="s">
        <v>314</v>
      </c>
      <c r="E64" s="10" t="n">
        <v>0.32161</v>
      </c>
      <c r="F64" s="9" t="s">
        <v>315</v>
      </c>
      <c r="G64" s="9" t="s">
        <v>316</v>
      </c>
      <c r="H64" s="11" t="n">
        <v>46234</v>
      </c>
      <c r="I64" s="12" t="n">
        <v>12840</v>
      </c>
      <c r="J64" s="12" t="n">
        <v>20</v>
      </c>
      <c r="K64" s="13" t="n">
        <v>6.4322</v>
      </c>
      <c r="L64" s="12" t="n">
        <v>0</v>
      </c>
      <c r="M64" s="13" t="n">
        <v>0</v>
      </c>
      <c r="N64" s="12" t="n">
        <f aca="false">IF(H64="","",$C$3-H64)</f>
        <v>3</v>
      </c>
      <c r="O64" s="9" t="str">
        <f aca="false">IF(AND(L64&lt;=$C$4,M64&lt;=$E$4),"&lt;=150pc &amp; &lt;=10kg",IF(N64="","TANPA TGL",IF(N64&lt;=5,"&lt;= 5 HARI",IF(N64&lt;=7,"&lt;= 7 HARI",IF(N64&lt;=14,"&lt;= 14 HARI","&gt; 14 HARI")))))</f>
        <v>&lt;=150pc &amp; &lt;=10kg</v>
      </c>
      <c r="P64" s="9"/>
      <c r="Q64" s="9" t="s">
        <v>65</v>
      </c>
      <c r="R64" s="9" t="s">
        <v>66</v>
      </c>
    </row>
    <row r="65" customFormat="false" ht="15" hidden="false" customHeight="false" outlineLevel="0" collapsed="false">
      <c r="A65" s="9" t="n">
        <v>60</v>
      </c>
      <c r="B65" s="9" t="s">
        <v>304</v>
      </c>
      <c r="C65" s="9" t="s">
        <v>317</v>
      </c>
      <c r="D65" s="9" t="s">
        <v>318</v>
      </c>
      <c r="E65" s="10" t="n">
        <v>0.7191</v>
      </c>
      <c r="F65" s="9" t="s">
        <v>319</v>
      </c>
      <c r="G65" s="9" t="s">
        <v>320</v>
      </c>
      <c r="H65" s="11" t="n">
        <v>46225</v>
      </c>
      <c r="I65" s="12" t="n">
        <v>3500</v>
      </c>
      <c r="J65" s="12" t="n">
        <v>890</v>
      </c>
      <c r="K65" s="13" t="n">
        <v>639.999</v>
      </c>
      <c r="L65" s="12" t="n">
        <v>890</v>
      </c>
      <c r="M65" s="13" t="n">
        <v>639.999</v>
      </c>
      <c r="N65" s="12" t="n">
        <f aca="false">IF(H65="","",$C$3-H65)</f>
        <v>12</v>
      </c>
      <c r="O65" s="9" t="str">
        <f aca="false">IF(AND(L65&lt;=$C$4,M65&lt;=$E$4),"&lt;=150pc &amp; &lt;=10kg",IF(N65="","TANPA TGL",IF(N65&lt;=5,"&lt;= 5 HARI",IF(N65&lt;=7,"&lt;= 7 HARI",IF(N65&lt;=14,"&lt;= 14 HARI","&gt; 14 HARI")))))</f>
        <v>&lt;= 14 HARI</v>
      </c>
      <c r="P65" s="9" t="s">
        <v>64</v>
      </c>
      <c r="Q65" s="9" t="s">
        <v>65</v>
      </c>
      <c r="R65" s="9" t="s">
        <v>66</v>
      </c>
    </row>
    <row r="66" customFormat="false" ht="15" hidden="false" customHeight="false" outlineLevel="0" collapsed="false">
      <c r="A66" s="9" t="n">
        <v>61</v>
      </c>
      <c r="B66" s="9" t="s">
        <v>304</v>
      </c>
      <c r="C66" s="9" t="s">
        <v>321</v>
      </c>
      <c r="D66" s="9" t="s">
        <v>322</v>
      </c>
      <c r="E66" s="10" t="n">
        <v>0.46598</v>
      </c>
      <c r="F66" s="9" t="s">
        <v>323</v>
      </c>
      <c r="G66" s="9" t="s">
        <v>324</v>
      </c>
      <c r="H66" s="11" t="n">
        <v>46236</v>
      </c>
      <c r="I66" s="12" t="n">
        <v>10000</v>
      </c>
      <c r="J66" s="12" t="n">
        <v>260</v>
      </c>
      <c r="K66" s="13" t="n">
        <v>121.1548</v>
      </c>
      <c r="L66" s="12" t="n">
        <v>760</v>
      </c>
      <c r="M66" s="13" t="n">
        <v>354.1448</v>
      </c>
      <c r="N66" s="12" t="n">
        <f aca="false">IF(H66="","",$C$3-H66)</f>
        <v>1</v>
      </c>
      <c r="O66" s="9" t="str">
        <f aca="false">IF(AND(L66&lt;=$C$4,M66&lt;=$E$4),"&lt;=150pc &amp; &lt;=10kg",IF(N66="","TANPA TGL",IF(N66&lt;=5,"&lt;= 5 HARI",IF(N66&lt;=7,"&lt;= 7 HARI",IF(N66&lt;=14,"&lt;= 14 HARI","&gt; 14 HARI")))))</f>
        <v>&lt;= 5 HARI</v>
      </c>
      <c r="P66" s="9" t="s">
        <v>64</v>
      </c>
      <c r="Q66" s="9" t="s">
        <v>65</v>
      </c>
      <c r="R66" s="9" t="s">
        <v>66</v>
      </c>
    </row>
    <row r="67" customFormat="false" ht="15" hidden="false" customHeight="false" outlineLevel="0" collapsed="false">
      <c r="A67" s="9" t="n">
        <v>62</v>
      </c>
      <c r="B67" s="9" t="s">
        <v>304</v>
      </c>
      <c r="C67" s="9" t="s">
        <v>325</v>
      </c>
      <c r="D67" s="9" t="s">
        <v>326</v>
      </c>
      <c r="E67" s="10" t="n">
        <v>0.7353</v>
      </c>
      <c r="F67" s="9" t="s">
        <v>327</v>
      </c>
      <c r="G67" s="9" t="s">
        <v>328</v>
      </c>
      <c r="H67" s="11" t="n">
        <v>46235</v>
      </c>
      <c r="I67" s="12" t="n">
        <v>6000</v>
      </c>
      <c r="J67" s="12" t="n">
        <v>0</v>
      </c>
      <c r="K67" s="13" t="n">
        <v>0</v>
      </c>
      <c r="L67" s="12" t="n">
        <v>6080</v>
      </c>
      <c r="M67" s="13" t="n">
        <v>4470.624</v>
      </c>
      <c r="N67" s="12" t="n">
        <f aca="false">IF(H67="","",$C$3-H67)</f>
        <v>2</v>
      </c>
      <c r="O67" s="9" t="str">
        <f aca="false">IF(AND(L67&lt;=$C$4,M67&lt;=$E$4),"&lt;=150pc &amp; &lt;=10kg",IF(N67="","TANPA TGL",IF(N67&lt;=5,"&lt;= 5 HARI",IF(N67&lt;=7,"&lt;= 7 HARI",IF(N67&lt;=14,"&lt;= 14 HARI","&gt; 14 HARI")))))</f>
        <v>&lt;= 5 HARI</v>
      </c>
      <c r="P67" s="9"/>
      <c r="Q67" s="9" t="s">
        <v>65</v>
      </c>
      <c r="R67" s="9" t="s">
        <v>66</v>
      </c>
    </row>
    <row r="68" customFormat="false" ht="15" hidden="false" customHeight="false" outlineLevel="0" collapsed="false">
      <c r="A68" s="9" t="n">
        <v>63</v>
      </c>
      <c r="B68" s="9" t="s">
        <v>304</v>
      </c>
      <c r="C68" s="9" t="s">
        <v>329</v>
      </c>
      <c r="D68" s="9" t="s">
        <v>330</v>
      </c>
      <c r="E68" s="10" t="n">
        <v>0.44349</v>
      </c>
      <c r="F68" s="9" t="s">
        <v>331</v>
      </c>
      <c r="G68" s="9" t="s">
        <v>332</v>
      </c>
      <c r="H68" s="11" t="n">
        <v>46236</v>
      </c>
      <c r="I68" s="12" t="n">
        <v>8000</v>
      </c>
      <c r="J68" s="12" t="n">
        <v>0</v>
      </c>
      <c r="K68" s="13" t="n">
        <v>0</v>
      </c>
      <c r="L68" s="12" t="n">
        <v>980</v>
      </c>
      <c r="M68" s="13" t="n">
        <v>434.6202</v>
      </c>
      <c r="N68" s="12" t="n">
        <f aca="false">IF(H68="","",$C$3-H68)</f>
        <v>1</v>
      </c>
      <c r="O68" s="9" t="str">
        <f aca="false">IF(AND(L68&lt;=$C$4,M68&lt;=$E$4),"&lt;=150pc &amp; &lt;=10kg",IF(N68="","TANPA TGL",IF(N68&lt;=5,"&lt;= 5 HARI",IF(N68&lt;=7,"&lt;= 7 HARI",IF(N68&lt;=14,"&lt;= 14 HARI","&gt; 14 HARI")))))</f>
        <v>&lt;= 5 HARI</v>
      </c>
      <c r="P68" s="9"/>
      <c r="Q68" s="9" t="s">
        <v>65</v>
      </c>
      <c r="R68" s="9" t="s">
        <v>66</v>
      </c>
    </row>
    <row r="69" customFormat="false" ht="15" hidden="false" customHeight="false" outlineLevel="0" collapsed="false">
      <c r="A69" s="9" t="n">
        <v>64</v>
      </c>
      <c r="B69" s="9" t="s">
        <v>333</v>
      </c>
      <c r="C69" s="9" t="s">
        <v>334</v>
      </c>
      <c r="D69" s="9" t="s">
        <v>335</v>
      </c>
      <c r="E69" s="10" t="n">
        <v>0.25744</v>
      </c>
      <c r="F69" s="9" t="s">
        <v>336</v>
      </c>
      <c r="G69" s="9" t="s">
        <v>337</v>
      </c>
      <c r="H69" s="11" t="n">
        <v>46230</v>
      </c>
      <c r="I69" s="12" t="n">
        <v>76000</v>
      </c>
      <c r="J69" s="12" t="n">
        <v>2080</v>
      </c>
      <c r="K69" s="13" t="n">
        <v>535.4752</v>
      </c>
      <c r="L69" s="12" t="n">
        <v>2080</v>
      </c>
      <c r="M69" s="13" t="n">
        <v>535.4752</v>
      </c>
      <c r="N69" s="12" t="n">
        <f aca="false">IF(H69="","",$C$3-H69)</f>
        <v>7</v>
      </c>
      <c r="O69" s="9" t="str">
        <f aca="false">IF(AND(L69&lt;=$C$4,M69&lt;=$E$4),"&lt;=150pc &amp; &lt;=10kg",IF(N69="","TANPA TGL",IF(N69&lt;=5,"&lt;= 5 HARI",IF(N69&lt;=7,"&lt;= 7 HARI",IF(N69&lt;=14,"&lt;= 14 HARI","&gt; 14 HARI")))))</f>
        <v>&lt;= 7 HARI</v>
      </c>
      <c r="P69" s="9" t="s">
        <v>64</v>
      </c>
      <c r="Q69" s="9" t="s">
        <v>238</v>
      </c>
      <c r="R69" s="9" t="s">
        <v>338</v>
      </c>
    </row>
    <row r="70" customFormat="false" ht="15" hidden="false" customHeight="false" outlineLevel="0" collapsed="false">
      <c r="A70" s="9" t="n">
        <v>65</v>
      </c>
      <c r="B70" s="9" t="s">
        <v>339</v>
      </c>
      <c r="C70" s="9" t="s">
        <v>340</v>
      </c>
      <c r="D70" s="9" t="s">
        <v>341</v>
      </c>
      <c r="E70" s="10" t="n">
        <v>0.25365</v>
      </c>
      <c r="F70" s="9" t="s">
        <v>342</v>
      </c>
      <c r="G70" s="9" t="s">
        <v>343</v>
      </c>
      <c r="H70" s="11" t="n">
        <v>46232</v>
      </c>
      <c r="I70" s="12" t="n">
        <v>2500</v>
      </c>
      <c r="J70" s="12" t="n">
        <v>700</v>
      </c>
      <c r="K70" s="13" t="n">
        <v>177.555</v>
      </c>
      <c r="L70" s="12" t="n">
        <v>700</v>
      </c>
      <c r="M70" s="13" t="n">
        <v>177.555</v>
      </c>
      <c r="N70" s="12" t="n">
        <f aca="false">IF(H70="","",$C$3-H70)</f>
        <v>5</v>
      </c>
      <c r="O70" s="9" t="str">
        <f aca="false">IF(AND(L70&lt;=$C$4,M70&lt;=$E$4),"&lt;=150pc &amp; &lt;=10kg",IF(N70="","TANPA TGL",IF(N70&lt;=5,"&lt;= 5 HARI",IF(N70&lt;=7,"&lt;= 7 HARI",IF(N70&lt;=14,"&lt;= 14 HARI","&gt; 14 HARI")))))</f>
        <v>&lt;= 5 HARI</v>
      </c>
      <c r="P70" s="9"/>
      <c r="Q70" s="9" t="s">
        <v>107</v>
      </c>
      <c r="R70" s="9" t="s">
        <v>108</v>
      </c>
    </row>
    <row r="71" customFormat="false" ht="15" hidden="false" customHeight="false" outlineLevel="0" collapsed="false">
      <c r="A71" s="9" t="n">
        <v>66</v>
      </c>
      <c r="B71" s="9" t="s">
        <v>344</v>
      </c>
      <c r="C71" s="9" t="s">
        <v>345</v>
      </c>
      <c r="D71" s="9" t="s">
        <v>346</v>
      </c>
      <c r="E71" s="10" t="n">
        <v>0.80695</v>
      </c>
      <c r="F71" s="9" t="s">
        <v>347</v>
      </c>
      <c r="G71" s="9" t="s">
        <v>348</v>
      </c>
      <c r="H71" s="11" t="n">
        <v>46199</v>
      </c>
      <c r="I71" s="12" t="n">
        <v>2000</v>
      </c>
      <c r="J71" s="12" t="n">
        <v>777</v>
      </c>
      <c r="K71" s="13" t="n">
        <v>627.00015</v>
      </c>
      <c r="L71" s="12" t="n">
        <v>777</v>
      </c>
      <c r="M71" s="13" t="n">
        <v>627.00015</v>
      </c>
      <c r="N71" s="12" t="n">
        <f aca="false">IF(H71="","",$C$3-H71)</f>
        <v>38</v>
      </c>
      <c r="O71" s="9" t="str">
        <f aca="false">IF(AND(L71&lt;=$C$4,M71&lt;=$E$4),"&lt;=150pc &amp; &lt;=10kg",IF(N71="","TANPA TGL",IF(N71&lt;=5,"&lt;= 5 HARI",IF(N71&lt;=7,"&lt;= 7 HARI",IF(N71&lt;=14,"&lt;= 14 HARI","&gt; 14 HARI")))))</f>
        <v>&gt; 14 HARI</v>
      </c>
      <c r="P71" s="9" t="s">
        <v>155</v>
      </c>
      <c r="Q71" s="9" t="s">
        <v>57</v>
      </c>
      <c r="R71" s="9" t="s">
        <v>45</v>
      </c>
    </row>
    <row r="72" customFormat="false" ht="15" hidden="false" customHeight="false" outlineLevel="0" collapsed="false">
      <c r="A72" s="9" t="n">
        <v>67</v>
      </c>
      <c r="B72" s="9" t="s">
        <v>344</v>
      </c>
      <c r="C72" s="9" t="s">
        <v>349</v>
      </c>
      <c r="D72" s="9" t="s">
        <v>350</v>
      </c>
      <c r="E72" s="10" t="n">
        <v>0.68942</v>
      </c>
      <c r="F72" s="9" t="s">
        <v>351</v>
      </c>
      <c r="G72" s="9" t="s">
        <v>352</v>
      </c>
      <c r="H72" s="11" t="n">
        <v>46232</v>
      </c>
      <c r="I72" s="12" t="n">
        <v>2600</v>
      </c>
      <c r="J72" s="12" t="n">
        <v>3776</v>
      </c>
      <c r="K72" s="13" t="n">
        <v>2603.24992</v>
      </c>
      <c r="L72" s="12" t="n">
        <v>3776</v>
      </c>
      <c r="M72" s="13" t="n">
        <v>2603.24992</v>
      </c>
      <c r="N72" s="12" t="n">
        <f aca="false">IF(H72="","",$C$3-H72)</f>
        <v>5</v>
      </c>
      <c r="O72" s="9" t="str">
        <f aca="false">IF(AND(L72&lt;=$C$4,M72&lt;=$E$4),"&lt;=150pc &amp; &lt;=10kg",IF(N72="","TANPA TGL",IF(N72&lt;=5,"&lt;= 5 HARI",IF(N72&lt;=7,"&lt;= 7 HARI",IF(N72&lt;=14,"&lt;= 14 HARI","&gt; 14 HARI")))))</f>
        <v>&lt;= 5 HARI</v>
      </c>
      <c r="P72" s="9" t="s">
        <v>144</v>
      </c>
      <c r="Q72" s="9" t="s">
        <v>57</v>
      </c>
      <c r="R72" s="9" t="s">
        <v>45</v>
      </c>
    </row>
    <row r="73" customFormat="false" ht="15" hidden="false" customHeight="false" outlineLevel="0" collapsed="false">
      <c r="A73" s="9" t="n">
        <v>68</v>
      </c>
      <c r="B73" s="9" t="s">
        <v>353</v>
      </c>
      <c r="C73" s="9" t="s">
        <v>354</v>
      </c>
      <c r="D73" s="9" t="s">
        <v>355</v>
      </c>
      <c r="E73" s="10" t="n">
        <v>0.35014</v>
      </c>
      <c r="F73" s="9" t="s">
        <v>356</v>
      </c>
      <c r="G73" s="9" t="s">
        <v>357</v>
      </c>
      <c r="H73" s="11" t="n">
        <v>46191</v>
      </c>
      <c r="I73" s="12" t="n">
        <v>5000</v>
      </c>
      <c r="J73" s="12" t="n">
        <v>100</v>
      </c>
      <c r="K73" s="13" t="n">
        <v>35.014</v>
      </c>
      <c r="L73" s="12" t="n">
        <v>100</v>
      </c>
      <c r="M73" s="13" t="n">
        <v>35.014</v>
      </c>
      <c r="N73" s="12" t="n">
        <f aca="false">IF(H73="","",$C$3-H73)</f>
        <v>46</v>
      </c>
      <c r="O73" s="9" t="str">
        <f aca="false">IF(AND(L73&lt;=$C$4,M73&lt;=$E$4),"&lt;=150pc &amp; &lt;=10kg",IF(N73="","TANPA TGL",IF(N73&lt;=5,"&lt;= 5 HARI",IF(N73&lt;=7,"&lt;= 7 HARI",IF(N73&lt;=14,"&lt;= 14 HARI","&gt; 14 HARI")))))</f>
        <v>&gt; 14 HARI</v>
      </c>
      <c r="P73" s="9"/>
      <c r="Q73" s="9" t="s">
        <v>30</v>
      </c>
      <c r="R73" s="9" t="s">
        <v>31</v>
      </c>
    </row>
    <row r="74" customFormat="false" ht="15" hidden="false" customHeight="false" outlineLevel="0" collapsed="false">
      <c r="A74" s="9" t="n">
        <v>69</v>
      </c>
      <c r="B74" s="9" t="s">
        <v>353</v>
      </c>
      <c r="C74" s="9" t="s">
        <v>358</v>
      </c>
      <c r="D74" s="9" t="s">
        <v>359</v>
      </c>
      <c r="E74" s="10" t="n">
        <v>0.16942</v>
      </c>
      <c r="F74" s="9" t="s">
        <v>360</v>
      </c>
      <c r="G74" s="9" t="s">
        <v>357</v>
      </c>
      <c r="H74" s="11" t="n">
        <v>46195</v>
      </c>
      <c r="I74" s="12" t="n">
        <v>5000</v>
      </c>
      <c r="J74" s="12" t="n">
        <v>100</v>
      </c>
      <c r="K74" s="13" t="n">
        <v>16.942</v>
      </c>
      <c r="L74" s="12" t="n">
        <v>100</v>
      </c>
      <c r="M74" s="13" t="n">
        <v>16.942</v>
      </c>
      <c r="N74" s="12" t="n">
        <f aca="false">IF(H74="","",$C$3-H74)</f>
        <v>42</v>
      </c>
      <c r="O74" s="9" t="str">
        <f aca="false">IF(AND(L74&lt;=$C$4,M74&lt;=$E$4),"&lt;=150pc &amp; &lt;=10kg",IF(N74="","TANPA TGL",IF(N74&lt;=5,"&lt;= 5 HARI",IF(N74&lt;=7,"&lt;= 7 HARI",IF(N74&lt;=14,"&lt;= 14 HARI","&gt; 14 HARI")))))</f>
        <v>&gt; 14 HARI</v>
      </c>
      <c r="P74" s="9"/>
      <c r="Q74" s="9" t="s">
        <v>30</v>
      </c>
      <c r="R74" s="9" t="s">
        <v>31</v>
      </c>
    </row>
    <row r="75" customFormat="false" ht="15" hidden="false" customHeight="false" outlineLevel="0" collapsed="false">
      <c r="A75" s="9" t="n">
        <v>70</v>
      </c>
      <c r="B75" s="9" t="s">
        <v>361</v>
      </c>
      <c r="C75" s="9" t="s">
        <v>362</v>
      </c>
      <c r="D75" s="9" t="s">
        <v>335</v>
      </c>
      <c r="E75" s="10" t="n">
        <v>0.29254</v>
      </c>
      <c r="F75" s="9" t="s">
        <v>363</v>
      </c>
      <c r="G75" s="9" t="s">
        <v>364</v>
      </c>
      <c r="H75" s="11" t="n">
        <v>46141</v>
      </c>
      <c r="I75" s="12" t="n">
        <v>14000</v>
      </c>
      <c r="J75" s="12" t="n">
        <v>460</v>
      </c>
      <c r="K75" s="13" t="n">
        <v>134.5684</v>
      </c>
      <c r="L75" s="12" t="n">
        <v>460</v>
      </c>
      <c r="M75" s="13" t="n">
        <v>134.5684</v>
      </c>
      <c r="N75" s="12" t="n">
        <f aca="false">IF(H75="","",$C$3-H75)</f>
        <v>96</v>
      </c>
      <c r="O75" s="9" t="str">
        <f aca="false">IF(AND(L75&lt;=$C$4,M75&lt;=$E$4),"&lt;=150pc &amp; &lt;=10kg",IF(N75="","TANPA TGL",IF(N75&lt;=5,"&lt;= 5 HARI",IF(N75&lt;=7,"&lt;= 7 HARI",IF(N75&lt;=14,"&lt;= 14 HARI","&gt; 14 HARI")))))</f>
        <v>&gt; 14 HARI</v>
      </c>
      <c r="P75" s="9" t="s">
        <v>51</v>
      </c>
      <c r="Q75" s="9" t="s">
        <v>57</v>
      </c>
      <c r="R75" s="9" t="s">
        <v>45</v>
      </c>
    </row>
    <row r="76" customFormat="false" ht="15" hidden="false" customHeight="false" outlineLevel="0" collapsed="false">
      <c r="A76" s="9" t="n">
        <v>71</v>
      </c>
      <c r="B76" s="9" t="s">
        <v>361</v>
      </c>
      <c r="C76" s="9" t="s">
        <v>365</v>
      </c>
      <c r="D76" s="9" t="s">
        <v>85</v>
      </c>
      <c r="E76" s="10" t="n">
        <v>0.25744</v>
      </c>
      <c r="F76" s="9" t="s">
        <v>366</v>
      </c>
      <c r="G76" s="9" t="s">
        <v>367</v>
      </c>
      <c r="H76" s="11" t="n">
        <v>46227</v>
      </c>
      <c r="I76" s="12" t="n">
        <v>7500</v>
      </c>
      <c r="J76" s="12" t="n">
        <v>1500</v>
      </c>
      <c r="K76" s="13" t="n">
        <v>386.16</v>
      </c>
      <c r="L76" s="12" t="n">
        <v>1500</v>
      </c>
      <c r="M76" s="13" t="n">
        <v>386.16</v>
      </c>
      <c r="N76" s="12" t="n">
        <f aca="false">IF(H76="","",$C$3-H76)</f>
        <v>10</v>
      </c>
      <c r="O76" s="9" t="str">
        <f aca="false">IF(AND(L76&lt;=$C$4,M76&lt;=$E$4),"&lt;=150pc &amp; &lt;=10kg",IF(N76="","TANPA TGL",IF(N76&lt;=5,"&lt;= 5 HARI",IF(N76&lt;=7,"&lt;= 7 HARI",IF(N76&lt;=14,"&lt;= 14 HARI","&gt; 14 HARI")))))</f>
        <v>&lt;= 14 HARI</v>
      </c>
      <c r="P76" s="9"/>
      <c r="Q76" s="9" t="s">
        <v>57</v>
      </c>
      <c r="R76" s="9" t="s">
        <v>45</v>
      </c>
    </row>
    <row r="77" customFormat="false" ht="15" hidden="false" customHeight="false" outlineLevel="0" collapsed="false">
      <c r="A77" s="9" t="n">
        <v>72</v>
      </c>
      <c r="B77" s="9" t="s">
        <v>368</v>
      </c>
      <c r="C77" s="9" t="s">
        <v>369</v>
      </c>
      <c r="D77" s="9" t="s">
        <v>370</v>
      </c>
      <c r="E77" s="10" t="n">
        <v>0.50776</v>
      </c>
      <c r="F77" s="9" t="s">
        <v>371</v>
      </c>
      <c r="G77" s="9" t="s">
        <v>372</v>
      </c>
      <c r="H77" s="11" t="n">
        <v>46229</v>
      </c>
      <c r="I77" s="12" t="n">
        <v>2500</v>
      </c>
      <c r="J77" s="12" t="n">
        <v>125</v>
      </c>
      <c r="K77" s="13" t="n">
        <v>63.47</v>
      </c>
      <c r="L77" s="12" t="n">
        <v>125</v>
      </c>
      <c r="M77" s="13" t="n">
        <v>63.47</v>
      </c>
      <c r="N77" s="12" t="n">
        <f aca="false">IF(H77="","",$C$3-H77)</f>
        <v>8</v>
      </c>
      <c r="O77" s="9" t="str">
        <f aca="false">IF(AND(L77&lt;=$C$4,M77&lt;=$E$4),"&lt;=150pc &amp; &lt;=10kg",IF(N77="","TANPA TGL",IF(N77&lt;=5,"&lt;= 5 HARI",IF(N77&lt;=7,"&lt;= 7 HARI",IF(N77&lt;=14,"&lt;= 14 HARI","&gt; 14 HARI")))))</f>
        <v>&lt;= 14 HARI</v>
      </c>
      <c r="P77" s="9"/>
      <c r="Q77" s="9" t="s">
        <v>30</v>
      </c>
      <c r="R77" s="9" t="s">
        <v>31</v>
      </c>
    </row>
    <row r="78" customFormat="false" ht="15" hidden="false" customHeight="false" outlineLevel="0" collapsed="false">
      <c r="A78" s="9" t="n">
        <v>73</v>
      </c>
      <c r="B78" s="9" t="s">
        <v>373</v>
      </c>
      <c r="C78" s="9" t="s">
        <v>374</v>
      </c>
      <c r="D78" s="9" t="s">
        <v>375</v>
      </c>
      <c r="E78" s="10" t="n">
        <v>0.42495</v>
      </c>
      <c r="F78" s="9" t="s">
        <v>376</v>
      </c>
      <c r="G78" s="9" t="s">
        <v>377</v>
      </c>
      <c r="H78" s="11" t="n">
        <v>46226</v>
      </c>
      <c r="I78" s="12" t="n">
        <v>30000</v>
      </c>
      <c r="J78" s="12" t="n">
        <v>1000</v>
      </c>
      <c r="K78" s="13" t="n">
        <v>424.95</v>
      </c>
      <c r="L78" s="12" t="n">
        <v>1000</v>
      </c>
      <c r="M78" s="13" t="n">
        <v>424.95</v>
      </c>
      <c r="N78" s="12" t="n">
        <f aca="false">IF(H78="","",$C$3-H78)</f>
        <v>11</v>
      </c>
      <c r="O78" s="9" t="str">
        <f aca="false">IF(AND(L78&lt;=$C$4,M78&lt;=$E$4),"&lt;=150pc &amp; &lt;=10kg",IF(N78="","TANPA TGL",IF(N78&lt;=5,"&lt;= 5 HARI",IF(N78&lt;=7,"&lt;= 7 HARI",IF(N78&lt;=14,"&lt;= 14 HARI","&gt; 14 HARI")))))</f>
        <v>&lt;= 14 HARI</v>
      </c>
      <c r="P78" s="9" t="s">
        <v>64</v>
      </c>
      <c r="Q78" s="9" t="s">
        <v>107</v>
      </c>
      <c r="R78" s="9" t="s">
        <v>108</v>
      </c>
    </row>
    <row r="79" customFormat="false" ht="15" hidden="false" customHeight="false" outlineLevel="0" collapsed="false">
      <c r="A79" s="9" t="n">
        <v>74</v>
      </c>
      <c r="B79" s="9" t="s">
        <v>373</v>
      </c>
      <c r="C79" s="9" t="s">
        <v>378</v>
      </c>
      <c r="D79" s="9" t="s">
        <v>379</v>
      </c>
      <c r="E79" s="10" t="n">
        <v>0.73839</v>
      </c>
      <c r="F79" s="9" t="s">
        <v>380</v>
      </c>
      <c r="G79" s="9" t="s">
        <v>381</v>
      </c>
      <c r="H79" s="11" t="n">
        <v>46230</v>
      </c>
      <c r="I79" s="12" t="n">
        <v>36000</v>
      </c>
      <c r="J79" s="12" t="n">
        <v>10560</v>
      </c>
      <c r="K79" s="13" t="n">
        <v>7797.3984</v>
      </c>
      <c r="L79" s="12" t="n">
        <v>5760</v>
      </c>
      <c r="M79" s="13" t="n">
        <v>4253.1264</v>
      </c>
      <c r="N79" s="12" t="n">
        <f aca="false">IF(H79="","",$C$3-H79)</f>
        <v>7</v>
      </c>
      <c r="O79" s="9" t="str">
        <f aca="false">IF(AND(L79&lt;=$C$4,M79&lt;=$E$4),"&lt;=150pc &amp; &lt;=10kg",IF(N79="","TANPA TGL",IF(N79&lt;=5,"&lt;= 5 HARI",IF(N79&lt;=7,"&lt;= 7 HARI",IF(N79&lt;=14,"&lt;= 14 HARI","&gt; 14 HARI")))))</f>
        <v>&lt;= 7 HARI</v>
      </c>
      <c r="P79" s="9"/>
      <c r="Q79" s="9" t="s">
        <v>107</v>
      </c>
      <c r="R79" s="9" t="s">
        <v>108</v>
      </c>
    </row>
    <row r="80" customFormat="false" ht="15" hidden="false" customHeight="false" outlineLevel="0" collapsed="false">
      <c r="A80" s="9" t="n">
        <v>75</v>
      </c>
      <c r="B80" s="9" t="s">
        <v>382</v>
      </c>
      <c r="C80" s="9" t="s">
        <v>383</v>
      </c>
      <c r="D80" s="9" t="s">
        <v>277</v>
      </c>
      <c r="E80" s="10" t="n">
        <v>0.52755</v>
      </c>
      <c r="F80" s="9" t="s">
        <v>384</v>
      </c>
      <c r="G80" s="9" t="s">
        <v>385</v>
      </c>
      <c r="H80" s="11" t="n">
        <v>46213</v>
      </c>
      <c r="I80" s="12" t="n">
        <v>3000</v>
      </c>
      <c r="J80" s="12" t="n">
        <v>100</v>
      </c>
      <c r="K80" s="13" t="n">
        <v>52.755</v>
      </c>
      <c r="L80" s="12" t="n">
        <v>100</v>
      </c>
      <c r="M80" s="13" t="n">
        <v>52.755</v>
      </c>
      <c r="N80" s="12" t="n">
        <f aca="false">IF(H80="","",$C$3-H80)</f>
        <v>24</v>
      </c>
      <c r="O80" s="9" t="str">
        <f aca="false">IF(AND(L80&lt;=$C$4,M80&lt;=$E$4),"&lt;=150pc &amp; &lt;=10kg",IF(N80="","TANPA TGL",IF(N80&lt;=5,"&lt;= 5 HARI",IF(N80&lt;=7,"&lt;= 7 HARI",IF(N80&lt;=14,"&lt;= 14 HARI","&gt; 14 HARI")))))</f>
        <v>&gt; 14 HARI</v>
      </c>
      <c r="P80" s="9"/>
      <c r="Q80" s="9" t="s">
        <v>238</v>
      </c>
      <c r="R80" s="9" t="s">
        <v>338</v>
      </c>
    </row>
    <row r="81" customFormat="false" ht="15" hidden="false" customHeight="false" outlineLevel="0" collapsed="false">
      <c r="A81" s="9" t="n">
        <v>76</v>
      </c>
      <c r="B81" s="9" t="s">
        <v>386</v>
      </c>
      <c r="C81" s="9" t="s">
        <v>387</v>
      </c>
      <c r="D81" s="9" t="s">
        <v>388</v>
      </c>
      <c r="E81" s="10" t="n">
        <v>0.2131</v>
      </c>
      <c r="F81" s="9" t="s">
        <v>389</v>
      </c>
      <c r="G81" s="9" t="s">
        <v>390</v>
      </c>
      <c r="H81" s="11" t="n">
        <v>46131</v>
      </c>
      <c r="I81" s="12" t="n">
        <v>32000</v>
      </c>
      <c r="J81" s="12" t="n">
        <v>4460</v>
      </c>
      <c r="K81" s="13" t="n">
        <v>950.426</v>
      </c>
      <c r="L81" s="12" t="n">
        <v>4460</v>
      </c>
      <c r="M81" s="13" t="n">
        <v>950.426</v>
      </c>
      <c r="N81" s="12" t="n">
        <f aca="false">IF(H81="","",$C$3-H81)</f>
        <v>106</v>
      </c>
      <c r="O81" s="9" t="str">
        <f aca="false">IF(AND(L81&lt;=$C$4,M81&lt;=$E$4),"&lt;=150pc &amp; &lt;=10kg",IF(N81="","TANPA TGL",IF(N81&lt;=5,"&lt;= 5 HARI",IF(N81&lt;=7,"&lt;= 7 HARI",IF(N81&lt;=14,"&lt;= 14 HARI","&gt; 14 HARI")))))</f>
        <v>&gt; 14 HARI</v>
      </c>
      <c r="P81" s="9" t="s">
        <v>51</v>
      </c>
      <c r="Q81" s="9" t="s">
        <v>37</v>
      </c>
      <c r="R81" s="9" t="s">
        <v>38</v>
      </c>
    </row>
    <row r="82" customFormat="false" ht="15" hidden="false" customHeight="false" outlineLevel="0" collapsed="false">
      <c r="A82" s="9" t="n">
        <v>77</v>
      </c>
      <c r="B82" s="9" t="s">
        <v>391</v>
      </c>
      <c r="C82" s="9" t="s">
        <v>392</v>
      </c>
      <c r="D82" s="9" t="s">
        <v>393</v>
      </c>
      <c r="E82" s="10" t="n">
        <v>0.29773</v>
      </c>
      <c r="F82" s="9" t="s">
        <v>394</v>
      </c>
      <c r="G82" s="9" t="s">
        <v>395</v>
      </c>
      <c r="H82" s="11" t="n">
        <v>46211</v>
      </c>
      <c r="I82" s="12" t="n">
        <v>5000</v>
      </c>
      <c r="J82" s="12" t="n">
        <v>1500</v>
      </c>
      <c r="K82" s="13" t="n">
        <v>446.595</v>
      </c>
      <c r="L82" s="12" t="n">
        <v>1500</v>
      </c>
      <c r="M82" s="13" t="n">
        <v>446.595</v>
      </c>
      <c r="N82" s="12" t="n">
        <f aca="false">IF(H82="","",$C$3-H82)</f>
        <v>26</v>
      </c>
      <c r="O82" s="9" t="str">
        <f aca="false">IF(AND(L82&lt;=$C$4,M82&lt;=$E$4),"&lt;=150pc &amp; &lt;=10kg",IF(N82="","TANPA TGL",IF(N82&lt;=5,"&lt;= 5 HARI",IF(N82&lt;=7,"&lt;= 7 HARI",IF(N82&lt;=14,"&lt;= 14 HARI","&gt; 14 HARI")))))</f>
        <v>&gt; 14 HARI</v>
      </c>
      <c r="P82" s="9" t="s">
        <v>396</v>
      </c>
      <c r="Q82" s="9" t="s">
        <v>238</v>
      </c>
      <c r="R82" s="9" t="s">
        <v>338</v>
      </c>
    </row>
    <row r="83" customFormat="false" ht="15" hidden="false" customHeight="false" outlineLevel="0" collapsed="false">
      <c r="A83" s="9" t="n">
        <v>78</v>
      </c>
      <c r="B83" s="9" t="s">
        <v>391</v>
      </c>
      <c r="C83" s="9" t="s">
        <v>397</v>
      </c>
      <c r="D83" s="9" t="s">
        <v>85</v>
      </c>
      <c r="E83" s="10" t="n">
        <v>0.28209</v>
      </c>
      <c r="F83" s="9" t="s">
        <v>398</v>
      </c>
      <c r="G83" s="9" t="s">
        <v>399</v>
      </c>
      <c r="H83" s="11" t="n">
        <v>46206</v>
      </c>
      <c r="I83" s="12" t="n">
        <v>28300</v>
      </c>
      <c r="J83" s="12" t="n">
        <v>420</v>
      </c>
      <c r="K83" s="13" t="n">
        <v>118.4778</v>
      </c>
      <c r="L83" s="12" t="n">
        <v>420</v>
      </c>
      <c r="M83" s="13" t="n">
        <v>118.4778</v>
      </c>
      <c r="N83" s="12" t="n">
        <f aca="false">IF(H83="","",$C$3-H83)</f>
        <v>31</v>
      </c>
      <c r="O83" s="9" t="str">
        <f aca="false">IF(AND(L83&lt;=$C$4,M83&lt;=$E$4),"&lt;=150pc &amp; &lt;=10kg",IF(N83="","TANPA TGL",IF(N83&lt;=5,"&lt;= 5 HARI",IF(N83&lt;=7,"&lt;= 7 HARI",IF(N83&lt;=14,"&lt;= 14 HARI","&gt; 14 HARI")))))</f>
        <v>&gt; 14 HARI</v>
      </c>
      <c r="P83" s="9" t="s">
        <v>51</v>
      </c>
      <c r="Q83" s="9" t="s">
        <v>238</v>
      </c>
      <c r="R83" s="9" t="s">
        <v>338</v>
      </c>
    </row>
    <row r="84" customFormat="false" ht="15" hidden="false" customHeight="false" outlineLevel="0" collapsed="false">
      <c r="A84" s="9" t="n">
        <v>79</v>
      </c>
      <c r="B84" s="9" t="s">
        <v>391</v>
      </c>
      <c r="C84" s="9" t="s">
        <v>400</v>
      </c>
      <c r="D84" s="9" t="s">
        <v>401</v>
      </c>
      <c r="E84" s="10" t="n">
        <v>0.72463</v>
      </c>
      <c r="F84" s="9" t="s">
        <v>402</v>
      </c>
      <c r="G84" s="9" t="s">
        <v>403</v>
      </c>
      <c r="H84" s="11" t="n">
        <v>46211</v>
      </c>
      <c r="I84" s="12" t="n">
        <v>12000</v>
      </c>
      <c r="J84" s="12" t="n">
        <v>552</v>
      </c>
      <c r="K84" s="13" t="n">
        <v>399.99576</v>
      </c>
      <c r="L84" s="12" t="n">
        <v>552</v>
      </c>
      <c r="M84" s="13" t="n">
        <v>399.99576</v>
      </c>
      <c r="N84" s="12" t="n">
        <f aca="false">IF(H84="","",$C$3-H84)</f>
        <v>26</v>
      </c>
      <c r="O84" s="9" t="str">
        <f aca="false">IF(AND(L84&lt;=$C$4,M84&lt;=$E$4),"&lt;=150pc &amp; &lt;=10kg",IF(N84="","TANPA TGL",IF(N84&lt;=5,"&lt;= 5 HARI",IF(N84&lt;=7,"&lt;= 7 HARI",IF(N84&lt;=14,"&lt;= 14 HARI","&gt; 14 HARI")))))</f>
        <v>&gt; 14 HARI</v>
      </c>
      <c r="P84" s="9" t="s">
        <v>51</v>
      </c>
      <c r="Q84" s="9" t="s">
        <v>238</v>
      </c>
      <c r="R84" s="9" t="s">
        <v>338</v>
      </c>
    </row>
    <row r="85" customFormat="false" ht="15" hidden="false" customHeight="false" outlineLevel="0" collapsed="false">
      <c r="A85" s="9" t="n">
        <v>80</v>
      </c>
      <c r="B85" s="9" t="s">
        <v>391</v>
      </c>
      <c r="C85" s="9" t="s">
        <v>404</v>
      </c>
      <c r="D85" s="9" t="s">
        <v>405</v>
      </c>
      <c r="E85" s="10" t="n">
        <v>0.31294</v>
      </c>
      <c r="F85" s="9" t="s">
        <v>406</v>
      </c>
      <c r="G85" s="9" t="s">
        <v>407</v>
      </c>
      <c r="H85" s="11" t="n">
        <v>46230</v>
      </c>
      <c r="I85" s="12" t="n">
        <v>8300</v>
      </c>
      <c r="J85" s="12" t="n">
        <v>1160</v>
      </c>
      <c r="K85" s="13" t="n">
        <v>363.0104</v>
      </c>
      <c r="L85" s="12" t="n">
        <v>1160</v>
      </c>
      <c r="M85" s="13" t="n">
        <v>363.0104</v>
      </c>
      <c r="N85" s="12" t="n">
        <f aca="false">IF(H85="","",$C$3-H85)</f>
        <v>7</v>
      </c>
      <c r="O85" s="9" t="str">
        <f aca="false">IF(AND(L85&lt;=$C$4,M85&lt;=$E$4),"&lt;=150pc &amp; &lt;=10kg",IF(N85="","TANPA TGL",IF(N85&lt;=5,"&lt;= 5 HARI",IF(N85&lt;=7,"&lt;= 7 HARI",IF(N85&lt;=14,"&lt;= 14 HARI","&gt; 14 HARI")))))</f>
        <v>&lt;= 7 HARI</v>
      </c>
      <c r="P85" s="9" t="s">
        <v>64</v>
      </c>
      <c r="Q85" s="9" t="s">
        <v>238</v>
      </c>
      <c r="R85" s="9" t="s">
        <v>338</v>
      </c>
    </row>
    <row r="86" customFormat="false" ht="15" hidden="false" customHeight="false" outlineLevel="0" collapsed="false">
      <c r="A86" s="9" t="n">
        <v>81</v>
      </c>
      <c r="B86" s="9" t="s">
        <v>408</v>
      </c>
      <c r="C86" s="9" t="s">
        <v>409</v>
      </c>
      <c r="D86" s="9" t="s">
        <v>410</v>
      </c>
      <c r="E86" s="10" t="n">
        <v>0.59715</v>
      </c>
      <c r="F86" s="9" t="s">
        <v>411</v>
      </c>
      <c r="G86" s="9" t="s">
        <v>412</v>
      </c>
      <c r="H86" s="11" t="n">
        <v>46169</v>
      </c>
      <c r="I86" s="12" t="n">
        <v>2500</v>
      </c>
      <c r="J86" s="12" t="n">
        <v>197</v>
      </c>
      <c r="K86" s="13" t="n">
        <v>117.63855</v>
      </c>
      <c r="L86" s="12" t="n">
        <v>197</v>
      </c>
      <c r="M86" s="13" t="n">
        <v>117.63855</v>
      </c>
      <c r="N86" s="12" t="n">
        <f aca="false">IF(H86="","",$C$3-H86)</f>
        <v>68</v>
      </c>
      <c r="O86" s="9" t="str">
        <f aca="false">IF(AND(L86&lt;=$C$4,M86&lt;=$E$4),"&lt;=150pc &amp; &lt;=10kg",IF(N86="","TANPA TGL",IF(N86&lt;=5,"&lt;= 5 HARI",IF(N86&lt;=7,"&lt;= 7 HARI",IF(N86&lt;=14,"&lt;= 14 HARI","&gt; 14 HARI")))))</f>
        <v>&gt; 14 HARI</v>
      </c>
      <c r="P86" s="9" t="s">
        <v>155</v>
      </c>
      <c r="Q86" s="9" t="s">
        <v>57</v>
      </c>
      <c r="R86" s="9" t="s">
        <v>58</v>
      </c>
    </row>
    <row r="87" customFormat="false" ht="15" hidden="false" customHeight="false" outlineLevel="0" collapsed="false">
      <c r="A87" s="9" t="n">
        <v>82</v>
      </c>
      <c r="B87" s="9" t="s">
        <v>413</v>
      </c>
      <c r="C87" s="9" t="s">
        <v>414</v>
      </c>
      <c r="D87" s="9" t="s">
        <v>415</v>
      </c>
      <c r="E87" s="10" t="n">
        <v>1.11518</v>
      </c>
      <c r="F87" s="9" t="s">
        <v>416</v>
      </c>
      <c r="G87" s="9" t="s">
        <v>417</v>
      </c>
      <c r="H87" s="11" t="n">
        <v>46234</v>
      </c>
      <c r="I87" s="12" t="n">
        <v>500</v>
      </c>
      <c r="J87" s="12" t="n">
        <v>510</v>
      </c>
      <c r="K87" s="13" t="n">
        <v>568.7418</v>
      </c>
      <c r="L87" s="12" t="n">
        <v>0</v>
      </c>
      <c r="M87" s="13" t="n">
        <v>0</v>
      </c>
      <c r="N87" s="12" t="n">
        <f aca="false">IF(H87="","",$C$3-H87)</f>
        <v>3</v>
      </c>
      <c r="O87" s="9" t="str">
        <f aca="false">IF(AND(L87&lt;=$C$4,M87&lt;=$E$4),"&lt;=150pc &amp; &lt;=10kg",IF(N87="","TANPA TGL",IF(N87&lt;=5,"&lt;= 5 HARI",IF(N87&lt;=7,"&lt;= 7 HARI",IF(N87&lt;=14,"&lt;= 14 HARI","&gt; 14 HARI")))))</f>
        <v>&lt;=150pc &amp; &lt;=10kg</v>
      </c>
      <c r="P87" s="9"/>
      <c r="Q87" s="9" t="s">
        <v>238</v>
      </c>
      <c r="R87" s="9" t="s">
        <v>45</v>
      </c>
    </row>
    <row r="88" customFormat="false" ht="15" hidden="false" customHeight="false" outlineLevel="0" collapsed="false">
      <c r="A88" s="9" t="n">
        <v>83</v>
      </c>
      <c r="B88" s="9" t="s">
        <v>413</v>
      </c>
      <c r="C88" s="9" t="s">
        <v>418</v>
      </c>
      <c r="D88" s="9" t="s">
        <v>419</v>
      </c>
      <c r="E88" s="10" t="n">
        <v>0.21421</v>
      </c>
      <c r="F88" s="9" t="s">
        <v>420</v>
      </c>
      <c r="G88" s="9" t="s">
        <v>421</v>
      </c>
      <c r="H88" s="11" t="n">
        <v>46231</v>
      </c>
      <c r="I88" s="12" t="n">
        <v>5000</v>
      </c>
      <c r="J88" s="12" t="n">
        <v>5040</v>
      </c>
      <c r="K88" s="13" t="n">
        <v>1079.6184</v>
      </c>
      <c r="L88" s="12" t="n">
        <v>0</v>
      </c>
      <c r="M88" s="13" t="n">
        <v>0</v>
      </c>
      <c r="N88" s="12" t="n">
        <f aca="false">IF(H88="","",$C$3-H88)</f>
        <v>6</v>
      </c>
      <c r="O88" s="9" t="str">
        <f aca="false">IF(AND(L88&lt;=$C$4,M88&lt;=$E$4),"&lt;=150pc &amp; &lt;=10kg",IF(N88="","TANPA TGL",IF(N88&lt;=5,"&lt;= 5 HARI",IF(N88&lt;=7,"&lt;= 7 HARI",IF(N88&lt;=14,"&lt;= 14 HARI","&gt; 14 HARI")))))</f>
        <v>&lt;=150pc &amp; &lt;=10kg</v>
      </c>
      <c r="P88" s="9"/>
      <c r="Q88" s="9" t="s">
        <v>238</v>
      </c>
      <c r="R88" s="9" t="s">
        <v>45</v>
      </c>
    </row>
    <row r="89" customFormat="false" ht="15" hidden="false" customHeight="false" outlineLevel="0" collapsed="false">
      <c r="A89" s="9" t="n">
        <v>84</v>
      </c>
      <c r="B89" s="9" t="s">
        <v>422</v>
      </c>
      <c r="C89" s="9" t="s">
        <v>423</v>
      </c>
      <c r="D89" s="9" t="s">
        <v>424</v>
      </c>
      <c r="E89" s="10" t="n">
        <v>0.32865</v>
      </c>
      <c r="F89" s="9" t="s">
        <v>425</v>
      </c>
      <c r="G89" s="9" t="s">
        <v>426</v>
      </c>
      <c r="H89" s="11" t="n">
        <v>46232</v>
      </c>
      <c r="I89" s="12" t="n">
        <v>10000</v>
      </c>
      <c r="J89" s="12" t="n">
        <v>1680</v>
      </c>
      <c r="K89" s="13" t="n">
        <v>552.132</v>
      </c>
      <c r="L89" s="12" t="n">
        <v>1680</v>
      </c>
      <c r="M89" s="13" t="n">
        <v>552.132</v>
      </c>
      <c r="N89" s="12" t="n">
        <f aca="false">IF(H89="","",$C$3-H89)</f>
        <v>5</v>
      </c>
      <c r="O89" s="9" t="str">
        <f aca="false">IF(AND(L89&lt;=$C$4,M89&lt;=$E$4),"&lt;=150pc &amp; &lt;=10kg",IF(N89="","TANPA TGL",IF(N89&lt;=5,"&lt;= 5 HARI",IF(N89&lt;=7,"&lt;= 7 HARI",IF(N89&lt;=14,"&lt;= 14 HARI","&gt; 14 HARI")))))</f>
        <v>&lt;= 5 HARI</v>
      </c>
      <c r="P89" s="9"/>
      <c r="Q89" s="9" t="s">
        <v>238</v>
      </c>
      <c r="R89" s="9" t="s">
        <v>58</v>
      </c>
    </row>
    <row r="90" customFormat="false" ht="15" hidden="false" customHeight="false" outlineLevel="0" collapsed="false">
      <c r="A90" s="9" t="n">
        <v>85</v>
      </c>
      <c r="B90" s="9" t="s">
        <v>422</v>
      </c>
      <c r="C90" s="9" t="s">
        <v>427</v>
      </c>
      <c r="D90" s="9" t="s">
        <v>428</v>
      </c>
      <c r="E90" s="10" t="n">
        <v>0.3335</v>
      </c>
      <c r="F90" s="9" t="s">
        <v>429</v>
      </c>
      <c r="G90" s="9" t="s">
        <v>430</v>
      </c>
      <c r="H90" s="11" t="n">
        <v>46230</v>
      </c>
      <c r="I90" s="12" t="n">
        <v>6000</v>
      </c>
      <c r="J90" s="12" t="n">
        <v>900</v>
      </c>
      <c r="K90" s="13" t="n">
        <v>300.15</v>
      </c>
      <c r="L90" s="12" t="n">
        <v>0</v>
      </c>
      <c r="M90" s="13" t="n">
        <v>0</v>
      </c>
      <c r="N90" s="12" t="n">
        <f aca="false">IF(H90="","",$C$3-H90)</f>
        <v>7</v>
      </c>
      <c r="O90" s="9" t="str">
        <f aca="false">IF(AND(L90&lt;=$C$4,M90&lt;=$E$4),"&lt;=150pc &amp; &lt;=10kg",IF(N90="","TANPA TGL",IF(N90&lt;=5,"&lt;= 5 HARI",IF(N90&lt;=7,"&lt;= 7 HARI",IF(N90&lt;=14,"&lt;= 14 HARI","&gt; 14 HARI")))))</f>
        <v>&lt;=150pc &amp; &lt;=10kg</v>
      </c>
      <c r="P90" s="9"/>
      <c r="Q90" s="9" t="s">
        <v>238</v>
      </c>
      <c r="R90" s="9" t="s">
        <v>58</v>
      </c>
    </row>
    <row r="91" customFormat="false" ht="15" hidden="false" customHeight="false" outlineLevel="0" collapsed="false">
      <c r="A91" s="9" t="n">
        <v>86</v>
      </c>
      <c r="B91" s="9" t="s">
        <v>422</v>
      </c>
      <c r="C91" s="9" t="s">
        <v>431</v>
      </c>
      <c r="D91" s="9" t="s">
        <v>432</v>
      </c>
      <c r="E91" s="10" t="n">
        <v>0.35224</v>
      </c>
      <c r="F91" s="9" t="s">
        <v>433</v>
      </c>
      <c r="G91" s="9" t="s">
        <v>434</v>
      </c>
      <c r="H91" s="11" t="n">
        <v>46232</v>
      </c>
      <c r="I91" s="12" t="n">
        <v>10000</v>
      </c>
      <c r="J91" s="12" t="n">
        <v>4880</v>
      </c>
      <c r="K91" s="13" t="n">
        <v>1718.9312</v>
      </c>
      <c r="L91" s="12" t="n">
        <v>820</v>
      </c>
      <c r="M91" s="13" t="n">
        <v>288.8368</v>
      </c>
      <c r="N91" s="12" t="n">
        <f aca="false">IF(H91="","",$C$3-H91)</f>
        <v>5</v>
      </c>
      <c r="O91" s="9" t="str">
        <f aca="false">IF(AND(L91&lt;=$C$4,M91&lt;=$E$4),"&lt;=150pc &amp; &lt;=10kg",IF(N91="","TANPA TGL",IF(N91&lt;=5,"&lt;= 5 HARI",IF(N91&lt;=7,"&lt;= 7 HARI",IF(N91&lt;=14,"&lt;= 14 HARI","&gt; 14 HARI")))))</f>
        <v>&lt;= 5 HARI</v>
      </c>
      <c r="P91" s="9"/>
      <c r="Q91" s="9" t="s">
        <v>238</v>
      </c>
      <c r="R91" s="9" t="s">
        <v>58</v>
      </c>
    </row>
    <row r="92" customFormat="false" ht="15" hidden="false" customHeight="false" outlineLevel="0" collapsed="false">
      <c r="A92" s="9" t="n">
        <v>87</v>
      </c>
      <c r="B92" s="9" t="s">
        <v>435</v>
      </c>
      <c r="C92" s="9" t="s">
        <v>436</v>
      </c>
      <c r="D92" s="9" t="s">
        <v>437</v>
      </c>
      <c r="E92" s="10" t="n">
        <v>0.05445</v>
      </c>
      <c r="F92" s="9" t="s">
        <v>438</v>
      </c>
      <c r="G92" s="9" t="s">
        <v>439</v>
      </c>
      <c r="H92" s="11" t="n">
        <v>46194</v>
      </c>
      <c r="I92" s="12" t="n">
        <v>40000</v>
      </c>
      <c r="J92" s="12" t="n">
        <v>240</v>
      </c>
      <c r="K92" s="13" t="n">
        <v>13.068</v>
      </c>
      <c r="L92" s="12" t="n">
        <v>240</v>
      </c>
      <c r="M92" s="13" t="n">
        <v>13.068</v>
      </c>
      <c r="N92" s="12" t="n">
        <f aca="false">IF(H92="","",$C$3-H92)</f>
        <v>43</v>
      </c>
      <c r="O92" s="9" t="str">
        <f aca="false">IF(AND(L92&lt;=$C$4,M92&lt;=$E$4),"&lt;=150pc &amp; &lt;=10kg",IF(N92="","TANPA TGL",IF(N92&lt;=5,"&lt;= 5 HARI",IF(N92&lt;=7,"&lt;= 7 HARI",IF(N92&lt;=14,"&lt;= 14 HARI","&gt; 14 HARI")))))</f>
        <v>&gt; 14 HARI</v>
      </c>
      <c r="P92" s="9" t="s">
        <v>161</v>
      </c>
      <c r="Q92" s="9" t="s">
        <v>30</v>
      </c>
      <c r="R92" s="9" t="s">
        <v>440</v>
      </c>
    </row>
    <row r="93" customFormat="false" ht="15" hidden="false" customHeight="false" outlineLevel="0" collapsed="false">
      <c r="A93" s="9" t="n">
        <v>88</v>
      </c>
      <c r="B93" s="9" t="s">
        <v>441</v>
      </c>
      <c r="C93" s="9" t="s">
        <v>442</v>
      </c>
      <c r="D93" s="9" t="s">
        <v>443</v>
      </c>
      <c r="E93" s="10" t="n">
        <v>0.08454</v>
      </c>
      <c r="F93" s="9" t="s">
        <v>444</v>
      </c>
      <c r="G93" s="9" t="s">
        <v>445</v>
      </c>
      <c r="H93" s="11" t="n">
        <v>46188</v>
      </c>
      <c r="I93" s="12" t="n">
        <v>5000</v>
      </c>
      <c r="J93" s="12" t="n">
        <v>400</v>
      </c>
      <c r="K93" s="13" t="n">
        <v>33.816</v>
      </c>
      <c r="L93" s="12" t="n">
        <v>400</v>
      </c>
      <c r="M93" s="13" t="n">
        <v>33.816</v>
      </c>
      <c r="N93" s="12" t="n">
        <f aca="false">IF(H93="","",$C$3-H93)</f>
        <v>49</v>
      </c>
      <c r="O93" s="9" t="str">
        <f aca="false">IF(AND(L93&lt;=$C$4,M93&lt;=$E$4),"&lt;=150pc &amp; &lt;=10kg",IF(N93="","TANPA TGL",IF(N93&lt;=5,"&lt;= 5 HARI",IF(N93&lt;=7,"&lt;= 7 HARI",IF(N93&lt;=14,"&lt;= 14 HARI","&gt; 14 HARI")))))</f>
        <v>&gt; 14 HARI</v>
      </c>
      <c r="P93" s="9"/>
      <c r="Q93" s="9" t="s">
        <v>65</v>
      </c>
      <c r="R93" s="9" t="s">
        <v>66</v>
      </c>
    </row>
    <row r="94" customFormat="false" ht="15" hidden="false" customHeight="false" outlineLevel="0" collapsed="false">
      <c r="A94" s="9" t="n">
        <v>89</v>
      </c>
      <c r="B94" s="9" t="s">
        <v>441</v>
      </c>
      <c r="C94" s="9" t="s">
        <v>446</v>
      </c>
      <c r="D94" s="9" t="s">
        <v>447</v>
      </c>
      <c r="E94" s="10" t="n">
        <v>0.09732</v>
      </c>
      <c r="F94" s="9" t="s">
        <v>448</v>
      </c>
      <c r="G94" s="9" t="s">
        <v>449</v>
      </c>
      <c r="H94" s="11" t="n">
        <v>46232</v>
      </c>
      <c r="I94" s="12" t="n">
        <v>10000</v>
      </c>
      <c r="J94" s="12" t="n">
        <v>10400</v>
      </c>
      <c r="K94" s="13" t="n">
        <v>1012.128</v>
      </c>
      <c r="L94" s="12" t="n">
        <v>0</v>
      </c>
      <c r="M94" s="13" t="n">
        <v>0</v>
      </c>
      <c r="N94" s="12" t="n">
        <f aca="false">IF(H94="","",$C$3-H94)</f>
        <v>5</v>
      </c>
      <c r="O94" s="9" t="str">
        <f aca="false">IF(AND(L94&lt;=$C$4,M94&lt;=$E$4),"&lt;=150pc &amp; &lt;=10kg",IF(N94="","TANPA TGL",IF(N94&lt;=5,"&lt;= 5 HARI",IF(N94&lt;=7,"&lt;= 7 HARI",IF(N94&lt;=14,"&lt;= 14 HARI","&gt; 14 HARI")))))</f>
        <v>&lt;=150pc &amp; &lt;=10kg</v>
      </c>
      <c r="P94" s="9"/>
      <c r="Q94" s="9" t="s">
        <v>65</v>
      </c>
      <c r="R94" s="9" t="s">
        <v>66</v>
      </c>
    </row>
    <row r="95" customFormat="false" ht="15" hidden="false" customHeight="false" outlineLevel="0" collapsed="false">
      <c r="A95" s="9" t="n">
        <v>90</v>
      </c>
      <c r="B95" s="9" t="s">
        <v>450</v>
      </c>
      <c r="C95" s="9" t="s">
        <v>451</v>
      </c>
      <c r="D95" s="9" t="s">
        <v>452</v>
      </c>
      <c r="E95" s="10" t="n">
        <v>1.08679</v>
      </c>
      <c r="F95" s="9" t="s">
        <v>453</v>
      </c>
      <c r="G95" s="9" t="s">
        <v>454</v>
      </c>
      <c r="H95" s="11" t="n">
        <v>46181</v>
      </c>
      <c r="I95" s="12" t="n">
        <v>21970</v>
      </c>
      <c r="J95" s="12" t="n">
        <v>150</v>
      </c>
      <c r="K95" s="13" t="n">
        <v>163.0185</v>
      </c>
      <c r="L95" s="12" t="n">
        <v>150</v>
      </c>
      <c r="M95" s="13" t="n">
        <v>163.0185</v>
      </c>
      <c r="N95" s="12" t="n">
        <f aca="false">IF(H95="","",$C$3-H95)</f>
        <v>56</v>
      </c>
      <c r="O95" s="9" t="str">
        <f aca="false">IF(AND(L95&lt;=$C$4,M95&lt;=$E$4),"&lt;=150pc &amp; &lt;=10kg",IF(N95="","TANPA TGL",IF(N95&lt;=5,"&lt;= 5 HARI",IF(N95&lt;=7,"&lt;= 7 HARI",IF(N95&lt;=14,"&lt;= 14 HARI","&gt; 14 HARI")))))</f>
        <v>&gt; 14 HARI</v>
      </c>
      <c r="P95" s="9"/>
      <c r="Q95" s="9" t="s">
        <v>57</v>
      </c>
      <c r="R95" s="9" t="s">
        <v>58</v>
      </c>
    </row>
    <row r="96" customFormat="false" ht="15" hidden="false" customHeight="false" outlineLevel="0" collapsed="false">
      <c r="A96" s="9" t="n">
        <v>91</v>
      </c>
      <c r="B96" s="9" t="s">
        <v>455</v>
      </c>
      <c r="C96" s="9" t="s">
        <v>456</v>
      </c>
      <c r="D96" s="9" t="s">
        <v>335</v>
      </c>
      <c r="E96" s="10" t="n">
        <v>0.29254</v>
      </c>
      <c r="F96" s="9" t="s">
        <v>457</v>
      </c>
      <c r="G96" s="9" t="s">
        <v>458</v>
      </c>
      <c r="H96" s="11" t="n">
        <v>46231</v>
      </c>
      <c r="I96" s="12" t="n">
        <v>15000</v>
      </c>
      <c r="J96" s="12" t="n">
        <v>2280</v>
      </c>
      <c r="K96" s="13" t="n">
        <v>666.9912</v>
      </c>
      <c r="L96" s="12" t="n">
        <v>2280</v>
      </c>
      <c r="M96" s="13" t="n">
        <v>666.9912</v>
      </c>
      <c r="N96" s="12" t="n">
        <f aca="false">IF(H96="","",$C$3-H96)</f>
        <v>6</v>
      </c>
      <c r="O96" s="9" t="str">
        <f aca="false">IF(AND(L96&lt;=$C$4,M96&lt;=$E$4),"&lt;=150pc &amp; &lt;=10kg",IF(N96="","TANPA TGL",IF(N96&lt;=5,"&lt;= 5 HARI",IF(N96&lt;=7,"&lt;= 7 HARI",IF(N96&lt;=14,"&lt;= 14 HARI","&gt; 14 HARI")))))</f>
        <v>&lt;= 7 HARI</v>
      </c>
      <c r="P96" s="9" t="s">
        <v>51</v>
      </c>
      <c r="Q96" s="9" t="s">
        <v>238</v>
      </c>
      <c r="R96" s="9" t="s">
        <v>338</v>
      </c>
    </row>
    <row r="97" customFormat="false" ht="15" hidden="false" customHeight="false" outlineLevel="0" collapsed="false">
      <c r="A97" s="9" t="n">
        <v>92</v>
      </c>
      <c r="B97" s="9" t="s">
        <v>459</v>
      </c>
      <c r="C97" s="9" t="s">
        <v>460</v>
      </c>
      <c r="D97" s="9" t="s">
        <v>461</v>
      </c>
      <c r="E97" s="10" t="n">
        <v>0.18566</v>
      </c>
      <c r="F97" s="9" t="s">
        <v>462</v>
      </c>
      <c r="G97" s="9" t="s">
        <v>463</v>
      </c>
      <c r="H97" s="11" t="n">
        <v>46223</v>
      </c>
      <c r="I97" s="12" t="n">
        <v>7200</v>
      </c>
      <c r="J97" s="12" t="n">
        <v>100</v>
      </c>
      <c r="K97" s="13" t="n">
        <v>18.566</v>
      </c>
      <c r="L97" s="12" t="n">
        <v>100</v>
      </c>
      <c r="M97" s="13" t="n">
        <v>18.566</v>
      </c>
      <c r="N97" s="12" t="n">
        <f aca="false">IF(H97="","",$C$3-H97)</f>
        <v>14</v>
      </c>
      <c r="O97" s="9" t="str">
        <f aca="false">IF(AND(L97&lt;=$C$4,M97&lt;=$E$4),"&lt;=150pc &amp; &lt;=10kg",IF(N97="","TANPA TGL",IF(N97&lt;=5,"&lt;= 5 HARI",IF(N97&lt;=7,"&lt;= 7 HARI",IF(N97&lt;=14,"&lt;= 14 HARI","&gt; 14 HARI")))))</f>
        <v>&lt;= 14 HARI</v>
      </c>
      <c r="P97" s="9"/>
      <c r="Q97" s="9" t="s">
        <v>133</v>
      </c>
      <c r="R97" s="9" t="s">
        <v>134</v>
      </c>
    </row>
    <row r="98" customFormat="false" ht="15" hidden="false" customHeight="false" outlineLevel="0" collapsed="false">
      <c r="A98" s="9" t="n">
        <v>93</v>
      </c>
      <c r="B98" s="9" t="s">
        <v>464</v>
      </c>
      <c r="C98" s="9" t="s">
        <v>465</v>
      </c>
      <c r="D98" s="9" t="s">
        <v>466</v>
      </c>
      <c r="E98" s="10" t="n">
        <v>0.89446</v>
      </c>
      <c r="F98" s="9" t="s">
        <v>467</v>
      </c>
      <c r="G98" s="9" t="s">
        <v>468</v>
      </c>
      <c r="H98" s="11" t="n">
        <v>46223</v>
      </c>
      <c r="I98" s="12" t="n">
        <v>15000</v>
      </c>
      <c r="J98" s="12" t="n">
        <v>280</v>
      </c>
      <c r="K98" s="13" t="n">
        <v>250.4488</v>
      </c>
      <c r="L98" s="12" t="n">
        <v>280</v>
      </c>
      <c r="M98" s="13" t="n">
        <v>250.4488</v>
      </c>
      <c r="N98" s="12" t="n">
        <f aca="false">IF(H98="","",$C$3-H98)</f>
        <v>14</v>
      </c>
      <c r="O98" s="9" t="str">
        <f aca="false">IF(AND(L98&lt;=$C$4,M98&lt;=$E$4),"&lt;=150pc &amp; &lt;=10kg",IF(N98="","TANPA TGL",IF(N98&lt;=5,"&lt;= 5 HARI",IF(N98&lt;=7,"&lt;= 7 HARI",IF(N98&lt;=14,"&lt;= 14 HARI","&gt; 14 HARI")))))</f>
        <v>&lt;= 14 HARI</v>
      </c>
      <c r="P98" s="9" t="s">
        <v>64</v>
      </c>
      <c r="Q98" s="9" t="s">
        <v>107</v>
      </c>
      <c r="R98" s="9" t="s">
        <v>108</v>
      </c>
    </row>
    <row r="99" customFormat="false" ht="15" hidden="false" customHeight="false" outlineLevel="0" collapsed="false">
      <c r="A99" s="9" t="n">
        <v>94</v>
      </c>
      <c r="B99" s="9" t="s">
        <v>464</v>
      </c>
      <c r="C99" s="9" t="s">
        <v>469</v>
      </c>
      <c r="D99" s="9" t="s">
        <v>470</v>
      </c>
      <c r="E99" s="10" t="n">
        <v>0.92062</v>
      </c>
      <c r="F99" s="9" t="s">
        <v>471</v>
      </c>
      <c r="G99" s="9" t="s">
        <v>472</v>
      </c>
      <c r="H99" s="11" t="n">
        <v>46176</v>
      </c>
      <c r="I99" s="12" t="n">
        <v>15000</v>
      </c>
      <c r="J99" s="12" t="n">
        <v>2800</v>
      </c>
      <c r="K99" s="13" t="n">
        <v>2577.736</v>
      </c>
      <c r="L99" s="12" t="n">
        <v>2800</v>
      </c>
      <c r="M99" s="13" t="n">
        <v>2577.736</v>
      </c>
      <c r="N99" s="12" t="n">
        <f aca="false">IF(H99="","",$C$3-H99)</f>
        <v>61</v>
      </c>
      <c r="O99" s="9" t="str">
        <f aca="false">IF(AND(L99&lt;=$C$4,M99&lt;=$E$4),"&lt;=150pc &amp; &lt;=10kg",IF(N99="","TANPA TGL",IF(N99&lt;=5,"&lt;= 5 HARI",IF(N99&lt;=7,"&lt;= 7 HARI",IF(N99&lt;=14,"&lt;= 14 HARI","&gt; 14 HARI")))))</f>
        <v>&gt; 14 HARI</v>
      </c>
      <c r="P99" s="9" t="s">
        <v>64</v>
      </c>
      <c r="Q99" s="9" t="s">
        <v>107</v>
      </c>
      <c r="R99" s="9" t="s">
        <v>108</v>
      </c>
    </row>
    <row r="100" customFormat="false" ht="15" hidden="false" customHeight="false" outlineLevel="0" collapsed="false">
      <c r="A100" s="9" t="n">
        <v>95</v>
      </c>
      <c r="B100" s="9" t="s">
        <v>464</v>
      </c>
      <c r="C100" s="9" t="s">
        <v>473</v>
      </c>
      <c r="D100" s="9" t="s">
        <v>474</v>
      </c>
      <c r="E100" s="10" t="n">
        <v>0.80703</v>
      </c>
      <c r="F100" s="9" t="s">
        <v>475</v>
      </c>
      <c r="G100" s="9" t="s">
        <v>476</v>
      </c>
      <c r="H100" s="11" t="n">
        <v>46204</v>
      </c>
      <c r="I100" s="12" t="n">
        <v>15000</v>
      </c>
      <c r="J100" s="12" t="n">
        <v>840</v>
      </c>
      <c r="K100" s="13" t="n">
        <v>677.9052</v>
      </c>
      <c r="L100" s="12" t="n">
        <v>840</v>
      </c>
      <c r="M100" s="13" t="n">
        <v>677.9052</v>
      </c>
      <c r="N100" s="12" t="n">
        <f aca="false">IF(H100="","",$C$3-H100)</f>
        <v>33</v>
      </c>
      <c r="O100" s="9" t="str">
        <f aca="false">IF(AND(L100&lt;=$C$4,M100&lt;=$E$4),"&lt;=150pc &amp; &lt;=10kg",IF(N100="","TANPA TGL",IF(N100&lt;=5,"&lt;= 5 HARI",IF(N100&lt;=7,"&lt;= 7 HARI",IF(N100&lt;=14,"&lt;= 14 HARI","&gt; 14 HARI")))))</f>
        <v>&gt; 14 HARI</v>
      </c>
      <c r="P100" s="9" t="s">
        <v>64</v>
      </c>
      <c r="Q100" s="9" t="s">
        <v>107</v>
      </c>
      <c r="R100" s="9" t="s">
        <v>108</v>
      </c>
    </row>
    <row r="101" customFormat="false" ht="15" hidden="false" customHeight="false" outlineLevel="0" collapsed="false">
      <c r="A101" s="9" t="n">
        <v>96</v>
      </c>
      <c r="B101" s="9" t="s">
        <v>477</v>
      </c>
      <c r="C101" s="9" t="s">
        <v>478</v>
      </c>
      <c r="D101" s="9" t="s">
        <v>479</v>
      </c>
      <c r="E101" s="10" t="n">
        <v>0.77748</v>
      </c>
      <c r="F101" s="9" t="s">
        <v>480</v>
      </c>
      <c r="G101" s="9" t="s">
        <v>481</v>
      </c>
      <c r="H101" s="11" t="n">
        <v>46234</v>
      </c>
      <c r="I101" s="12" t="n">
        <v>46000</v>
      </c>
      <c r="J101" s="12" t="n">
        <v>4500</v>
      </c>
      <c r="K101" s="13" t="n">
        <v>3498.66</v>
      </c>
      <c r="L101" s="12" t="n">
        <v>4500</v>
      </c>
      <c r="M101" s="13" t="n">
        <v>3498.66</v>
      </c>
      <c r="N101" s="12" t="n">
        <f aca="false">IF(H101="","",$C$3-H101)</f>
        <v>3</v>
      </c>
      <c r="O101" s="9" t="str">
        <f aca="false">IF(AND(L101&lt;=$C$4,M101&lt;=$E$4),"&lt;=150pc &amp; &lt;=10kg",IF(N101="","TANPA TGL",IF(N101&lt;=5,"&lt;= 5 HARI",IF(N101&lt;=7,"&lt;= 7 HARI",IF(N101&lt;=14,"&lt;= 14 HARI","&gt; 14 HARI")))))</f>
        <v>&lt;= 5 HARI</v>
      </c>
      <c r="P101" s="9"/>
      <c r="Q101" s="9" t="s">
        <v>44</v>
      </c>
      <c r="R101" s="9" t="s">
        <v>45</v>
      </c>
    </row>
    <row r="102" customFormat="false" ht="15" hidden="false" customHeight="false" outlineLevel="0" collapsed="false">
      <c r="A102" s="9" t="n">
        <v>97</v>
      </c>
      <c r="B102" s="9" t="s">
        <v>482</v>
      </c>
      <c r="C102" s="9" t="s">
        <v>483</v>
      </c>
      <c r="D102" s="9" t="s">
        <v>484</v>
      </c>
      <c r="E102" s="10" t="n">
        <v>0.99486</v>
      </c>
      <c r="F102" s="9" t="s">
        <v>485</v>
      </c>
      <c r="G102" s="9" t="s">
        <v>486</v>
      </c>
      <c r="H102" s="11" t="n">
        <v>46233</v>
      </c>
      <c r="I102" s="12" t="n">
        <v>4000</v>
      </c>
      <c r="J102" s="12" t="n">
        <v>2260</v>
      </c>
      <c r="K102" s="13" t="n">
        <v>2248.3836</v>
      </c>
      <c r="L102" s="12" t="n">
        <v>450</v>
      </c>
      <c r="M102" s="13" t="n">
        <v>447.687</v>
      </c>
      <c r="N102" s="12" t="n">
        <f aca="false">IF(H102="","",$C$3-H102)</f>
        <v>4</v>
      </c>
      <c r="O102" s="9" t="str">
        <f aca="false">IF(AND(L102&lt;=$C$4,M102&lt;=$E$4),"&lt;=150pc &amp; &lt;=10kg",IF(N102="","TANPA TGL",IF(N102&lt;=5,"&lt;= 5 HARI",IF(N102&lt;=7,"&lt;= 7 HARI",IF(N102&lt;=14,"&lt;= 14 HARI","&gt; 14 HARI")))))</f>
        <v>&lt;= 5 HARI</v>
      </c>
      <c r="P102" s="9"/>
      <c r="Q102" s="9" t="s">
        <v>44</v>
      </c>
      <c r="R102" s="9" t="s">
        <v>45</v>
      </c>
    </row>
    <row r="103" customFormat="false" ht="15" hidden="false" customHeight="false" outlineLevel="0" collapsed="false">
      <c r="A103" s="9" t="n">
        <v>98</v>
      </c>
      <c r="B103" s="9" t="s">
        <v>487</v>
      </c>
      <c r="C103" s="9" t="s">
        <v>488</v>
      </c>
      <c r="D103" s="9" t="s">
        <v>489</v>
      </c>
      <c r="E103" s="10" t="n">
        <v>0.21822</v>
      </c>
      <c r="F103" s="9" t="s">
        <v>490</v>
      </c>
      <c r="G103" s="9" t="s">
        <v>491</v>
      </c>
      <c r="H103" s="11" t="n">
        <v>46235</v>
      </c>
      <c r="I103" s="12" t="n">
        <v>5000</v>
      </c>
      <c r="J103" s="12" t="n">
        <v>0</v>
      </c>
      <c r="K103" s="13" t="n">
        <v>0</v>
      </c>
      <c r="L103" s="12" t="n">
        <v>5000</v>
      </c>
      <c r="M103" s="13" t="n">
        <v>1091.1</v>
      </c>
      <c r="N103" s="12" t="n">
        <f aca="false">IF(H103="","",$C$3-H103)</f>
        <v>2</v>
      </c>
      <c r="O103" s="9" t="str">
        <f aca="false">IF(AND(L103&lt;=$C$4,M103&lt;=$E$4),"&lt;=150pc &amp; &lt;=10kg",IF(N103="","TANPA TGL",IF(N103&lt;=5,"&lt;= 5 HARI",IF(N103&lt;=7,"&lt;= 7 HARI",IF(N103&lt;=14,"&lt;= 14 HARI","&gt; 14 HARI")))))</f>
        <v>&lt;= 5 HARI</v>
      </c>
      <c r="P103" s="9"/>
      <c r="Q103" s="9" t="s">
        <v>65</v>
      </c>
      <c r="R103" s="9" t="s">
        <v>122</v>
      </c>
    </row>
    <row r="104" customFormat="false" ht="15" hidden="false" customHeight="false" outlineLevel="0" collapsed="false">
      <c r="A104" s="9" t="n">
        <v>99</v>
      </c>
      <c r="B104" s="9" t="s">
        <v>492</v>
      </c>
      <c r="C104" s="9" t="s">
        <v>493</v>
      </c>
      <c r="D104" s="9" t="s">
        <v>494</v>
      </c>
      <c r="E104" s="10" t="n">
        <v>0.10882</v>
      </c>
      <c r="F104" s="9" t="s">
        <v>495</v>
      </c>
      <c r="G104" s="9" t="s">
        <v>496</v>
      </c>
      <c r="H104" s="11" t="n">
        <v>46215</v>
      </c>
      <c r="I104" s="12" t="n">
        <v>11000</v>
      </c>
      <c r="J104" s="12" t="n">
        <v>900</v>
      </c>
      <c r="K104" s="13" t="n">
        <v>97.938</v>
      </c>
      <c r="L104" s="12" t="n">
        <v>900</v>
      </c>
      <c r="M104" s="13" t="n">
        <v>97.938</v>
      </c>
      <c r="N104" s="12" t="n">
        <f aca="false">IF(H104="","",$C$3-H104)</f>
        <v>22</v>
      </c>
      <c r="O104" s="9" t="str">
        <f aca="false">IF(AND(L104&lt;=$C$4,M104&lt;=$E$4),"&lt;=150pc &amp; &lt;=10kg",IF(N104="","TANPA TGL",IF(N104&lt;=5,"&lt;= 5 HARI",IF(N104&lt;=7,"&lt;= 7 HARI",IF(N104&lt;=14,"&lt;= 14 HARI","&gt; 14 HARI")))))</f>
        <v>&gt; 14 HARI</v>
      </c>
      <c r="P104" s="9" t="s">
        <v>144</v>
      </c>
      <c r="Q104" s="9" t="s">
        <v>57</v>
      </c>
      <c r="R104" s="9" t="s">
        <v>45</v>
      </c>
    </row>
    <row r="105" customFormat="false" ht="15" hidden="false" customHeight="false" outlineLevel="0" collapsed="false">
      <c r="A105" s="9" t="n">
        <v>100</v>
      </c>
      <c r="B105" s="9" t="s">
        <v>497</v>
      </c>
      <c r="C105" s="9" t="s">
        <v>498</v>
      </c>
      <c r="D105" s="9" t="s">
        <v>499</v>
      </c>
      <c r="E105" s="10" t="n">
        <v>1.28486</v>
      </c>
      <c r="F105" s="9" t="s">
        <v>500</v>
      </c>
      <c r="G105" s="9" t="s">
        <v>501</v>
      </c>
      <c r="H105" s="11" t="n">
        <v>46213</v>
      </c>
      <c r="I105" s="12" t="n">
        <v>1200</v>
      </c>
      <c r="J105" s="12" t="n">
        <v>105</v>
      </c>
      <c r="K105" s="13" t="n">
        <v>134.9103</v>
      </c>
      <c r="L105" s="12" t="n">
        <v>105</v>
      </c>
      <c r="M105" s="13" t="n">
        <v>134.9103</v>
      </c>
      <c r="N105" s="12" t="n">
        <f aca="false">IF(H105="","",$C$3-H105)</f>
        <v>24</v>
      </c>
      <c r="O105" s="9" t="str">
        <f aca="false">IF(AND(L105&lt;=$C$4,M105&lt;=$E$4),"&lt;=150pc &amp; &lt;=10kg",IF(N105="","TANPA TGL",IF(N105&lt;=5,"&lt;= 5 HARI",IF(N105&lt;=7,"&lt;= 7 HARI",IF(N105&lt;=14,"&lt;= 14 HARI","&gt; 14 HARI")))))</f>
        <v>&gt; 14 HARI</v>
      </c>
      <c r="P105" s="9" t="s">
        <v>144</v>
      </c>
      <c r="Q105" s="9" t="s">
        <v>57</v>
      </c>
      <c r="R105" s="9" t="s">
        <v>58</v>
      </c>
    </row>
    <row r="106" customFormat="false" ht="15" hidden="false" customHeight="false" outlineLevel="0" collapsed="false">
      <c r="A106" s="9" t="n">
        <v>101</v>
      </c>
      <c r="B106" s="9" t="s">
        <v>497</v>
      </c>
      <c r="C106" s="9" t="s">
        <v>502</v>
      </c>
      <c r="D106" s="9" t="s">
        <v>503</v>
      </c>
      <c r="E106" s="10" t="n">
        <v>1.08197</v>
      </c>
      <c r="F106" s="9" t="s">
        <v>504</v>
      </c>
      <c r="G106" s="9" t="s">
        <v>505</v>
      </c>
      <c r="H106" s="11" t="n">
        <v>46220</v>
      </c>
      <c r="I106" s="12" t="n">
        <v>1200</v>
      </c>
      <c r="J106" s="12" t="n">
        <v>77</v>
      </c>
      <c r="K106" s="13" t="n">
        <v>83.31169</v>
      </c>
      <c r="L106" s="12" t="n">
        <v>77</v>
      </c>
      <c r="M106" s="13" t="n">
        <v>83.31169</v>
      </c>
      <c r="N106" s="12" t="n">
        <f aca="false">IF(H106="","",$C$3-H106)</f>
        <v>17</v>
      </c>
      <c r="O106" s="9" t="str">
        <f aca="false">IF(AND(L106&lt;=$C$4,M106&lt;=$E$4),"&lt;=150pc &amp; &lt;=10kg",IF(N106="","TANPA TGL",IF(N106&lt;=5,"&lt;= 5 HARI",IF(N106&lt;=7,"&lt;= 7 HARI",IF(N106&lt;=14,"&lt;= 14 HARI","&gt; 14 HARI")))))</f>
        <v>&gt; 14 HARI</v>
      </c>
      <c r="P106" s="9" t="s">
        <v>144</v>
      </c>
      <c r="Q106" s="9" t="s">
        <v>57</v>
      </c>
      <c r="R106" s="9" t="s">
        <v>58</v>
      </c>
    </row>
    <row r="107" customFormat="false" ht="15" hidden="false" customHeight="false" outlineLevel="0" collapsed="false">
      <c r="A107" s="9" t="n">
        <v>102</v>
      </c>
      <c r="B107" s="9" t="s">
        <v>497</v>
      </c>
      <c r="C107" s="9" t="s">
        <v>506</v>
      </c>
      <c r="D107" s="9" t="s">
        <v>507</v>
      </c>
      <c r="E107" s="10" t="n">
        <v>1.25154</v>
      </c>
      <c r="F107" s="9" t="s">
        <v>508</v>
      </c>
      <c r="G107" s="9" t="s">
        <v>509</v>
      </c>
      <c r="H107" s="11" t="n">
        <v>46225</v>
      </c>
      <c r="I107" s="12" t="n">
        <v>1700</v>
      </c>
      <c r="J107" s="12" t="n">
        <v>126</v>
      </c>
      <c r="K107" s="13" t="n">
        <v>157.69404</v>
      </c>
      <c r="L107" s="12" t="n">
        <v>126</v>
      </c>
      <c r="M107" s="13" t="n">
        <v>157.69404</v>
      </c>
      <c r="N107" s="12" t="n">
        <f aca="false">IF(H107="","",$C$3-H107)</f>
        <v>12</v>
      </c>
      <c r="O107" s="9" t="str">
        <f aca="false">IF(AND(L107&lt;=$C$4,M107&lt;=$E$4),"&lt;=150pc &amp; &lt;=10kg",IF(N107="","TANPA TGL",IF(N107&lt;=5,"&lt;= 5 HARI",IF(N107&lt;=7,"&lt;= 7 HARI",IF(N107&lt;=14,"&lt;= 14 HARI","&gt; 14 HARI")))))</f>
        <v>&lt;= 14 HARI</v>
      </c>
      <c r="P107" s="9"/>
      <c r="Q107" s="9" t="s">
        <v>57</v>
      </c>
      <c r="R107" s="9" t="s">
        <v>58</v>
      </c>
    </row>
    <row r="108" customFormat="false" ht="15" hidden="false" customHeight="false" outlineLevel="0" collapsed="false">
      <c r="A108" s="9" t="n">
        <v>103</v>
      </c>
      <c r="B108" s="9" t="s">
        <v>497</v>
      </c>
      <c r="C108" s="9" t="s">
        <v>510</v>
      </c>
      <c r="D108" s="9" t="s">
        <v>511</v>
      </c>
      <c r="E108" s="10" t="n">
        <v>1.20081</v>
      </c>
      <c r="F108" s="9" t="s">
        <v>512</v>
      </c>
      <c r="G108" s="9" t="s">
        <v>513</v>
      </c>
      <c r="H108" s="11" t="n">
        <v>46222</v>
      </c>
      <c r="I108" s="12" t="n">
        <v>2000</v>
      </c>
      <c r="J108" s="12" t="n">
        <v>163</v>
      </c>
      <c r="K108" s="13" t="n">
        <v>195.73203</v>
      </c>
      <c r="L108" s="12" t="n">
        <v>163</v>
      </c>
      <c r="M108" s="13" t="n">
        <v>195.73203</v>
      </c>
      <c r="N108" s="12" t="n">
        <f aca="false">IF(H108="","",$C$3-H108)</f>
        <v>15</v>
      </c>
      <c r="O108" s="9" t="str">
        <f aca="false">IF(AND(L108&lt;=$C$4,M108&lt;=$E$4),"&lt;=150pc &amp; &lt;=10kg",IF(N108="","TANPA TGL",IF(N108&lt;=5,"&lt;= 5 HARI",IF(N108&lt;=7,"&lt;= 7 HARI",IF(N108&lt;=14,"&lt;= 14 HARI","&gt; 14 HARI")))))</f>
        <v>&gt; 14 HARI</v>
      </c>
      <c r="P108" s="9" t="s">
        <v>144</v>
      </c>
      <c r="Q108" s="9" t="s">
        <v>57</v>
      </c>
      <c r="R108" s="9" t="s">
        <v>58</v>
      </c>
    </row>
    <row r="109" customFormat="false" ht="15" hidden="false" customHeight="false" outlineLevel="0" collapsed="false">
      <c r="A109" s="9" t="n">
        <v>104</v>
      </c>
      <c r="B109" s="9" t="s">
        <v>497</v>
      </c>
      <c r="C109" s="9" t="s">
        <v>514</v>
      </c>
      <c r="D109" s="9" t="s">
        <v>515</v>
      </c>
      <c r="E109" s="10" t="n">
        <v>0.51983</v>
      </c>
      <c r="F109" s="9" t="s">
        <v>516</v>
      </c>
      <c r="G109" s="9" t="s">
        <v>517</v>
      </c>
      <c r="H109" s="11" t="n">
        <v>46223</v>
      </c>
      <c r="I109" s="12" t="n">
        <v>1000</v>
      </c>
      <c r="J109" s="12" t="n">
        <v>90</v>
      </c>
      <c r="K109" s="13" t="n">
        <v>46.7847</v>
      </c>
      <c r="L109" s="12" t="n">
        <v>90</v>
      </c>
      <c r="M109" s="13" t="n">
        <v>46.7847</v>
      </c>
      <c r="N109" s="12" t="n">
        <f aca="false">IF(H109="","",$C$3-H109)</f>
        <v>14</v>
      </c>
      <c r="O109" s="9" t="str">
        <f aca="false">IF(AND(L109&lt;=$C$4,M109&lt;=$E$4),"&lt;=150pc &amp; &lt;=10kg",IF(N109="","TANPA TGL",IF(N109&lt;=5,"&lt;= 5 HARI",IF(N109&lt;=7,"&lt;= 7 HARI",IF(N109&lt;=14,"&lt;= 14 HARI","&gt; 14 HARI")))))</f>
        <v>&lt;= 14 HARI</v>
      </c>
      <c r="P109" s="9" t="s">
        <v>144</v>
      </c>
      <c r="Q109" s="9" t="s">
        <v>57</v>
      </c>
      <c r="R109" s="9" t="s">
        <v>58</v>
      </c>
    </row>
    <row r="110" customFormat="false" ht="15" hidden="false" customHeight="false" outlineLevel="0" collapsed="false">
      <c r="A110" s="9" t="n">
        <v>105</v>
      </c>
      <c r="B110" s="9" t="s">
        <v>497</v>
      </c>
      <c r="C110" s="9" t="s">
        <v>518</v>
      </c>
      <c r="D110" s="9" t="s">
        <v>519</v>
      </c>
      <c r="E110" s="10" t="n">
        <v>0.71507</v>
      </c>
      <c r="F110" s="9" t="s">
        <v>520</v>
      </c>
      <c r="G110" s="9" t="s">
        <v>521</v>
      </c>
      <c r="H110" s="11" t="n">
        <v>46220</v>
      </c>
      <c r="I110" s="12" t="n">
        <v>1250</v>
      </c>
      <c r="J110" s="12" t="n">
        <v>80</v>
      </c>
      <c r="K110" s="13" t="n">
        <v>57.2056</v>
      </c>
      <c r="L110" s="12" t="n">
        <v>80</v>
      </c>
      <c r="M110" s="13" t="n">
        <v>57.2056</v>
      </c>
      <c r="N110" s="12" t="n">
        <f aca="false">IF(H110="","",$C$3-H110)</f>
        <v>17</v>
      </c>
      <c r="O110" s="9" t="str">
        <f aca="false">IF(AND(L110&lt;=$C$4,M110&lt;=$E$4),"&lt;=150pc &amp; &lt;=10kg",IF(N110="","TANPA TGL",IF(N110&lt;=5,"&lt;= 5 HARI",IF(N110&lt;=7,"&lt;= 7 HARI",IF(N110&lt;=14,"&lt;= 14 HARI","&gt; 14 HARI")))))</f>
        <v>&gt; 14 HARI</v>
      </c>
      <c r="P110" s="9" t="s">
        <v>144</v>
      </c>
      <c r="Q110" s="9" t="s">
        <v>57</v>
      </c>
      <c r="R110" s="9" t="s">
        <v>58</v>
      </c>
    </row>
    <row r="111" customFormat="false" ht="15" hidden="false" customHeight="false" outlineLevel="0" collapsed="false">
      <c r="A111" s="9" t="n">
        <v>106</v>
      </c>
      <c r="B111" s="9" t="s">
        <v>497</v>
      </c>
      <c r="C111" s="9" t="s">
        <v>522</v>
      </c>
      <c r="D111" s="9" t="s">
        <v>523</v>
      </c>
      <c r="E111" s="10" t="n">
        <v>0.61035</v>
      </c>
      <c r="F111" s="9" t="s">
        <v>524</v>
      </c>
      <c r="G111" s="9" t="s">
        <v>525</v>
      </c>
      <c r="H111" s="11" t="n">
        <v>46225</v>
      </c>
      <c r="I111" s="12" t="n">
        <v>2250</v>
      </c>
      <c r="J111" s="12" t="n">
        <v>220</v>
      </c>
      <c r="K111" s="13" t="n">
        <v>134.277</v>
      </c>
      <c r="L111" s="12" t="n">
        <v>220</v>
      </c>
      <c r="M111" s="13" t="n">
        <v>134.277</v>
      </c>
      <c r="N111" s="12" t="n">
        <f aca="false">IF(H111="","",$C$3-H111)</f>
        <v>12</v>
      </c>
      <c r="O111" s="9" t="str">
        <f aca="false">IF(AND(L111&lt;=$C$4,M111&lt;=$E$4),"&lt;=150pc &amp; &lt;=10kg",IF(N111="","TANPA TGL",IF(N111&lt;=5,"&lt;= 5 HARI",IF(N111&lt;=7,"&lt;= 7 HARI",IF(N111&lt;=14,"&lt;= 14 HARI","&gt; 14 HARI")))))</f>
        <v>&lt;= 14 HARI</v>
      </c>
      <c r="P111" s="9"/>
      <c r="Q111" s="9" t="s">
        <v>57</v>
      </c>
      <c r="R111" s="9" t="s">
        <v>58</v>
      </c>
    </row>
    <row r="112" customFormat="false" ht="15" hidden="false" customHeight="false" outlineLevel="0" collapsed="false">
      <c r="A112" s="9" t="n">
        <v>107</v>
      </c>
      <c r="B112" s="9" t="s">
        <v>497</v>
      </c>
      <c r="C112" s="9" t="s">
        <v>526</v>
      </c>
      <c r="D112" s="9" t="s">
        <v>527</v>
      </c>
      <c r="E112" s="10" t="n">
        <v>1.28535</v>
      </c>
      <c r="F112" s="9" t="s">
        <v>528</v>
      </c>
      <c r="G112" s="9" t="s">
        <v>529</v>
      </c>
      <c r="H112" s="11" t="n">
        <v>46222</v>
      </c>
      <c r="I112" s="12" t="n">
        <v>1000</v>
      </c>
      <c r="J112" s="12" t="n">
        <v>464</v>
      </c>
      <c r="K112" s="13" t="n">
        <v>596.4024</v>
      </c>
      <c r="L112" s="12" t="n">
        <v>464</v>
      </c>
      <c r="M112" s="13" t="n">
        <v>596.4024</v>
      </c>
      <c r="N112" s="12" t="n">
        <f aca="false">IF(H112="","",$C$3-H112)</f>
        <v>15</v>
      </c>
      <c r="O112" s="9" t="str">
        <f aca="false">IF(AND(L112&lt;=$C$4,M112&lt;=$E$4),"&lt;=150pc &amp; &lt;=10kg",IF(N112="","TANPA TGL",IF(N112&lt;=5,"&lt;= 5 HARI",IF(N112&lt;=7,"&lt;= 7 HARI",IF(N112&lt;=14,"&lt;= 14 HARI","&gt; 14 HARI")))))</f>
        <v>&gt; 14 HARI</v>
      </c>
      <c r="P112" s="9" t="s">
        <v>144</v>
      </c>
      <c r="Q112" s="9" t="s">
        <v>57</v>
      </c>
      <c r="R112" s="9" t="s">
        <v>58</v>
      </c>
    </row>
    <row r="113" customFormat="false" ht="15" hidden="false" customHeight="false" outlineLevel="0" collapsed="false">
      <c r="A113" s="9" t="n">
        <v>108</v>
      </c>
      <c r="B113" s="9" t="s">
        <v>497</v>
      </c>
      <c r="C113" s="9" t="s">
        <v>530</v>
      </c>
      <c r="D113" s="9" t="s">
        <v>531</v>
      </c>
      <c r="E113" s="10" t="n">
        <v>1.24251</v>
      </c>
      <c r="F113" s="9" t="s">
        <v>532</v>
      </c>
      <c r="G113" s="9" t="s">
        <v>533</v>
      </c>
      <c r="H113" s="11" t="n">
        <v>46223</v>
      </c>
      <c r="I113" s="12" t="n">
        <v>400</v>
      </c>
      <c r="J113" s="12" t="n">
        <v>1066</v>
      </c>
      <c r="K113" s="13" t="n">
        <v>1324.51566</v>
      </c>
      <c r="L113" s="12" t="n">
        <v>1066</v>
      </c>
      <c r="M113" s="13" t="n">
        <v>1324.51566</v>
      </c>
      <c r="N113" s="12" t="n">
        <f aca="false">IF(H113="","",$C$3-H113)</f>
        <v>14</v>
      </c>
      <c r="O113" s="9" t="str">
        <f aca="false">IF(AND(L113&lt;=$C$4,M113&lt;=$E$4),"&lt;=150pc &amp; &lt;=10kg",IF(N113="","TANPA TGL",IF(N113&lt;=5,"&lt;= 5 HARI",IF(N113&lt;=7,"&lt;= 7 HARI",IF(N113&lt;=14,"&lt;= 14 HARI","&gt; 14 HARI")))))</f>
        <v>&lt;= 14 HARI</v>
      </c>
      <c r="P113" s="9" t="s">
        <v>144</v>
      </c>
      <c r="Q113" s="9" t="s">
        <v>57</v>
      </c>
      <c r="R113" s="9" t="s">
        <v>45</v>
      </c>
    </row>
    <row r="114" customFormat="false" ht="15" hidden="false" customHeight="false" outlineLevel="0" collapsed="false">
      <c r="A114" s="9" t="n">
        <v>109</v>
      </c>
      <c r="B114" s="9" t="s">
        <v>497</v>
      </c>
      <c r="C114" s="9" t="s">
        <v>534</v>
      </c>
      <c r="D114" s="9" t="s">
        <v>535</v>
      </c>
      <c r="E114" s="10" t="n">
        <v>1.14812</v>
      </c>
      <c r="F114" s="9" t="s">
        <v>536</v>
      </c>
      <c r="G114" s="9" t="s">
        <v>537</v>
      </c>
      <c r="H114" s="11" t="n">
        <v>46227</v>
      </c>
      <c r="I114" s="12" t="n">
        <v>1200</v>
      </c>
      <c r="J114" s="12" t="n">
        <v>123</v>
      </c>
      <c r="K114" s="13" t="n">
        <v>141.21876</v>
      </c>
      <c r="L114" s="12" t="n">
        <v>123</v>
      </c>
      <c r="M114" s="13" t="n">
        <v>141.21876</v>
      </c>
      <c r="N114" s="12" t="n">
        <f aca="false">IF(H114="","",$C$3-H114)</f>
        <v>10</v>
      </c>
      <c r="O114" s="9" t="str">
        <f aca="false">IF(AND(L114&lt;=$C$4,M114&lt;=$E$4),"&lt;=150pc &amp; &lt;=10kg",IF(N114="","TANPA TGL",IF(N114&lt;=5,"&lt;= 5 HARI",IF(N114&lt;=7,"&lt;= 7 HARI",IF(N114&lt;=14,"&lt;= 14 HARI","&gt; 14 HARI")))))</f>
        <v>&lt;= 14 HARI</v>
      </c>
      <c r="P114" s="9"/>
      <c r="Q114" s="9" t="s">
        <v>57</v>
      </c>
      <c r="R114" s="9" t="s">
        <v>58</v>
      </c>
    </row>
    <row r="115" customFormat="false" ht="15" hidden="false" customHeight="false" outlineLevel="0" collapsed="false">
      <c r="A115" s="9" t="n">
        <v>110</v>
      </c>
      <c r="B115" s="9" t="s">
        <v>497</v>
      </c>
      <c r="C115" s="9" t="s">
        <v>538</v>
      </c>
      <c r="D115" s="9" t="s">
        <v>527</v>
      </c>
      <c r="E115" s="10" t="n">
        <v>1.28535</v>
      </c>
      <c r="F115" s="9" t="s">
        <v>539</v>
      </c>
      <c r="G115" s="9" t="s">
        <v>540</v>
      </c>
      <c r="H115" s="11" t="n">
        <v>46227</v>
      </c>
      <c r="I115" s="12" t="n">
        <v>2000</v>
      </c>
      <c r="J115" s="12" t="n">
        <v>290</v>
      </c>
      <c r="K115" s="13" t="n">
        <v>372.7515</v>
      </c>
      <c r="L115" s="12" t="n">
        <v>290</v>
      </c>
      <c r="M115" s="13" t="n">
        <v>372.7515</v>
      </c>
      <c r="N115" s="12" t="n">
        <f aca="false">IF(H115="","",$C$3-H115)</f>
        <v>10</v>
      </c>
      <c r="O115" s="9" t="str">
        <f aca="false">IF(AND(L115&lt;=$C$4,M115&lt;=$E$4),"&lt;=150pc &amp; &lt;=10kg",IF(N115="","TANPA TGL",IF(N115&lt;=5,"&lt;= 5 HARI",IF(N115&lt;=7,"&lt;= 7 HARI",IF(N115&lt;=14,"&lt;= 14 HARI","&gt; 14 HARI")))))</f>
        <v>&lt;= 14 HARI</v>
      </c>
      <c r="P115" s="9"/>
      <c r="Q115" s="9" t="s">
        <v>57</v>
      </c>
      <c r="R115" s="9" t="s">
        <v>58</v>
      </c>
    </row>
    <row r="116" customFormat="false" ht="15" hidden="false" customHeight="false" outlineLevel="0" collapsed="false">
      <c r="A116" s="9" t="n">
        <v>111</v>
      </c>
      <c r="B116" s="9" t="s">
        <v>541</v>
      </c>
      <c r="C116" s="9" t="s">
        <v>542</v>
      </c>
      <c r="D116" s="9" t="s">
        <v>543</v>
      </c>
      <c r="E116" s="10" t="n">
        <v>0.24111</v>
      </c>
      <c r="F116" s="9" t="s">
        <v>544</v>
      </c>
      <c r="G116" s="9" t="s">
        <v>545</v>
      </c>
      <c r="H116" s="11" t="n">
        <v>46195</v>
      </c>
      <c r="I116" s="12" t="n">
        <v>10000</v>
      </c>
      <c r="J116" s="12" t="n">
        <v>480</v>
      </c>
      <c r="K116" s="13" t="n">
        <v>115.7328</v>
      </c>
      <c r="L116" s="12" t="n">
        <v>480</v>
      </c>
      <c r="M116" s="13" t="n">
        <v>115.7328</v>
      </c>
      <c r="N116" s="12" t="n">
        <f aca="false">IF(H116="","",$C$3-H116)</f>
        <v>42</v>
      </c>
      <c r="O116" s="9" t="str">
        <f aca="false">IF(AND(L116&lt;=$C$4,M116&lt;=$E$4),"&lt;=150pc &amp; &lt;=10kg",IF(N116="","TANPA TGL",IF(N116&lt;=5,"&lt;= 5 HARI",IF(N116&lt;=7,"&lt;= 7 HARI",IF(N116&lt;=14,"&lt;= 14 HARI","&gt; 14 HARI")))))</f>
        <v>&gt; 14 HARI</v>
      </c>
      <c r="P116" s="9" t="s">
        <v>64</v>
      </c>
      <c r="Q116" s="9" t="s">
        <v>37</v>
      </c>
      <c r="R116" s="9" t="s">
        <v>38</v>
      </c>
    </row>
    <row r="117" customFormat="false" ht="15" hidden="false" customHeight="false" outlineLevel="0" collapsed="false">
      <c r="A117" s="9" t="n">
        <v>112</v>
      </c>
      <c r="B117" s="9" t="s">
        <v>546</v>
      </c>
      <c r="C117" s="9" t="s">
        <v>547</v>
      </c>
      <c r="D117" s="9" t="s">
        <v>548</v>
      </c>
      <c r="E117" s="10" t="n">
        <v>0.17473</v>
      </c>
      <c r="F117" s="9" t="s">
        <v>549</v>
      </c>
      <c r="G117" s="9" t="s">
        <v>550</v>
      </c>
      <c r="H117" s="11" t="n">
        <v>46222</v>
      </c>
      <c r="I117" s="12" t="n">
        <v>50000</v>
      </c>
      <c r="J117" s="12" t="n">
        <v>6338</v>
      </c>
      <c r="K117" s="13" t="n">
        <v>1107.43874</v>
      </c>
      <c r="L117" s="12" t="n">
        <v>6338</v>
      </c>
      <c r="M117" s="13" t="n">
        <v>1107.43874</v>
      </c>
      <c r="N117" s="12" t="n">
        <f aca="false">IF(H117="","",$C$3-H117)</f>
        <v>15</v>
      </c>
      <c r="O117" s="9" t="str">
        <f aca="false">IF(AND(L117&lt;=$C$4,M117&lt;=$E$4),"&lt;=150pc &amp; &lt;=10kg",IF(N117="","TANPA TGL",IF(N117&lt;=5,"&lt;= 5 HARI",IF(N117&lt;=7,"&lt;= 7 HARI",IF(N117&lt;=14,"&lt;= 14 HARI","&gt; 14 HARI")))))</f>
        <v>&gt; 14 HARI</v>
      </c>
      <c r="P117" s="9"/>
      <c r="Q117" s="9" t="s">
        <v>44</v>
      </c>
      <c r="R117" s="9" t="s">
        <v>45</v>
      </c>
    </row>
    <row r="118" customFormat="false" ht="15" hidden="false" customHeight="false" outlineLevel="0" collapsed="false">
      <c r="A118" s="9" t="n">
        <v>113</v>
      </c>
      <c r="B118" s="9" t="s">
        <v>546</v>
      </c>
      <c r="C118" s="9" t="s">
        <v>551</v>
      </c>
      <c r="D118" s="9" t="s">
        <v>548</v>
      </c>
      <c r="E118" s="10" t="n">
        <v>0.17473</v>
      </c>
      <c r="F118" s="9" t="s">
        <v>552</v>
      </c>
      <c r="G118" s="9" t="s">
        <v>553</v>
      </c>
      <c r="H118" s="11" t="n">
        <v>46233</v>
      </c>
      <c r="I118" s="12" t="n">
        <v>50000</v>
      </c>
      <c r="J118" s="12" t="n">
        <v>9950</v>
      </c>
      <c r="K118" s="13" t="n">
        <v>1738.5635</v>
      </c>
      <c r="L118" s="12" t="n">
        <v>9950</v>
      </c>
      <c r="M118" s="13" t="n">
        <v>1738.5635</v>
      </c>
      <c r="N118" s="12" t="n">
        <f aca="false">IF(H118="","",$C$3-H118)</f>
        <v>4</v>
      </c>
      <c r="O118" s="9" t="str">
        <f aca="false">IF(AND(L118&lt;=$C$4,M118&lt;=$E$4),"&lt;=150pc &amp; &lt;=10kg",IF(N118="","TANPA TGL",IF(N118&lt;=5,"&lt;= 5 HARI",IF(N118&lt;=7,"&lt;= 7 HARI",IF(N118&lt;=14,"&lt;= 14 HARI","&gt; 14 HARI")))))</f>
        <v>&lt;= 5 HARI</v>
      </c>
      <c r="P118" s="9"/>
      <c r="Q118" s="9" t="s">
        <v>44</v>
      </c>
      <c r="R118" s="9" t="s">
        <v>45</v>
      </c>
    </row>
    <row r="119" customFormat="false" ht="15" hidden="false" customHeight="false" outlineLevel="0" collapsed="false">
      <c r="A119" s="9" t="n">
        <v>114</v>
      </c>
      <c r="B119" s="9" t="s">
        <v>554</v>
      </c>
      <c r="C119" s="9" t="s">
        <v>555</v>
      </c>
      <c r="D119" s="9" t="s">
        <v>556</v>
      </c>
      <c r="E119" s="10" t="n">
        <v>0.19698</v>
      </c>
      <c r="F119" s="9" t="s">
        <v>557</v>
      </c>
      <c r="G119" s="9" t="s">
        <v>558</v>
      </c>
      <c r="H119" s="11" t="n">
        <v>46203</v>
      </c>
      <c r="I119" s="12" t="n">
        <v>100000</v>
      </c>
      <c r="J119" s="12" t="n">
        <v>4020</v>
      </c>
      <c r="K119" s="13" t="n">
        <v>791.8596</v>
      </c>
      <c r="L119" s="12" t="n">
        <v>4020</v>
      </c>
      <c r="M119" s="13" t="n">
        <v>791.8596</v>
      </c>
      <c r="N119" s="12" t="n">
        <f aca="false">IF(H119="","",$C$3-H119)</f>
        <v>34</v>
      </c>
      <c r="O119" s="9" t="str">
        <f aca="false">IF(AND(L119&lt;=$C$4,M119&lt;=$E$4),"&lt;=150pc &amp; &lt;=10kg",IF(N119="","TANPA TGL",IF(N119&lt;=5,"&lt;= 5 HARI",IF(N119&lt;=7,"&lt;= 7 HARI",IF(N119&lt;=14,"&lt;= 14 HARI","&gt; 14 HARI")))))</f>
        <v>&gt; 14 HARI</v>
      </c>
      <c r="P119" s="9" t="s">
        <v>51</v>
      </c>
      <c r="Q119" s="9" t="s">
        <v>37</v>
      </c>
      <c r="R119" s="9" t="s">
        <v>38</v>
      </c>
    </row>
    <row r="120" customFormat="false" ht="15" hidden="false" customHeight="false" outlineLevel="0" collapsed="false">
      <c r="A120" s="9" t="n">
        <v>115</v>
      </c>
      <c r="B120" s="9" t="s">
        <v>554</v>
      </c>
      <c r="C120" s="9" t="s">
        <v>559</v>
      </c>
      <c r="D120" s="9" t="s">
        <v>560</v>
      </c>
      <c r="E120" s="10" t="n">
        <v>0.20359</v>
      </c>
      <c r="F120" s="9" t="s">
        <v>561</v>
      </c>
      <c r="G120" s="9" t="s">
        <v>562</v>
      </c>
      <c r="H120" s="11" t="n">
        <v>46211</v>
      </c>
      <c r="I120" s="12" t="n">
        <v>196000</v>
      </c>
      <c r="J120" s="12" t="n">
        <v>11480</v>
      </c>
      <c r="K120" s="13" t="n">
        <v>2337.2132</v>
      </c>
      <c r="L120" s="12" t="n">
        <v>11480</v>
      </c>
      <c r="M120" s="13" t="n">
        <v>2337.2132</v>
      </c>
      <c r="N120" s="12" t="n">
        <f aca="false">IF(H120="","",$C$3-H120)</f>
        <v>26</v>
      </c>
      <c r="O120" s="9" t="str">
        <f aca="false">IF(AND(L120&lt;=$C$4,M120&lt;=$E$4),"&lt;=150pc &amp; &lt;=10kg",IF(N120="","TANPA TGL",IF(N120&lt;=5,"&lt;= 5 HARI",IF(N120&lt;=7,"&lt;= 7 HARI",IF(N120&lt;=14,"&lt;= 14 HARI","&gt; 14 HARI")))))</f>
        <v>&gt; 14 HARI</v>
      </c>
      <c r="P120" s="9" t="s">
        <v>51</v>
      </c>
      <c r="Q120" s="9" t="s">
        <v>37</v>
      </c>
      <c r="R120" s="9" t="s">
        <v>38</v>
      </c>
    </row>
    <row r="121" customFormat="false" ht="15" hidden="false" customHeight="false" outlineLevel="0" collapsed="false">
      <c r="A121" s="9" t="n">
        <v>116</v>
      </c>
      <c r="B121" s="9" t="s">
        <v>563</v>
      </c>
      <c r="C121" s="9" t="s">
        <v>564</v>
      </c>
      <c r="D121" s="9" t="s">
        <v>565</v>
      </c>
      <c r="E121" s="10" t="n">
        <v>8.58253</v>
      </c>
      <c r="F121" s="9" t="s">
        <v>566</v>
      </c>
      <c r="G121" s="9" t="s">
        <v>567</v>
      </c>
      <c r="H121" s="11" t="n">
        <v>46191</v>
      </c>
      <c r="I121" s="12" t="n">
        <v>500</v>
      </c>
      <c r="J121" s="12" t="n">
        <v>99</v>
      </c>
      <c r="K121" s="13" t="n">
        <v>849.67047</v>
      </c>
      <c r="L121" s="12" t="n">
        <v>99</v>
      </c>
      <c r="M121" s="13" t="n">
        <v>849.67047</v>
      </c>
      <c r="N121" s="12" t="n">
        <f aca="false">IF(H121="","",$C$3-H121)</f>
        <v>46</v>
      </c>
      <c r="O121" s="9" t="str">
        <f aca="false">IF(AND(L121&lt;=$C$4,M121&lt;=$E$4),"&lt;=150pc &amp; &lt;=10kg",IF(N121="","TANPA TGL",IF(N121&lt;=5,"&lt;= 5 HARI",IF(N121&lt;=7,"&lt;= 7 HARI",IF(N121&lt;=14,"&lt;= 14 HARI","&gt; 14 HARI")))))</f>
        <v>&gt; 14 HARI</v>
      </c>
      <c r="P121" s="9"/>
      <c r="Q121" s="9" t="s">
        <v>44</v>
      </c>
      <c r="R121" s="9" t="s">
        <v>45</v>
      </c>
    </row>
    <row r="122" customFormat="false" ht="15" hidden="false" customHeight="false" outlineLevel="0" collapsed="false">
      <c r="A122" s="9" t="n">
        <v>117</v>
      </c>
      <c r="B122" s="9" t="s">
        <v>568</v>
      </c>
      <c r="C122" s="9" t="s">
        <v>569</v>
      </c>
      <c r="D122" s="9" t="s">
        <v>570</v>
      </c>
      <c r="E122" s="10" t="n">
        <v>0.02759</v>
      </c>
      <c r="F122" s="9" t="s">
        <v>571</v>
      </c>
      <c r="G122" s="9" t="s">
        <v>572</v>
      </c>
      <c r="H122" s="11" t="n">
        <v>46234</v>
      </c>
      <c r="I122" s="12" t="n">
        <v>28800</v>
      </c>
      <c r="J122" s="12" t="n">
        <v>9600</v>
      </c>
      <c r="K122" s="13" t="n">
        <v>264.864</v>
      </c>
      <c r="L122" s="12" t="n">
        <v>0</v>
      </c>
      <c r="M122" s="13" t="n">
        <v>0</v>
      </c>
      <c r="N122" s="12" t="n">
        <f aca="false">IF(H122="","",$C$3-H122)</f>
        <v>3</v>
      </c>
      <c r="O122" s="9" t="str">
        <f aca="false">IF(AND(L122&lt;=$C$4,M122&lt;=$E$4),"&lt;=150pc &amp; &lt;=10kg",IF(N122="","TANPA TGL",IF(N122&lt;=5,"&lt;= 5 HARI",IF(N122&lt;=7,"&lt;= 7 HARI",IF(N122&lt;=14,"&lt;= 14 HARI","&gt; 14 HARI")))))</f>
        <v>&lt;=150pc &amp; &lt;=10kg</v>
      </c>
      <c r="P122" s="9"/>
      <c r="Q122" s="9" t="s">
        <v>44</v>
      </c>
      <c r="R122" s="9" t="s">
        <v>45</v>
      </c>
    </row>
    <row r="123" customFormat="false" ht="15" hidden="false" customHeight="false" outlineLevel="0" collapsed="false">
      <c r="A123" s="9" t="n">
        <v>118</v>
      </c>
      <c r="B123" s="9" t="s">
        <v>568</v>
      </c>
      <c r="C123" s="9" t="s">
        <v>573</v>
      </c>
      <c r="D123" s="9" t="s">
        <v>574</v>
      </c>
      <c r="E123" s="10" t="n">
        <v>0.27856</v>
      </c>
      <c r="F123" s="9" t="s">
        <v>575</v>
      </c>
      <c r="G123" s="9" t="s">
        <v>576</v>
      </c>
      <c r="H123" s="11" t="n">
        <v>46234</v>
      </c>
      <c r="I123" s="12" t="n">
        <v>58500</v>
      </c>
      <c r="J123" s="12" t="n">
        <v>1800</v>
      </c>
      <c r="K123" s="13" t="n">
        <v>501.408</v>
      </c>
      <c r="L123" s="12" t="n">
        <v>0</v>
      </c>
      <c r="M123" s="13" t="n">
        <v>0</v>
      </c>
      <c r="N123" s="12" t="n">
        <f aca="false">IF(H123="","",$C$3-H123)</f>
        <v>3</v>
      </c>
      <c r="O123" s="9" t="str">
        <f aca="false">IF(AND(L123&lt;=$C$4,M123&lt;=$E$4),"&lt;=150pc &amp; &lt;=10kg",IF(N123="","TANPA TGL",IF(N123&lt;=5,"&lt;= 5 HARI",IF(N123&lt;=7,"&lt;= 7 HARI",IF(N123&lt;=14,"&lt;= 14 HARI","&gt; 14 HARI")))))</f>
        <v>&lt;=150pc &amp; &lt;=10kg</v>
      </c>
      <c r="P123" s="9" t="s">
        <v>144</v>
      </c>
      <c r="Q123" s="9" t="s">
        <v>44</v>
      </c>
      <c r="R123" s="9" t="s">
        <v>45</v>
      </c>
    </row>
    <row r="124" customFormat="false" ht="15" hidden="false" customHeight="false" outlineLevel="0" collapsed="false">
      <c r="A124" s="9" t="n">
        <v>119</v>
      </c>
      <c r="B124" s="9" t="s">
        <v>568</v>
      </c>
      <c r="C124" s="9" t="s">
        <v>577</v>
      </c>
      <c r="D124" s="9" t="s">
        <v>578</v>
      </c>
      <c r="E124" s="10" t="n">
        <v>0.78929</v>
      </c>
      <c r="F124" s="9" t="s">
        <v>579</v>
      </c>
      <c r="G124" s="9" t="s">
        <v>580</v>
      </c>
      <c r="H124" s="11" t="n">
        <v>46234</v>
      </c>
      <c r="I124" s="12" t="n">
        <v>15000</v>
      </c>
      <c r="J124" s="12" t="n">
        <v>10500</v>
      </c>
      <c r="K124" s="13" t="n">
        <v>8287.545</v>
      </c>
      <c r="L124" s="12" t="n">
        <v>0</v>
      </c>
      <c r="M124" s="13" t="n">
        <v>0</v>
      </c>
      <c r="N124" s="12" t="n">
        <f aca="false">IF(H124="","",$C$3-H124)</f>
        <v>3</v>
      </c>
      <c r="O124" s="9" t="str">
        <f aca="false">IF(AND(L124&lt;=$C$4,M124&lt;=$E$4),"&lt;=150pc &amp; &lt;=10kg",IF(N124="","TANPA TGL",IF(N124&lt;=5,"&lt;= 5 HARI",IF(N124&lt;=7,"&lt;= 7 HARI",IF(N124&lt;=14,"&lt;= 14 HARI","&gt; 14 HARI")))))</f>
        <v>&lt;=150pc &amp; &lt;=10kg</v>
      </c>
      <c r="P124" s="9"/>
      <c r="Q124" s="9" t="s">
        <v>44</v>
      </c>
      <c r="R124" s="9" t="s">
        <v>45</v>
      </c>
    </row>
    <row r="125" customFormat="false" ht="15" hidden="false" customHeight="false" outlineLevel="0" collapsed="false">
      <c r="A125" s="9" t="n">
        <v>120</v>
      </c>
      <c r="B125" s="9" t="s">
        <v>568</v>
      </c>
      <c r="C125" s="9" t="s">
        <v>581</v>
      </c>
      <c r="D125" s="9" t="s">
        <v>582</v>
      </c>
      <c r="E125" s="10" t="n">
        <v>0.3957</v>
      </c>
      <c r="F125" s="9" t="s">
        <v>583</v>
      </c>
      <c r="G125" s="9" t="s">
        <v>584</v>
      </c>
      <c r="H125" s="11" t="n">
        <v>46234</v>
      </c>
      <c r="I125" s="12" t="n">
        <v>48000</v>
      </c>
      <c r="J125" s="12" t="n">
        <v>1500</v>
      </c>
      <c r="K125" s="13" t="n">
        <v>593.55</v>
      </c>
      <c r="L125" s="12" t="n">
        <v>0</v>
      </c>
      <c r="M125" s="13" t="n">
        <v>0</v>
      </c>
      <c r="N125" s="12" t="n">
        <f aca="false">IF(H125="","",$C$3-H125)</f>
        <v>3</v>
      </c>
      <c r="O125" s="9" t="str">
        <f aca="false">IF(AND(L125&lt;=$C$4,M125&lt;=$E$4),"&lt;=150pc &amp; &lt;=10kg",IF(N125="","TANPA TGL",IF(N125&lt;=5,"&lt;= 5 HARI",IF(N125&lt;=7,"&lt;= 7 HARI",IF(N125&lt;=14,"&lt;= 14 HARI","&gt; 14 HARI")))))</f>
        <v>&lt;=150pc &amp; &lt;=10kg</v>
      </c>
      <c r="P125" s="9"/>
      <c r="Q125" s="9" t="s">
        <v>44</v>
      </c>
      <c r="R125" s="9" t="s">
        <v>45</v>
      </c>
    </row>
    <row r="126" customFormat="false" ht="15" hidden="false" customHeight="false" outlineLevel="0" collapsed="false">
      <c r="A126" s="9" t="n">
        <v>121</v>
      </c>
      <c r="B126" s="9" t="s">
        <v>568</v>
      </c>
      <c r="C126" s="9" t="s">
        <v>585</v>
      </c>
      <c r="D126" s="9" t="s">
        <v>586</v>
      </c>
      <c r="E126" s="10" t="n">
        <v>0.52615</v>
      </c>
      <c r="F126" s="9" t="s">
        <v>587</v>
      </c>
      <c r="G126" s="9" t="s">
        <v>588</v>
      </c>
      <c r="H126" s="11" t="n">
        <v>46236</v>
      </c>
      <c r="I126" s="12" t="n">
        <v>5760</v>
      </c>
      <c r="J126" s="12" t="n">
        <v>0</v>
      </c>
      <c r="K126" s="13" t="n">
        <v>0</v>
      </c>
      <c r="L126" s="12" t="n">
        <v>4200</v>
      </c>
      <c r="M126" s="13" t="n">
        <v>2209.83</v>
      </c>
      <c r="N126" s="12" t="n">
        <f aca="false">IF(H126="","",$C$3-H126)</f>
        <v>1</v>
      </c>
      <c r="O126" s="9" t="str">
        <f aca="false">IF(AND(L126&lt;=$C$4,M126&lt;=$E$4),"&lt;=150pc &amp; &lt;=10kg",IF(N126="","TANPA TGL",IF(N126&lt;=5,"&lt;= 5 HARI",IF(N126&lt;=7,"&lt;= 7 HARI",IF(N126&lt;=14,"&lt;= 14 HARI","&gt; 14 HARI")))))</f>
        <v>&lt;= 5 HARI</v>
      </c>
      <c r="P126" s="9"/>
      <c r="Q126" s="9" t="s">
        <v>44</v>
      </c>
      <c r="R126" s="9" t="s">
        <v>45</v>
      </c>
    </row>
    <row r="127" customFormat="false" ht="15" hidden="false" customHeight="false" outlineLevel="0" collapsed="false">
      <c r="A127" s="9" t="n">
        <v>122</v>
      </c>
      <c r="B127" s="9" t="s">
        <v>589</v>
      </c>
      <c r="C127" s="9" t="s">
        <v>590</v>
      </c>
      <c r="D127" s="9" t="s">
        <v>591</v>
      </c>
      <c r="E127" s="10" t="n">
        <v>2.85613</v>
      </c>
      <c r="F127" s="9" t="s">
        <v>592</v>
      </c>
      <c r="G127" s="9" t="s">
        <v>593</v>
      </c>
      <c r="H127" s="11" t="n">
        <v>46233</v>
      </c>
      <c r="I127" s="12" t="n">
        <v>1000</v>
      </c>
      <c r="J127" s="12" t="n">
        <v>210</v>
      </c>
      <c r="K127" s="13" t="n">
        <v>599.7873</v>
      </c>
      <c r="L127" s="12" t="n">
        <v>210</v>
      </c>
      <c r="M127" s="13" t="n">
        <v>599.7873</v>
      </c>
      <c r="N127" s="12" t="n">
        <f aca="false">IF(H127="","",$C$3-H127)</f>
        <v>4</v>
      </c>
      <c r="O127" s="9" t="str">
        <f aca="false">IF(AND(L127&lt;=$C$4,M127&lt;=$E$4),"&lt;=150pc &amp; &lt;=10kg",IF(N127="","TANPA TGL",IF(N127&lt;=5,"&lt;= 5 HARI",IF(N127&lt;=7,"&lt;= 7 HARI",IF(N127&lt;=14,"&lt;= 14 HARI","&gt; 14 HARI")))))</f>
        <v>&lt;= 5 HARI</v>
      </c>
      <c r="P127" s="9" t="s">
        <v>77</v>
      </c>
      <c r="Q127" s="9" t="s">
        <v>65</v>
      </c>
      <c r="R127" s="9" t="s">
        <v>78</v>
      </c>
    </row>
    <row r="128" customFormat="false" ht="15" hidden="false" customHeight="false" outlineLevel="0" collapsed="false">
      <c r="A128" s="9" t="n">
        <v>123</v>
      </c>
      <c r="B128" s="9" t="s">
        <v>594</v>
      </c>
      <c r="C128" s="9" t="s">
        <v>595</v>
      </c>
      <c r="D128" s="9" t="s">
        <v>596</v>
      </c>
      <c r="E128" s="10" t="n">
        <v>0.19283</v>
      </c>
      <c r="F128" s="9" t="s">
        <v>597</v>
      </c>
      <c r="G128" s="9" t="s">
        <v>598</v>
      </c>
      <c r="H128" s="11" t="n">
        <v>46074</v>
      </c>
      <c r="I128" s="12" t="n">
        <v>60000</v>
      </c>
      <c r="J128" s="12" t="n">
        <v>1600</v>
      </c>
      <c r="K128" s="13" t="n">
        <v>308.528</v>
      </c>
      <c r="L128" s="12" t="n">
        <v>1600</v>
      </c>
      <c r="M128" s="13" t="n">
        <v>308.528</v>
      </c>
      <c r="N128" s="12" t="n">
        <f aca="false">IF(H128="","",$C$3-H128)</f>
        <v>163</v>
      </c>
      <c r="O128" s="9" t="str">
        <f aca="false">IF(AND(L128&lt;=$C$4,M128&lt;=$E$4),"&lt;=150pc &amp; &lt;=10kg",IF(N128="","TANPA TGL",IF(N128&lt;=5,"&lt;= 5 HARI",IF(N128&lt;=7,"&lt;= 7 HARI",IF(N128&lt;=14,"&lt;= 14 HARI","&gt; 14 HARI")))))</f>
        <v>&gt; 14 HARI</v>
      </c>
      <c r="P128" s="9" t="s">
        <v>396</v>
      </c>
      <c r="Q128" s="9" t="s">
        <v>37</v>
      </c>
      <c r="R128" s="9" t="s">
        <v>38</v>
      </c>
    </row>
    <row r="129" customFormat="false" ht="15" hidden="false" customHeight="false" outlineLevel="0" collapsed="false">
      <c r="A129" s="9" t="n">
        <v>124</v>
      </c>
      <c r="B129" s="9" t="s">
        <v>594</v>
      </c>
      <c r="C129" s="9" t="s">
        <v>599</v>
      </c>
      <c r="D129" s="9" t="s">
        <v>600</v>
      </c>
      <c r="E129" s="10" t="n">
        <v>0.15653</v>
      </c>
      <c r="F129" s="9" t="s">
        <v>601</v>
      </c>
      <c r="G129" s="9" t="s">
        <v>602</v>
      </c>
      <c r="H129" s="11" t="n">
        <v>46165</v>
      </c>
      <c r="I129" s="12" t="n">
        <v>100000</v>
      </c>
      <c r="J129" s="12" t="n">
        <v>1500</v>
      </c>
      <c r="K129" s="13" t="n">
        <v>234.795</v>
      </c>
      <c r="L129" s="12" t="n">
        <v>1500</v>
      </c>
      <c r="M129" s="13" t="n">
        <v>234.795</v>
      </c>
      <c r="N129" s="12" t="n">
        <f aca="false">IF(H129="","",$C$3-H129)</f>
        <v>72</v>
      </c>
      <c r="O129" s="9" t="str">
        <f aca="false">IF(AND(L129&lt;=$C$4,M129&lt;=$E$4),"&lt;=150pc &amp; &lt;=10kg",IF(N129="","TANPA TGL",IF(N129&lt;=5,"&lt;= 5 HARI",IF(N129&lt;=7,"&lt;= 7 HARI",IF(N129&lt;=14,"&lt;= 14 HARI","&gt; 14 HARI")))))</f>
        <v>&gt; 14 HARI</v>
      </c>
      <c r="P129" s="9" t="s">
        <v>396</v>
      </c>
      <c r="Q129" s="9" t="s">
        <v>37</v>
      </c>
      <c r="R129" s="9" t="s">
        <v>38</v>
      </c>
    </row>
    <row r="130" customFormat="false" ht="15" hidden="false" customHeight="false" outlineLevel="0" collapsed="false">
      <c r="A130" s="9" t="n">
        <v>125</v>
      </c>
      <c r="B130" s="9" t="s">
        <v>594</v>
      </c>
      <c r="C130" s="9" t="s">
        <v>595</v>
      </c>
      <c r="D130" s="9" t="s">
        <v>603</v>
      </c>
      <c r="E130" s="10" t="n">
        <v>0.19149</v>
      </c>
      <c r="F130" s="9" t="s">
        <v>604</v>
      </c>
      <c r="G130" s="9" t="s">
        <v>605</v>
      </c>
      <c r="H130" s="11" t="n">
        <v>46234</v>
      </c>
      <c r="I130" s="12" t="n">
        <v>100000</v>
      </c>
      <c r="J130" s="12" t="n">
        <v>14560</v>
      </c>
      <c r="K130" s="13" t="n">
        <v>2788.0944</v>
      </c>
      <c r="L130" s="12" t="n">
        <v>1660</v>
      </c>
      <c r="M130" s="13" t="n">
        <v>317.8734</v>
      </c>
      <c r="N130" s="12" t="n">
        <f aca="false">IF(H130="","",$C$3-H130)</f>
        <v>3</v>
      </c>
      <c r="O130" s="9" t="str">
        <f aca="false">IF(AND(L130&lt;=$C$4,M130&lt;=$E$4),"&lt;=150pc &amp; &lt;=10kg",IF(N130="","TANPA TGL",IF(N130&lt;=5,"&lt;= 5 HARI",IF(N130&lt;=7,"&lt;= 7 HARI",IF(N130&lt;=14,"&lt;= 14 HARI","&gt; 14 HARI")))))</f>
        <v>&lt;= 5 HARI</v>
      </c>
      <c r="P130" s="9" t="s">
        <v>396</v>
      </c>
      <c r="Q130" s="9" t="s">
        <v>37</v>
      </c>
      <c r="R130" s="9" t="s">
        <v>38</v>
      </c>
    </row>
    <row r="131" customFormat="false" ht="15" hidden="false" customHeight="false" outlineLevel="0" collapsed="false">
      <c r="A131" s="9" t="n">
        <v>126</v>
      </c>
      <c r="B131" s="9" t="s">
        <v>606</v>
      </c>
      <c r="C131" s="9" t="s">
        <v>607</v>
      </c>
      <c r="D131" s="9" t="s">
        <v>608</v>
      </c>
      <c r="E131" s="10" t="n">
        <v>0.21172</v>
      </c>
      <c r="F131" s="9" t="s">
        <v>609</v>
      </c>
      <c r="G131" s="9" t="s">
        <v>610</v>
      </c>
      <c r="H131" s="11" t="n">
        <v>46209</v>
      </c>
      <c r="I131" s="12" t="n">
        <v>132000</v>
      </c>
      <c r="J131" s="12" t="n">
        <v>1240</v>
      </c>
      <c r="K131" s="13" t="n">
        <v>262.5328</v>
      </c>
      <c r="L131" s="12" t="n">
        <v>1240</v>
      </c>
      <c r="M131" s="13" t="n">
        <v>262.5328</v>
      </c>
      <c r="N131" s="12" t="n">
        <f aca="false">IF(H131="","",$C$3-H131)</f>
        <v>28</v>
      </c>
      <c r="O131" s="9" t="str">
        <f aca="false">IF(AND(L131&lt;=$C$4,M131&lt;=$E$4),"&lt;=150pc &amp; &lt;=10kg",IF(N131="","TANPA TGL",IF(N131&lt;=5,"&lt;= 5 HARI",IF(N131&lt;=7,"&lt;= 7 HARI",IF(N131&lt;=14,"&lt;= 14 HARI","&gt; 14 HARI")))))</f>
        <v>&gt; 14 HARI</v>
      </c>
      <c r="P131" s="9" t="s">
        <v>51</v>
      </c>
      <c r="Q131" s="9" t="s">
        <v>37</v>
      </c>
      <c r="R131" s="9" t="s">
        <v>38</v>
      </c>
    </row>
    <row r="132" customFormat="false" ht="15" hidden="false" customHeight="false" outlineLevel="0" collapsed="false">
      <c r="A132" s="9" t="n">
        <v>127</v>
      </c>
      <c r="B132" s="9" t="s">
        <v>611</v>
      </c>
      <c r="C132" s="9" t="s">
        <v>612</v>
      </c>
      <c r="D132" s="9" t="s">
        <v>613</v>
      </c>
      <c r="E132" s="10" t="n">
        <v>0.31973</v>
      </c>
      <c r="F132" s="9" t="s">
        <v>614</v>
      </c>
      <c r="G132" s="9" t="s">
        <v>615</v>
      </c>
      <c r="H132" s="11" t="n">
        <v>46192</v>
      </c>
      <c r="I132" s="12" t="n">
        <v>20000</v>
      </c>
      <c r="J132" s="12" t="n">
        <v>1480</v>
      </c>
      <c r="K132" s="13" t="n">
        <v>473.2004</v>
      </c>
      <c r="L132" s="12" t="n">
        <v>1480</v>
      </c>
      <c r="M132" s="13" t="n">
        <v>473.2004</v>
      </c>
      <c r="N132" s="12" t="n">
        <f aca="false">IF(H132="","",$C$3-H132)</f>
        <v>45</v>
      </c>
      <c r="O132" s="9" t="str">
        <f aca="false">IF(AND(L132&lt;=$C$4,M132&lt;=$E$4),"&lt;=150pc &amp; &lt;=10kg",IF(N132="","TANPA TGL",IF(N132&lt;=5,"&lt;= 5 HARI",IF(N132&lt;=7,"&lt;= 7 HARI",IF(N132&lt;=14,"&lt;= 14 HARI","&gt; 14 HARI")))))</f>
        <v>&gt; 14 HARI</v>
      </c>
      <c r="P132" s="9" t="s">
        <v>155</v>
      </c>
      <c r="Q132" s="9" t="s">
        <v>30</v>
      </c>
      <c r="R132" s="9" t="s">
        <v>31</v>
      </c>
    </row>
    <row r="133" customFormat="false" ht="15" hidden="false" customHeight="false" outlineLevel="0" collapsed="false">
      <c r="A133" s="9" t="n">
        <v>128</v>
      </c>
      <c r="B133" s="9" t="s">
        <v>611</v>
      </c>
      <c r="C133" s="9" t="s">
        <v>616</v>
      </c>
      <c r="D133" s="9" t="s">
        <v>617</v>
      </c>
      <c r="E133" s="10" t="n">
        <v>0.35983</v>
      </c>
      <c r="F133" s="9" t="s">
        <v>618</v>
      </c>
      <c r="G133" s="9" t="s">
        <v>619</v>
      </c>
      <c r="H133" s="11" t="n">
        <v>46214</v>
      </c>
      <c r="I133" s="12" t="n">
        <v>10000</v>
      </c>
      <c r="J133" s="12" t="n">
        <v>1560</v>
      </c>
      <c r="K133" s="13" t="n">
        <v>561.3348</v>
      </c>
      <c r="L133" s="12" t="n">
        <v>1560</v>
      </c>
      <c r="M133" s="13" t="n">
        <v>561.3348</v>
      </c>
      <c r="N133" s="12" t="n">
        <f aca="false">IF(H133="","",$C$3-H133)</f>
        <v>23</v>
      </c>
      <c r="O133" s="9" t="str">
        <f aca="false">IF(AND(L133&lt;=$C$4,M133&lt;=$E$4),"&lt;=150pc &amp; &lt;=10kg",IF(N133="","TANPA TGL",IF(N133&lt;=5,"&lt;= 5 HARI",IF(N133&lt;=7,"&lt;= 7 HARI",IF(N133&lt;=14,"&lt;= 14 HARI","&gt; 14 HARI")))))</f>
        <v>&gt; 14 HARI</v>
      </c>
      <c r="P133" s="9" t="s">
        <v>155</v>
      </c>
      <c r="Q133" s="9" t="s">
        <v>30</v>
      </c>
      <c r="R133" s="9" t="s">
        <v>31</v>
      </c>
    </row>
    <row r="134" customFormat="false" ht="15" hidden="false" customHeight="false" outlineLevel="0" collapsed="false">
      <c r="A134" s="9" t="n">
        <v>129</v>
      </c>
      <c r="B134" s="9" t="s">
        <v>611</v>
      </c>
      <c r="C134" s="9" t="s">
        <v>620</v>
      </c>
      <c r="D134" s="9" t="s">
        <v>613</v>
      </c>
      <c r="E134" s="10" t="n">
        <v>0.29336</v>
      </c>
      <c r="F134" s="9" t="s">
        <v>621</v>
      </c>
      <c r="G134" s="9" t="s">
        <v>622</v>
      </c>
      <c r="H134" s="11" t="n">
        <v>46217</v>
      </c>
      <c r="I134" s="12" t="n">
        <v>5000</v>
      </c>
      <c r="J134" s="12" t="n">
        <v>250</v>
      </c>
      <c r="K134" s="13" t="n">
        <v>73.34</v>
      </c>
      <c r="L134" s="12" t="n">
        <v>250</v>
      </c>
      <c r="M134" s="13" t="n">
        <v>73.34</v>
      </c>
      <c r="N134" s="12" t="n">
        <f aca="false">IF(H134="","",$C$3-H134)</f>
        <v>20</v>
      </c>
      <c r="O134" s="9" t="str">
        <f aca="false">IF(AND(L134&lt;=$C$4,M134&lt;=$E$4),"&lt;=150pc &amp; &lt;=10kg",IF(N134="","TANPA TGL",IF(N134&lt;=5,"&lt;= 5 HARI",IF(N134&lt;=7,"&lt;= 7 HARI",IF(N134&lt;=14,"&lt;= 14 HARI","&gt; 14 HARI")))))</f>
        <v>&gt; 14 HARI</v>
      </c>
      <c r="P134" s="9" t="s">
        <v>155</v>
      </c>
      <c r="Q134" s="9" t="s">
        <v>30</v>
      </c>
      <c r="R134" s="9" t="s">
        <v>31</v>
      </c>
    </row>
    <row r="135" customFormat="false" ht="15" hidden="false" customHeight="false" outlineLevel="0" collapsed="false">
      <c r="A135" s="9" t="n">
        <v>130</v>
      </c>
      <c r="B135" s="9" t="s">
        <v>623</v>
      </c>
      <c r="C135" s="9" t="s">
        <v>624</v>
      </c>
      <c r="D135" s="9" t="s">
        <v>625</v>
      </c>
      <c r="E135" s="10" t="n">
        <v>0.11533</v>
      </c>
      <c r="F135" s="9" t="s">
        <v>626</v>
      </c>
      <c r="G135" s="9" t="s">
        <v>627</v>
      </c>
      <c r="H135" s="11" t="n">
        <v>46223</v>
      </c>
      <c r="I135" s="12" t="n">
        <v>300000</v>
      </c>
      <c r="J135" s="12" t="n">
        <v>650</v>
      </c>
      <c r="K135" s="13" t="n">
        <v>74.9645</v>
      </c>
      <c r="L135" s="12" t="n">
        <v>650</v>
      </c>
      <c r="M135" s="13" t="n">
        <v>74.9645</v>
      </c>
      <c r="N135" s="12" t="n">
        <f aca="false">IF(H135="","",$C$3-H135)</f>
        <v>14</v>
      </c>
      <c r="O135" s="9" t="str">
        <f aca="false">IF(AND(L135&lt;=$C$4,M135&lt;=$E$4),"&lt;=150pc &amp; &lt;=10kg",IF(N135="","TANPA TGL",IF(N135&lt;=5,"&lt;= 5 HARI",IF(N135&lt;=7,"&lt;= 7 HARI",IF(N135&lt;=14,"&lt;= 14 HARI","&gt; 14 HARI")))))</f>
        <v>&lt;= 14 HARI</v>
      </c>
      <c r="P135" s="9"/>
      <c r="Q135" s="9" t="s">
        <v>30</v>
      </c>
      <c r="R135" s="9" t="s">
        <v>440</v>
      </c>
    </row>
    <row r="136" customFormat="false" ht="15" hidden="false" customHeight="false" outlineLevel="0" collapsed="false">
      <c r="A136" s="9" t="n">
        <v>131</v>
      </c>
      <c r="B136" s="9" t="s">
        <v>623</v>
      </c>
      <c r="C136" s="9" t="s">
        <v>628</v>
      </c>
      <c r="D136" s="9" t="s">
        <v>625</v>
      </c>
      <c r="E136" s="10" t="n">
        <v>0.11533</v>
      </c>
      <c r="F136" s="9" t="s">
        <v>629</v>
      </c>
      <c r="G136" s="9" t="s">
        <v>630</v>
      </c>
      <c r="H136" s="11" t="n">
        <v>46234</v>
      </c>
      <c r="I136" s="12" t="n">
        <v>105000</v>
      </c>
      <c r="J136" s="12" t="n">
        <v>4200</v>
      </c>
      <c r="K136" s="13" t="n">
        <v>484.386</v>
      </c>
      <c r="L136" s="12" t="n">
        <v>4200</v>
      </c>
      <c r="M136" s="13" t="n">
        <v>484.386</v>
      </c>
      <c r="N136" s="12" t="n">
        <f aca="false">IF(H136="","",$C$3-H136)</f>
        <v>3</v>
      </c>
      <c r="O136" s="9" t="str">
        <f aca="false">IF(AND(L136&lt;=$C$4,M136&lt;=$E$4),"&lt;=150pc &amp; &lt;=10kg",IF(N136="","TANPA TGL",IF(N136&lt;=5,"&lt;= 5 HARI",IF(N136&lt;=7,"&lt;= 7 HARI",IF(N136&lt;=14,"&lt;= 14 HARI","&gt; 14 HARI")))))</f>
        <v>&lt;= 5 HARI</v>
      </c>
      <c r="P136" s="9"/>
      <c r="Q136" s="9" t="s">
        <v>30</v>
      </c>
      <c r="R136" s="9" t="s">
        <v>440</v>
      </c>
    </row>
    <row r="137" customFormat="false" ht="15" hidden="false" customHeight="false" outlineLevel="0" collapsed="false">
      <c r="A137" s="9" t="n">
        <v>132</v>
      </c>
      <c r="B137" s="9" t="s">
        <v>631</v>
      </c>
      <c r="C137" s="9" t="s">
        <v>632</v>
      </c>
      <c r="D137" s="9" t="s">
        <v>633</v>
      </c>
      <c r="E137" s="10" t="n">
        <v>0.21947</v>
      </c>
      <c r="F137" s="9" t="s">
        <v>634</v>
      </c>
      <c r="G137" s="9" t="s">
        <v>635</v>
      </c>
      <c r="H137" s="11" t="n">
        <v>46235</v>
      </c>
      <c r="I137" s="12" t="n">
        <v>5000</v>
      </c>
      <c r="J137" s="12" t="n">
        <v>0</v>
      </c>
      <c r="K137" s="13" t="n">
        <v>0</v>
      </c>
      <c r="L137" s="12" t="n">
        <v>5120</v>
      </c>
      <c r="M137" s="13" t="n">
        <v>1123.6864</v>
      </c>
      <c r="N137" s="12" t="n">
        <f aca="false">IF(H137="","",$C$3-H137)</f>
        <v>2</v>
      </c>
      <c r="O137" s="9" t="str">
        <f aca="false">IF(AND(L137&lt;=$C$4,M137&lt;=$E$4),"&lt;=150pc &amp; &lt;=10kg",IF(N137="","TANPA TGL",IF(N137&lt;=5,"&lt;= 5 HARI",IF(N137&lt;=7,"&lt;= 7 HARI",IF(N137&lt;=14,"&lt;= 14 HARI","&gt; 14 HARI")))))</f>
        <v>&lt;= 5 HARI</v>
      </c>
      <c r="P137" s="9"/>
      <c r="Q137" s="9" t="s">
        <v>65</v>
      </c>
      <c r="R137" s="9" t="s">
        <v>78</v>
      </c>
    </row>
    <row r="138" customFormat="false" ht="15" hidden="false" customHeight="false" outlineLevel="0" collapsed="false">
      <c r="A138" s="9" t="n">
        <v>133</v>
      </c>
      <c r="B138" s="9" t="s">
        <v>636</v>
      </c>
      <c r="C138" s="9" t="s">
        <v>637</v>
      </c>
      <c r="D138" s="9" t="s">
        <v>638</v>
      </c>
      <c r="E138" s="10" t="n">
        <v>0.5433</v>
      </c>
      <c r="F138" s="9" t="s">
        <v>639</v>
      </c>
      <c r="G138" s="9" t="s">
        <v>640</v>
      </c>
      <c r="H138" s="11" t="n">
        <v>46234</v>
      </c>
      <c r="I138" s="12" t="n">
        <v>5000</v>
      </c>
      <c r="J138" s="12" t="n">
        <v>5175</v>
      </c>
      <c r="K138" s="13" t="n">
        <v>2811.5775</v>
      </c>
      <c r="L138" s="12" t="n">
        <v>5175</v>
      </c>
      <c r="M138" s="13" t="n">
        <v>2811.5775</v>
      </c>
      <c r="N138" s="12" t="n">
        <f aca="false">IF(H138="","",$C$3-H138)</f>
        <v>3</v>
      </c>
      <c r="O138" s="9" t="str">
        <f aca="false">IF(AND(L138&lt;=$C$4,M138&lt;=$E$4),"&lt;=150pc &amp; &lt;=10kg",IF(N138="","TANPA TGL",IF(N138&lt;=5,"&lt;= 5 HARI",IF(N138&lt;=7,"&lt;= 7 HARI",IF(N138&lt;=14,"&lt;= 14 HARI","&gt; 14 HARI")))))</f>
        <v>&lt;= 5 HARI</v>
      </c>
      <c r="P138" s="9"/>
      <c r="Q138" s="9" t="s">
        <v>37</v>
      </c>
      <c r="R138" s="9" t="s">
        <v>45</v>
      </c>
    </row>
    <row r="139" customFormat="false" ht="15" hidden="false" customHeight="false" outlineLevel="0" collapsed="false">
      <c r="A139" s="9" t="n">
        <v>134</v>
      </c>
      <c r="B139" s="9" t="s">
        <v>636</v>
      </c>
      <c r="C139" s="9" t="s">
        <v>641</v>
      </c>
      <c r="D139" s="9" t="s">
        <v>642</v>
      </c>
      <c r="E139" s="10" t="n">
        <v>0.38504</v>
      </c>
      <c r="F139" s="9" t="s">
        <v>643</v>
      </c>
      <c r="G139" s="9" t="s">
        <v>644</v>
      </c>
      <c r="H139" s="11" t="n">
        <v>46236</v>
      </c>
      <c r="I139" s="12" t="n">
        <v>5000</v>
      </c>
      <c r="J139" s="12" t="n">
        <v>0</v>
      </c>
      <c r="K139" s="13" t="n">
        <v>0</v>
      </c>
      <c r="L139" s="12" t="n">
        <v>4700</v>
      </c>
      <c r="M139" s="13" t="n">
        <v>1809.688</v>
      </c>
      <c r="N139" s="12" t="n">
        <f aca="false">IF(H139="","",$C$3-H139)</f>
        <v>1</v>
      </c>
      <c r="O139" s="9" t="str">
        <f aca="false">IF(AND(L139&lt;=$C$4,M139&lt;=$E$4),"&lt;=150pc &amp; &lt;=10kg",IF(N139="","TANPA TGL",IF(N139&lt;=5,"&lt;= 5 HARI",IF(N139&lt;=7,"&lt;= 7 HARI",IF(N139&lt;=14,"&lt;= 14 HARI","&gt; 14 HARI")))))</f>
        <v>&lt;= 5 HARI</v>
      </c>
      <c r="P139" s="9"/>
      <c r="Q139" s="9" t="s">
        <v>37</v>
      </c>
      <c r="R139" s="9" t="s">
        <v>38</v>
      </c>
    </row>
    <row r="140" customFormat="false" ht="15" hidden="false" customHeight="false" outlineLevel="0" collapsed="false">
      <c r="A140" s="9" t="n">
        <v>135</v>
      </c>
      <c r="B140" s="9" t="s">
        <v>645</v>
      </c>
      <c r="C140" s="9" t="s">
        <v>646</v>
      </c>
      <c r="D140" s="9" t="s">
        <v>647</v>
      </c>
      <c r="E140" s="10" t="n">
        <v>0.22457</v>
      </c>
      <c r="F140" s="9" t="s">
        <v>648</v>
      </c>
      <c r="G140" s="9" t="s">
        <v>649</v>
      </c>
      <c r="H140" s="11" t="n">
        <v>46222</v>
      </c>
      <c r="I140" s="12" t="n">
        <v>25000</v>
      </c>
      <c r="J140" s="12" t="n">
        <v>520</v>
      </c>
      <c r="K140" s="13" t="n">
        <v>116.7764</v>
      </c>
      <c r="L140" s="12" t="n">
        <v>520</v>
      </c>
      <c r="M140" s="13" t="n">
        <v>116.7764</v>
      </c>
      <c r="N140" s="12" t="n">
        <f aca="false">IF(H140="","",$C$3-H140)</f>
        <v>15</v>
      </c>
      <c r="O140" s="9" t="str">
        <f aca="false">IF(AND(L140&lt;=$C$4,M140&lt;=$E$4),"&lt;=150pc &amp; &lt;=10kg",IF(N140="","TANPA TGL",IF(N140&lt;=5,"&lt;= 5 HARI",IF(N140&lt;=7,"&lt;= 7 HARI",IF(N140&lt;=14,"&lt;= 14 HARI","&gt; 14 HARI")))))</f>
        <v>&gt; 14 HARI</v>
      </c>
      <c r="P140" s="9" t="s">
        <v>64</v>
      </c>
      <c r="Q140" s="9" t="s">
        <v>107</v>
      </c>
      <c r="R140" s="9" t="s">
        <v>108</v>
      </c>
    </row>
    <row r="141" customFormat="false" ht="15" hidden="false" customHeight="false" outlineLevel="0" collapsed="false">
      <c r="A141" s="9" t="n">
        <v>136</v>
      </c>
      <c r="B141" s="9" t="s">
        <v>650</v>
      </c>
      <c r="C141" s="9" t="s">
        <v>651</v>
      </c>
      <c r="D141" s="9" t="s">
        <v>652</v>
      </c>
      <c r="E141" s="10" t="n">
        <v>0.42782</v>
      </c>
      <c r="F141" s="9" t="s">
        <v>653</v>
      </c>
      <c r="G141" s="9" t="s">
        <v>654</v>
      </c>
      <c r="H141" s="11" t="n">
        <v>46235</v>
      </c>
      <c r="I141" s="12" t="n">
        <v>2500</v>
      </c>
      <c r="J141" s="12" t="n">
        <v>1940</v>
      </c>
      <c r="K141" s="13" t="n">
        <v>829.9708</v>
      </c>
      <c r="L141" s="12" t="n">
        <v>0</v>
      </c>
      <c r="M141" s="13" t="n">
        <v>0</v>
      </c>
      <c r="N141" s="12" t="n">
        <f aca="false">IF(H141="","",$C$3-H141)</f>
        <v>2</v>
      </c>
      <c r="O141" s="9" t="str">
        <f aca="false">IF(AND(L141&lt;=$C$4,M141&lt;=$E$4),"&lt;=150pc &amp; &lt;=10kg",IF(N141="","TANPA TGL",IF(N141&lt;=5,"&lt;= 5 HARI",IF(N141&lt;=7,"&lt;= 7 HARI",IF(N141&lt;=14,"&lt;= 14 HARI","&gt; 14 HARI")))))</f>
        <v>&lt;=150pc &amp; &lt;=10kg</v>
      </c>
      <c r="P141" s="9"/>
      <c r="Q141" s="9" t="s">
        <v>238</v>
      </c>
      <c r="R141" s="9" t="s">
        <v>338</v>
      </c>
    </row>
    <row r="142" customFormat="false" ht="15" hidden="false" customHeight="false" outlineLevel="0" collapsed="false">
      <c r="A142" s="9" t="n">
        <v>137</v>
      </c>
      <c r="B142" s="9" t="s">
        <v>655</v>
      </c>
      <c r="C142" s="9" t="s">
        <v>656</v>
      </c>
      <c r="D142" s="9" t="s">
        <v>657</v>
      </c>
      <c r="E142" s="10" t="n">
        <v>0.066</v>
      </c>
      <c r="F142" s="9" t="s">
        <v>658</v>
      </c>
      <c r="G142" s="9" t="s">
        <v>659</v>
      </c>
      <c r="H142" s="11" t="n">
        <v>46178</v>
      </c>
      <c r="I142" s="12" t="n">
        <v>1500</v>
      </c>
      <c r="J142" s="12" t="n">
        <v>1500</v>
      </c>
      <c r="K142" s="13" t="n">
        <v>99</v>
      </c>
      <c r="L142" s="12" t="n">
        <v>1500</v>
      </c>
      <c r="M142" s="13" t="n">
        <v>99</v>
      </c>
      <c r="N142" s="12" t="n">
        <f aca="false">IF(H142="","",$C$3-H142)</f>
        <v>59</v>
      </c>
      <c r="O142" s="9" t="str">
        <f aca="false">IF(AND(L142&lt;=$C$4,M142&lt;=$E$4),"&lt;=150pc &amp; &lt;=10kg",IF(N142="","TANPA TGL",IF(N142&lt;=5,"&lt;= 5 HARI",IF(N142&lt;=7,"&lt;= 7 HARI",IF(N142&lt;=14,"&lt;= 14 HARI","&gt; 14 HARI")))))</f>
        <v>&gt; 14 HARI</v>
      </c>
      <c r="P142" s="9" t="s">
        <v>64</v>
      </c>
      <c r="Q142" s="9" t="s">
        <v>133</v>
      </c>
      <c r="R142" s="9" t="s">
        <v>134</v>
      </c>
    </row>
    <row r="143" customFormat="false" ht="15" hidden="false" customHeight="false" outlineLevel="0" collapsed="false">
      <c r="A143" s="9" t="n">
        <v>138</v>
      </c>
      <c r="B143" s="9" t="s">
        <v>655</v>
      </c>
      <c r="C143" s="9" t="s">
        <v>660</v>
      </c>
      <c r="D143" s="9" t="s">
        <v>661</v>
      </c>
      <c r="E143" s="10" t="n">
        <v>0.84729</v>
      </c>
      <c r="F143" s="9" t="s">
        <v>662</v>
      </c>
      <c r="G143" s="9" t="s">
        <v>663</v>
      </c>
      <c r="H143" s="11" t="n">
        <v>46179</v>
      </c>
      <c r="I143" s="12" t="n">
        <v>1000</v>
      </c>
      <c r="J143" s="12" t="n">
        <v>180</v>
      </c>
      <c r="K143" s="13" t="n">
        <v>152.5122</v>
      </c>
      <c r="L143" s="12" t="n">
        <v>180</v>
      </c>
      <c r="M143" s="13" t="n">
        <v>152.5122</v>
      </c>
      <c r="N143" s="12" t="n">
        <f aca="false">IF(H143="","",$C$3-H143)</f>
        <v>58</v>
      </c>
      <c r="O143" s="9" t="str">
        <f aca="false">IF(AND(L143&lt;=$C$4,M143&lt;=$E$4),"&lt;=150pc &amp; &lt;=10kg",IF(N143="","TANPA TGL",IF(N143&lt;=5,"&lt;= 5 HARI",IF(N143&lt;=7,"&lt;= 7 HARI",IF(N143&lt;=14,"&lt;= 14 HARI","&gt; 14 HARI")))))</f>
        <v>&gt; 14 HARI</v>
      </c>
      <c r="P143" s="9" t="s">
        <v>64</v>
      </c>
      <c r="Q143" s="9" t="s">
        <v>133</v>
      </c>
      <c r="R143" s="9" t="s">
        <v>134</v>
      </c>
    </row>
    <row r="144" customFormat="false" ht="15" hidden="false" customHeight="false" outlineLevel="0" collapsed="false">
      <c r="A144" s="9" t="n">
        <v>139</v>
      </c>
      <c r="B144" s="9" t="s">
        <v>655</v>
      </c>
      <c r="C144" s="9" t="s">
        <v>664</v>
      </c>
      <c r="D144" s="9" t="s">
        <v>665</v>
      </c>
      <c r="E144" s="10" t="n">
        <v>0.08641</v>
      </c>
      <c r="F144" s="9" t="s">
        <v>666</v>
      </c>
      <c r="G144" s="9" t="s">
        <v>667</v>
      </c>
      <c r="H144" s="11" t="n">
        <v>46161</v>
      </c>
      <c r="I144" s="12" t="n">
        <v>2000</v>
      </c>
      <c r="J144" s="12" t="n">
        <v>2000</v>
      </c>
      <c r="K144" s="13" t="n">
        <v>172.82</v>
      </c>
      <c r="L144" s="12" t="n">
        <v>2000</v>
      </c>
      <c r="M144" s="13" t="n">
        <v>172.82</v>
      </c>
      <c r="N144" s="12" t="n">
        <f aca="false">IF(H144="","",$C$3-H144)</f>
        <v>76</v>
      </c>
      <c r="O144" s="9" t="str">
        <f aca="false">IF(AND(L144&lt;=$C$4,M144&lt;=$E$4),"&lt;=150pc &amp; &lt;=10kg",IF(N144="","TANPA TGL",IF(N144&lt;=5,"&lt;= 5 HARI",IF(N144&lt;=7,"&lt;= 7 HARI",IF(N144&lt;=14,"&lt;= 14 HARI","&gt; 14 HARI")))))</f>
        <v>&gt; 14 HARI</v>
      </c>
      <c r="P144" s="9" t="s">
        <v>64</v>
      </c>
      <c r="Q144" s="9" t="s">
        <v>133</v>
      </c>
      <c r="R144" s="9" t="s">
        <v>134</v>
      </c>
    </row>
    <row r="145" customFormat="false" ht="15" hidden="false" customHeight="false" outlineLevel="0" collapsed="false">
      <c r="A145" s="9" t="n">
        <v>140</v>
      </c>
      <c r="B145" s="9" t="s">
        <v>655</v>
      </c>
      <c r="C145" s="9" t="s">
        <v>668</v>
      </c>
      <c r="D145" s="9" t="s">
        <v>669</v>
      </c>
      <c r="E145" s="10" t="n">
        <v>0.08099</v>
      </c>
      <c r="F145" s="9" t="s">
        <v>670</v>
      </c>
      <c r="G145" s="9" t="s">
        <v>671</v>
      </c>
      <c r="H145" s="11" t="n">
        <v>46190</v>
      </c>
      <c r="I145" s="12" t="n">
        <v>9900</v>
      </c>
      <c r="J145" s="12" t="n">
        <v>1400</v>
      </c>
      <c r="K145" s="13" t="n">
        <v>113.386</v>
      </c>
      <c r="L145" s="12" t="n">
        <v>1400</v>
      </c>
      <c r="M145" s="13" t="n">
        <v>113.386</v>
      </c>
      <c r="N145" s="12" t="n">
        <f aca="false">IF(H145="","",$C$3-H145)</f>
        <v>47</v>
      </c>
      <c r="O145" s="9" t="str">
        <f aca="false">IF(AND(L145&lt;=$C$4,M145&lt;=$E$4),"&lt;=150pc &amp; &lt;=10kg",IF(N145="","TANPA TGL",IF(N145&lt;=5,"&lt;= 5 HARI",IF(N145&lt;=7,"&lt;= 7 HARI",IF(N145&lt;=14,"&lt;= 14 HARI","&gt; 14 HARI")))))</f>
        <v>&gt; 14 HARI</v>
      </c>
      <c r="P145" s="9" t="s">
        <v>64</v>
      </c>
      <c r="Q145" s="9" t="s">
        <v>133</v>
      </c>
      <c r="R145" s="9" t="s">
        <v>134</v>
      </c>
    </row>
    <row r="146" customFormat="false" ht="15" hidden="false" customHeight="false" outlineLevel="0" collapsed="false">
      <c r="A146" s="9" t="n">
        <v>141</v>
      </c>
      <c r="B146" s="9" t="s">
        <v>655</v>
      </c>
      <c r="C146" s="9" t="s">
        <v>672</v>
      </c>
      <c r="D146" s="9" t="s">
        <v>673</v>
      </c>
      <c r="E146" s="10" t="n">
        <v>0.01952</v>
      </c>
      <c r="F146" s="9" t="s">
        <v>674</v>
      </c>
      <c r="G146" s="9" t="s">
        <v>675</v>
      </c>
      <c r="H146" s="11" t="n">
        <v>46212</v>
      </c>
      <c r="I146" s="12" t="n">
        <v>1500</v>
      </c>
      <c r="J146" s="12" t="n">
        <v>1500</v>
      </c>
      <c r="K146" s="13" t="n">
        <v>29.28</v>
      </c>
      <c r="L146" s="12" t="n">
        <v>1500</v>
      </c>
      <c r="M146" s="13" t="n">
        <v>29.28</v>
      </c>
      <c r="N146" s="12" t="n">
        <f aca="false">IF(H146="","",$C$3-H146)</f>
        <v>25</v>
      </c>
      <c r="O146" s="9" t="str">
        <f aca="false">IF(AND(L146&lt;=$C$4,M146&lt;=$E$4),"&lt;=150pc &amp; &lt;=10kg",IF(N146="","TANPA TGL",IF(N146&lt;=5,"&lt;= 5 HARI",IF(N146&lt;=7,"&lt;= 7 HARI",IF(N146&lt;=14,"&lt;= 14 HARI","&gt; 14 HARI")))))</f>
        <v>&gt; 14 HARI</v>
      </c>
      <c r="P146" s="9" t="s">
        <v>64</v>
      </c>
      <c r="Q146" s="9" t="s">
        <v>133</v>
      </c>
      <c r="R146" s="9" t="s">
        <v>134</v>
      </c>
    </row>
    <row r="147" customFormat="false" ht="15" hidden="false" customHeight="false" outlineLevel="0" collapsed="false">
      <c r="A147" s="9" t="n">
        <v>142</v>
      </c>
      <c r="B147" s="9" t="s">
        <v>676</v>
      </c>
      <c r="C147" s="9" t="s">
        <v>677</v>
      </c>
      <c r="D147" s="9" t="s">
        <v>678</v>
      </c>
      <c r="E147" s="10" t="n">
        <v>0.1316</v>
      </c>
      <c r="F147" s="9" t="s">
        <v>679</v>
      </c>
      <c r="G147" s="9" t="s">
        <v>680</v>
      </c>
      <c r="H147" s="11" t="n">
        <v>46231</v>
      </c>
      <c r="I147" s="12" t="n">
        <v>50000</v>
      </c>
      <c r="J147" s="12" t="n">
        <v>1680</v>
      </c>
      <c r="K147" s="13" t="n">
        <v>221.088</v>
      </c>
      <c r="L147" s="12" t="n">
        <v>1680</v>
      </c>
      <c r="M147" s="13" t="n">
        <v>221.088</v>
      </c>
      <c r="N147" s="12" t="n">
        <f aca="false">IF(H147="","",$C$3-H147)</f>
        <v>6</v>
      </c>
      <c r="O147" s="9" t="str">
        <f aca="false">IF(AND(L147&lt;=$C$4,M147&lt;=$E$4),"&lt;=150pc &amp; &lt;=10kg",IF(N147="","TANPA TGL",IF(N147&lt;=5,"&lt;= 5 HARI",IF(N147&lt;=7,"&lt;= 7 HARI",IF(N147&lt;=14,"&lt;= 14 HARI","&gt; 14 HARI")))))</f>
        <v>&lt;= 7 HARI</v>
      </c>
      <c r="P147" s="9"/>
      <c r="Q147" s="9" t="s">
        <v>65</v>
      </c>
      <c r="R147" s="9" t="s">
        <v>78</v>
      </c>
    </row>
    <row r="148" customFormat="false" ht="15" hidden="false" customHeight="false" outlineLevel="0" collapsed="false">
      <c r="A148" s="9" t="n">
        <v>143</v>
      </c>
      <c r="B148" s="9" t="s">
        <v>681</v>
      </c>
      <c r="C148" s="9" t="s">
        <v>682</v>
      </c>
      <c r="D148" s="9" t="s">
        <v>683</v>
      </c>
      <c r="E148" s="10" t="n">
        <v>0.15751</v>
      </c>
      <c r="F148" s="9" t="s">
        <v>684</v>
      </c>
      <c r="G148" s="9" t="s">
        <v>685</v>
      </c>
      <c r="H148" s="11" t="n">
        <v>46233</v>
      </c>
      <c r="I148" s="12" t="n">
        <v>9000</v>
      </c>
      <c r="J148" s="12" t="n">
        <v>340</v>
      </c>
      <c r="K148" s="13" t="n">
        <v>53.5534</v>
      </c>
      <c r="L148" s="12" t="n">
        <v>340</v>
      </c>
      <c r="M148" s="13" t="n">
        <v>53.5534</v>
      </c>
      <c r="N148" s="12" t="n">
        <f aca="false">IF(H148="","",$C$3-H148)</f>
        <v>4</v>
      </c>
      <c r="O148" s="9" t="str">
        <f aca="false">IF(AND(L148&lt;=$C$4,M148&lt;=$E$4),"&lt;=150pc &amp; &lt;=10kg",IF(N148="","TANPA TGL",IF(N148&lt;=5,"&lt;= 5 HARI",IF(N148&lt;=7,"&lt;= 7 HARI",IF(N148&lt;=14,"&lt;= 14 HARI","&gt; 14 HARI")))))</f>
        <v>&lt;= 5 HARI</v>
      </c>
      <c r="P148" s="9"/>
      <c r="Q148" s="9" t="s">
        <v>686</v>
      </c>
      <c r="R148" s="9" t="s">
        <v>687</v>
      </c>
    </row>
    <row r="149" customFormat="false" ht="15" hidden="false" customHeight="false" outlineLevel="0" collapsed="false">
      <c r="A149" s="9" t="n">
        <v>144</v>
      </c>
      <c r="B149" s="9" t="s">
        <v>688</v>
      </c>
      <c r="C149" s="9" t="s">
        <v>689</v>
      </c>
      <c r="D149" s="9" t="s">
        <v>690</v>
      </c>
      <c r="E149" s="10" t="n">
        <v>0.32544</v>
      </c>
      <c r="F149" s="9" t="s">
        <v>691</v>
      </c>
      <c r="G149" s="9" t="s">
        <v>692</v>
      </c>
      <c r="H149" s="11" t="n">
        <v>46234</v>
      </c>
      <c r="I149" s="12" t="n">
        <v>7000</v>
      </c>
      <c r="J149" s="12" t="n">
        <v>7000</v>
      </c>
      <c r="K149" s="13" t="n">
        <v>2278.08</v>
      </c>
      <c r="L149" s="12" t="n">
        <v>0</v>
      </c>
      <c r="M149" s="13" t="n">
        <v>0</v>
      </c>
      <c r="N149" s="12" t="n">
        <f aca="false">IF(H149="","",$C$3-H149)</f>
        <v>3</v>
      </c>
      <c r="O149" s="9" t="str">
        <f aca="false">IF(AND(L149&lt;=$C$4,M149&lt;=$E$4),"&lt;=150pc &amp; &lt;=10kg",IF(N149="","TANPA TGL",IF(N149&lt;=5,"&lt;= 5 HARI",IF(N149&lt;=7,"&lt;= 7 HARI",IF(N149&lt;=14,"&lt;= 14 HARI","&gt; 14 HARI")))))</f>
        <v>&lt;=150pc &amp; &lt;=10kg</v>
      </c>
      <c r="P149" s="9"/>
      <c r="Q149" s="9" t="s">
        <v>133</v>
      </c>
      <c r="R149" s="9" t="s">
        <v>134</v>
      </c>
    </row>
    <row r="150" customFormat="false" ht="15" hidden="false" customHeight="false" outlineLevel="0" collapsed="false">
      <c r="A150" s="9" t="n">
        <v>145</v>
      </c>
      <c r="B150" s="9" t="s">
        <v>693</v>
      </c>
      <c r="C150" s="9" t="s">
        <v>694</v>
      </c>
      <c r="D150" s="9" t="s">
        <v>695</v>
      </c>
      <c r="E150" s="10" t="n">
        <v>0.25744</v>
      </c>
      <c r="F150" s="9" t="s">
        <v>696</v>
      </c>
      <c r="G150" s="9" t="s">
        <v>697</v>
      </c>
      <c r="H150" s="11" t="n">
        <v>46226</v>
      </c>
      <c r="I150" s="12" t="n">
        <v>216000</v>
      </c>
      <c r="J150" s="12" t="n">
        <v>5220</v>
      </c>
      <c r="K150" s="13" t="n">
        <v>1343.8368</v>
      </c>
      <c r="L150" s="12" t="n">
        <v>5220</v>
      </c>
      <c r="M150" s="13" t="n">
        <v>1343.8368</v>
      </c>
      <c r="N150" s="12" t="n">
        <f aca="false">IF(H150="","",$C$3-H150)</f>
        <v>11</v>
      </c>
      <c r="O150" s="9" t="str">
        <f aca="false">IF(AND(L150&lt;=$C$4,M150&lt;=$E$4),"&lt;=150pc &amp; &lt;=10kg",IF(N150="","TANPA TGL",IF(N150&lt;=5,"&lt;= 5 HARI",IF(N150&lt;=7,"&lt;= 7 HARI",IF(N150&lt;=14,"&lt;= 14 HARI","&gt; 14 HARI")))))</f>
        <v>&lt;= 14 HARI</v>
      </c>
      <c r="P150" s="9"/>
      <c r="Q150" s="9" t="s">
        <v>30</v>
      </c>
      <c r="R150" s="9" t="s">
        <v>66</v>
      </c>
    </row>
    <row r="151" customFormat="false" ht="15" hidden="false" customHeight="false" outlineLevel="0" collapsed="false">
      <c r="A151" s="9" t="n">
        <v>146</v>
      </c>
      <c r="B151" s="9" t="s">
        <v>698</v>
      </c>
      <c r="C151" s="9" t="s">
        <v>699</v>
      </c>
      <c r="D151" s="9" t="s">
        <v>700</v>
      </c>
      <c r="E151" s="10" t="n">
        <v>2.52893</v>
      </c>
      <c r="F151" s="9" t="s">
        <v>701</v>
      </c>
      <c r="G151" s="9" t="s">
        <v>702</v>
      </c>
      <c r="H151" s="11" t="n">
        <v>46235</v>
      </c>
      <c r="I151" s="12" t="n">
        <v>350</v>
      </c>
      <c r="J151" s="12" t="n">
        <v>0</v>
      </c>
      <c r="K151" s="13" t="n">
        <v>0</v>
      </c>
      <c r="L151" s="12" t="n">
        <v>357</v>
      </c>
      <c r="M151" s="13" t="n">
        <v>902.82801</v>
      </c>
      <c r="N151" s="12" t="n">
        <f aca="false">IF(H151="","",$C$3-H151)</f>
        <v>2</v>
      </c>
      <c r="O151" s="9" t="str">
        <f aca="false">IF(AND(L151&lt;=$C$4,M151&lt;=$E$4),"&lt;=150pc &amp; &lt;=10kg",IF(N151="","TANPA TGL",IF(N151&lt;=5,"&lt;= 5 HARI",IF(N151&lt;=7,"&lt;= 7 HARI",IF(N151&lt;=14,"&lt;= 14 HARI","&gt; 14 HARI")))))</f>
        <v>&lt;= 5 HARI</v>
      </c>
      <c r="P151" s="9"/>
      <c r="Q151" s="9" t="s">
        <v>238</v>
      </c>
      <c r="R151" s="9" t="s">
        <v>239</v>
      </c>
    </row>
    <row r="152" customFormat="false" ht="15" hidden="false" customHeight="false" outlineLevel="0" collapsed="false">
      <c r="A152" s="9" t="n">
        <v>147</v>
      </c>
      <c r="B152" s="9" t="s">
        <v>698</v>
      </c>
      <c r="C152" s="9" t="s">
        <v>703</v>
      </c>
      <c r="D152" s="9" t="s">
        <v>700</v>
      </c>
      <c r="E152" s="10" t="n">
        <v>3.26106</v>
      </c>
      <c r="F152" s="9" t="s">
        <v>704</v>
      </c>
      <c r="G152" s="9" t="s">
        <v>705</v>
      </c>
      <c r="H152" s="11" t="n">
        <v>46235</v>
      </c>
      <c r="I152" s="12" t="n">
        <v>300</v>
      </c>
      <c r="J152" s="12" t="n">
        <v>0</v>
      </c>
      <c r="K152" s="13" t="n">
        <v>0</v>
      </c>
      <c r="L152" s="12" t="n">
        <v>306</v>
      </c>
      <c r="M152" s="13" t="n">
        <v>997.88436</v>
      </c>
      <c r="N152" s="12" t="n">
        <f aca="false">IF(H152="","",$C$3-H152)</f>
        <v>2</v>
      </c>
      <c r="O152" s="9" t="str">
        <f aca="false">IF(AND(L152&lt;=$C$4,M152&lt;=$E$4),"&lt;=150pc &amp; &lt;=10kg",IF(N152="","TANPA TGL",IF(N152&lt;=5,"&lt;= 5 HARI",IF(N152&lt;=7,"&lt;= 7 HARI",IF(N152&lt;=14,"&lt;= 14 HARI","&gt; 14 HARI")))))</f>
        <v>&lt;= 5 HARI</v>
      </c>
      <c r="P152" s="9"/>
      <c r="Q152" s="9" t="s">
        <v>238</v>
      </c>
      <c r="R152" s="9" t="s">
        <v>239</v>
      </c>
    </row>
    <row r="153" customFormat="false" ht="15" hidden="false" customHeight="false" outlineLevel="0" collapsed="false">
      <c r="A153" s="9" t="n">
        <v>148</v>
      </c>
      <c r="B153" s="9" t="s">
        <v>706</v>
      </c>
      <c r="C153" s="9" t="s">
        <v>707</v>
      </c>
      <c r="D153" s="9" t="s">
        <v>708</v>
      </c>
      <c r="E153" s="10" t="n">
        <v>1.30286</v>
      </c>
      <c r="F153" s="9" t="s">
        <v>709</v>
      </c>
      <c r="G153" s="9" t="s">
        <v>710</v>
      </c>
      <c r="H153" s="11" t="n">
        <v>46147</v>
      </c>
      <c r="I153" s="12" t="n">
        <v>1400</v>
      </c>
      <c r="J153" s="12" t="n">
        <v>150</v>
      </c>
      <c r="K153" s="13" t="n">
        <v>195.429</v>
      </c>
      <c r="L153" s="12" t="n">
        <v>150</v>
      </c>
      <c r="M153" s="13" t="n">
        <v>195.429</v>
      </c>
      <c r="N153" s="12" t="n">
        <f aca="false">IF(H153="","",$C$3-H153)</f>
        <v>90</v>
      </c>
      <c r="O153" s="9" t="str">
        <f aca="false">IF(AND(L153&lt;=$C$4,M153&lt;=$E$4),"&lt;=150pc &amp; &lt;=10kg",IF(N153="","TANPA TGL",IF(N153&lt;=5,"&lt;= 5 HARI",IF(N153&lt;=7,"&lt;= 7 HARI",IF(N153&lt;=14,"&lt;= 14 HARI","&gt; 14 HARI")))))</f>
        <v>&gt; 14 HARI</v>
      </c>
      <c r="P153" s="9" t="s">
        <v>64</v>
      </c>
      <c r="Q153" s="9" t="s">
        <v>133</v>
      </c>
      <c r="R153" s="9" t="s">
        <v>45</v>
      </c>
    </row>
    <row r="154" customFormat="false" ht="15" hidden="false" customHeight="false" outlineLevel="0" collapsed="false">
      <c r="A154" s="9" t="n">
        <v>149</v>
      </c>
      <c r="B154" s="9" t="s">
        <v>706</v>
      </c>
      <c r="C154" s="9" t="s">
        <v>711</v>
      </c>
      <c r="D154" s="9" t="s">
        <v>712</v>
      </c>
      <c r="E154" s="10" t="n">
        <v>0.43523</v>
      </c>
      <c r="F154" s="9" t="s">
        <v>713</v>
      </c>
      <c r="G154" s="9" t="s">
        <v>714</v>
      </c>
      <c r="H154" s="11" t="n">
        <v>46216</v>
      </c>
      <c r="I154" s="12" t="n">
        <v>3500</v>
      </c>
      <c r="J154" s="12" t="n">
        <v>255</v>
      </c>
      <c r="K154" s="13" t="n">
        <v>110.98365</v>
      </c>
      <c r="L154" s="12" t="n">
        <v>255</v>
      </c>
      <c r="M154" s="13" t="n">
        <v>110.98365</v>
      </c>
      <c r="N154" s="12" t="n">
        <f aca="false">IF(H154="","",$C$3-H154)</f>
        <v>21</v>
      </c>
      <c r="O154" s="9" t="str">
        <f aca="false">IF(AND(L154&lt;=$C$4,M154&lt;=$E$4),"&lt;=150pc &amp; &lt;=10kg",IF(N154="","TANPA TGL",IF(N154&lt;=5,"&lt;= 5 HARI",IF(N154&lt;=7,"&lt;= 7 HARI",IF(N154&lt;=14,"&lt;= 14 HARI","&gt; 14 HARI")))))</f>
        <v>&gt; 14 HARI</v>
      </c>
      <c r="P154" s="9" t="s">
        <v>64</v>
      </c>
      <c r="Q154" s="9" t="s">
        <v>133</v>
      </c>
      <c r="R154" s="9" t="s">
        <v>45</v>
      </c>
    </row>
    <row r="155" customFormat="false" ht="15" hidden="false" customHeight="false" outlineLevel="0" collapsed="false">
      <c r="A155" s="9" t="n">
        <v>150</v>
      </c>
      <c r="B155" s="9" t="s">
        <v>706</v>
      </c>
      <c r="C155" s="9" t="s">
        <v>715</v>
      </c>
      <c r="D155" s="9" t="s">
        <v>716</v>
      </c>
      <c r="E155" s="10" t="n">
        <v>0.42343</v>
      </c>
      <c r="F155" s="9" t="s">
        <v>717</v>
      </c>
      <c r="G155" s="9" t="s">
        <v>718</v>
      </c>
      <c r="H155" s="11" t="n">
        <v>46231</v>
      </c>
      <c r="I155" s="12" t="n">
        <v>6000</v>
      </c>
      <c r="J155" s="12" t="n">
        <v>1598</v>
      </c>
      <c r="K155" s="13" t="n">
        <v>676.64114</v>
      </c>
      <c r="L155" s="12" t="n">
        <v>1598</v>
      </c>
      <c r="M155" s="13" t="n">
        <v>676.64114</v>
      </c>
      <c r="N155" s="12" t="n">
        <f aca="false">IF(H155="","",$C$3-H155)</f>
        <v>6</v>
      </c>
      <c r="O155" s="9" t="str">
        <f aca="false">IF(AND(L155&lt;=$C$4,M155&lt;=$E$4),"&lt;=150pc &amp; &lt;=10kg",IF(N155="","TANPA TGL",IF(N155&lt;=5,"&lt;= 5 HARI",IF(N155&lt;=7,"&lt;= 7 HARI",IF(N155&lt;=14,"&lt;= 14 HARI","&gt; 14 HARI")))))</f>
        <v>&lt;= 7 HARI</v>
      </c>
      <c r="P155" s="9"/>
      <c r="Q155" s="9" t="s">
        <v>133</v>
      </c>
      <c r="R155" s="9" t="s">
        <v>45</v>
      </c>
    </row>
    <row r="156" customFormat="false" ht="15" hidden="false" customHeight="false" outlineLevel="0" collapsed="false">
      <c r="A156" s="9" t="n">
        <v>151</v>
      </c>
      <c r="B156" s="9" t="s">
        <v>706</v>
      </c>
      <c r="C156" s="9" t="s">
        <v>719</v>
      </c>
      <c r="D156" s="9" t="s">
        <v>720</v>
      </c>
      <c r="E156" s="10" t="n">
        <v>0.37607</v>
      </c>
      <c r="F156" s="9" t="s">
        <v>721</v>
      </c>
      <c r="G156" s="9" t="s">
        <v>722</v>
      </c>
      <c r="H156" s="11" t="n">
        <v>46233</v>
      </c>
      <c r="I156" s="12" t="n">
        <v>3000</v>
      </c>
      <c r="J156" s="12" t="n">
        <v>3120</v>
      </c>
      <c r="K156" s="13" t="n">
        <v>1173.3384</v>
      </c>
      <c r="L156" s="12" t="n">
        <v>3120</v>
      </c>
      <c r="M156" s="13" t="n">
        <v>1173.3384</v>
      </c>
      <c r="N156" s="12" t="n">
        <f aca="false">IF(H156="","",$C$3-H156)</f>
        <v>4</v>
      </c>
      <c r="O156" s="9" t="str">
        <f aca="false">IF(AND(L156&lt;=$C$4,M156&lt;=$E$4),"&lt;=150pc &amp; &lt;=10kg",IF(N156="","TANPA TGL",IF(N156&lt;=5,"&lt;= 5 HARI",IF(N156&lt;=7,"&lt;= 7 HARI",IF(N156&lt;=14,"&lt;= 14 HARI","&gt; 14 HARI")))))</f>
        <v>&lt;= 5 HARI</v>
      </c>
      <c r="P156" s="9"/>
      <c r="Q156" s="9" t="s">
        <v>133</v>
      </c>
      <c r="R156" s="9" t="s">
        <v>45</v>
      </c>
    </row>
    <row r="157" customFormat="false" ht="15" hidden="false" customHeight="false" outlineLevel="0" collapsed="false">
      <c r="A157" s="9" t="n">
        <v>152</v>
      </c>
      <c r="B157" s="9" t="s">
        <v>723</v>
      </c>
      <c r="C157" s="9" t="s">
        <v>724</v>
      </c>
      <c r="D157" s="9" t="s">
        <v>725</v>
      </c>
      <c r="E157" s="10" t="n">
        <v>0.42987</v>
      </c>
      <c r="F157" s="9" t="s">
        <v>726</v>
      </c>
      <c r="G157" s="9" t="s">
        <v>727</v>
      </c>
      <c r="H157" s="11" t="n">
        <v>46231</v>
      </c>
      <c r="I157" s="12" t="n">
        <v>333000</v>
      </c>
      <c r="J157" s="12" t="n">
        <v>1870</v>
      </c>
      <c r="K157" s="13" t="n">
        <v>803.8569</v>
      </c>
      <c r="L157" s="12" t="n">
        <v>1870</v>
      </c>
      <c r="M157" s="13" t="n">
        <v>803.8569</v>
      </c>
      <c r="N157" s="12" t="n">
        <f aca="false">IF(H157="","",$C$3-H157)</f>
        <v>6</v>
      </c>
      <c r="O157" s="9" t="str">
        <f aca="false">IF(AND(L157&lt;=$C$4,M157&lt;=$E$4),"&lt;=150pc &amp; &lt;=10kg",IF(N157="","TANPA TGL",IF(N157&lt;=5,"&lt;= 5 HARI",IF(N157&lt;=7,"&lt;= 7 HARI",IF(N157&lt;=14,"&lt;= 14 HARI","&gt; 14 HARI")))))</f>
        <v>&lt;= 7 HARI</v>
      </c>
      <c r="P157" s="9"/>
      <c r="Q157" s="9" t="s">
        <v>44</v>
      </c>
      <c r="R157" s="9" t="s">
        <v>45</v>
      </c>
    </row>
    <row r="158" customFormat="false" ht="15" hidden="false" customHeight="false" outlineLevel="0" collapsed="false">
      <c r="A158" s="9" t="n">
        <v>153</v>
      </c>
      <c r="B158" s="9" t="s">
        <v>723</v>
      </c>
      <c r="C158" s="9" t="s">
        <v>728</v>
      </c>
      <c r="D158" s="9" t="s">
        <v>729</v>
      </c>
      <c r="E158" s="10" t="n">
        <v>0.22121</v>
      </c>
      <c r="F158" s="9" t="s">
        <v>730</v>
      </c>
      <c r="G158" s="9" t="s">
        <v>731</v>
      </c>
      <c r="H158" s="11" t="n">
        <v>46233</v>
      </c>
      <c r="I158" s="12" t="n">
        <v>170500</v>
      </c>
      <c r="J158" s="12" t="n">
        <v>117</v>
      </c>
      <c r="K158" s="13" t="n">
        <v>25.88157</v>
      </c>
      <c r="L158" s="12" t="n">
        <v>117</v>
      </c>
      <c r="M158" s="13" t="n">
        <v>25.88157</v>
      </c>
      <c r="N158" s="12" t="n">
        <f aca="false">IF(H158="","",$C$3-H158)</f>
        <v>4</v>
      </c>
      <c r="O158" s="9" t="str">
        <f aca="false">IF(AND(L158&lt;=$C$4,M158&lt;=$E$4),"&lt;=150pc &amp; &lt;=10kg",IF(N158="","TANPA TGL",IF(N158&lt;=5,"&lt;= 5 HARI",IF(N158&lt;=7,"&lt;= 7 HARI",IF(N158&lt;=14,"&lt;= 14 HARI","&gt; 14 HARI")))))</f>
        <v>&lt;= 5 HARI</v>
      </c>
      <c r="P158" s="9"/>
      <c r="Q158" s="9" t="s">
        <v>44</v>
      </c>
      <c r="R158" s="9" t="s">
        <v>45</v>
      </c>
    </row>
    <row r="159" customFormat="false" ht="15" hidden="false" customHeight="false" outlineLevel="0" collapsed="false">
      <c r="A159" s="9" t="n">
        <v>154</v>
      </c>
      <c r="B159" s="9" t="s">
        <v>723</v>
      </c>
      <c r="C159" s="9" t="s">
        <v>732</v>
      </c>
      <c r="D159" s="9" t="s">
        <v>733</v>
      </c>
      <c r="E159" s="10" t="n">
        <v>0.25267</v>
      </c>
      <c r="F159" s="9" t="s">
        <v>734</v>
      </c>
      <c r="G159" s="9" t="s">
        <v>735</v>
      </c>
      <c r="H159" s="11" t="n">
        <v>46234</v>
      </c>
      <c r="I159" s="12" t="n">
        <v>13500</v>
      </c>
      <c r="J159" s="12" t="n">
        <v>13200</v>
      </c>
      <c r="K159" s="13" t="n">
        <v>3335.244</v>
      </c>
      <c r="L159" s="12" t="n">
        <v>13200</v>
      </c>
      <c r="M159" s="13" t="n">
        <v>3335.244</v>
      </c>
      <c r="N159" s="12" t="n">
        <f aca="false">IF(H159="","",$C$3-H159)</f>
        <v>3</v>
      </c>
      <c r="O159" s="9" t="str">
        <f aca="false">IF(AND(L159&lt;=$C$4,M159&lt;=$E$4),"&lt;=150pc &amp; &lt;=10kg",IF(N159="","TANPA TGL",IF(N159&lt;=5,"&lt;= 5 HARI",IF(N159&lt;=7,"&lt;= 7 HARI",IF(N159&lt;=14,"&lt;= 14 HARI","&gt; 14 HARI")))))</f>
        <v>&lt;= 5 HARI</v>
      </c>
      <c r="P159" s="9"/>
      <c r="Q159" s="9" t="s">
        <v>44</v>
      </c>
      <c r="R159" s="9" t="s">
        <v>45</v>
      </c>
    </row>
    <row r="160" customFormat="false" ht="15" hidden="false" customHeight="false" outlineLevel="0" collapsed="false">
      <c r="A160" s="9" t="n">
        <v>155</v>
      </c>
      <c r="B160" s="9" t="s">
        <v>723</v>
      </c>
      <c r="C160" s="9" t="s">
        <v>736</v>
      </c>
      <c r="D160" s="9" t="s">
        <v>737</v>
      </c>
      <c r="E160" s="10" t="n">
        <v>0.46761</v>
      </c>
      <c r="F160" s="9" t="s">
        <v>738</v>
      </c>
      <c r="G160" s="9" t="s">
        <v>739</v>
      </c>
      <c r="H160" s="11" t="n">
        <v>46236</v>
      </c>
      <c r="I160" s="12" t="n">
        <v>165000</v>
      </c>
      <c r="J160" s="12" t="n">
        <v>-7210</v>
      </c>
      <c r="K160" s="13" t="n">
        <v>-3371.4681</v>
      </c>
      <c r="L160" s="12" t="n">
        <v>31770</v>
      </c>
      <c r="M160" s="13" t="n">
        <v>14855.9697</v>
      </c>
      <c r="N160" s="12" t="n">
        <f aca="false">IF(H160="","",$C$3-H160)</f>
        <v>1</v>
      </c>
      <c r="O160" s="9" t="str">
        <f aca="false">IF(AND(L160&lt;=$C$4,M160&lt;=$E$4),"&lt;=150pc &amp; &lt;=10kg",IF(N160="","TANPA TGL",IF(N160&lt;=5,"&lt;= 5 HARI",IF(N160&lt;=7,"&lt;= 7 HARI",IF(N160&lt;=14,"&lt;= 14 HARI","&gt; 14 HARI")))))</f>
        <v>&lt;= 5 HARI</v>
      </c>
      <c r="P160" s="9"/>
      <c r="Q160" s="9" t="s">
        <v>44</v>
      </c>
      <c r="R160" s="9" t="s">
        <v>45</v>
      </c>
    </row>
    <row r="161" customFormat="false" ht="15" hidden="false" customHeight="false" outlineLevel="0" collapsed="false">
      <c r="A161" s="9" t="n">
        <v>156</v>
      </c>
      <c r="B161" s="9" t="s">
        <v>723</v>
      </c>
      <c r="C161" s="9" t="s">
        <v>740</v>
      </c>
      <c r="D161" s="9" t="s">
        <v>741</v>
      </c>
      <c r="E161" s="10" t="n">
        <v>0.19668</v>
      </c>
      <c r="F161" s="9" t="s">
        <v>742</v>
      </c>
      <c r="G161" s="9" t="s">
        <v>743</v>
      </c>
      <c r="H161" s="11" t="n">
        <v>46235</v>
      </c>
      <c r="I161" s="12" t="n">
        <v>30000</v>
      </c>
      <c r="J161" s="12" t="n">
        <v>8700</v>
      </c>
      <c r="K161" s="13" t="n">
        <v>1711.116</v>
      </c>
      <c r="L161" s="12" t="n">
        <v>23880</v>
      </c>
      <c r="M161" s="13" t="n">
        <v>4696.7184</v>
      </c>
      <c r="N161" s="12" t="n">
        <f aca="false">IF(H161="","",$C$3-H161)</f>
        <v>2</v>
      </c>
      <c r="O161" s="9" t="str">
        <f aca="false">IF(AND(L161&lt;=$C$4,M161&lt;=$E$4),"&lt;=150pc &amp; &lt;=10kg",IF(N161="","TANPA TGL",IF(N161&lt;=5,"&lt;= 5 HARI",IF(N161&lt;=7,"&lt;= 7 HARI",IF(N161&lt;=14,"&lt;= 14 HARI","&gt; 14 HARI")))))</f>
        <v>&lt;= 5 HARI</v>
      </c>
      <c r="P161" s="9"/>
      <c r="Q161" s="9" t="s">
        <v>44</v>
      </c>
      <c r="R161" s="9" t="s">
        <v>45</v>
      </c>
    </row>
    <row r="162" customFormat="false" ht="15" hidden="false" customHeight="false" outlineLevel="0" collapsed="false">
      <c r="A162" s="9" t="n">
        <v>157</v>
      </c>
      <c r="B162" s="9" t="s">
        <v>723</v>
      </c>
      <c r="C162" s="9" t="s">
        <v>744</v>
      </c>
      <c r="D162" s="9" t="s">
        <v>741</v>
      </c>
      <c r="E162" s="10" t="n">
        <v>0.19668</v>
      </c>
      <c r="F162" s="9" t="s">
        <v>745</v>
      </c>
      <c r="G162" s="9" t="s">
        <v>746</v>
      </c>
      <c r="H162" s="11" t="n">
        <v>46235</v>
      </c>
      <c r="I162" s="12" t="n">
        <v>25000</v>
      </c>
      <c r="J162" s="12" t="n">
        <v>0</v>
      </c>
      <c r="K162" s="13" t="n">
        <v>0</v>
      </c>
      <c r="L162" s="12" t="n">
        <v>23480</v>
      </c>
      <c r="M162" s="13" t="n">
        <v>4618.0464</v>
      </c>
      <c r="N162" s="12" t="n">
        <f aca="false">IF(H162="","",$C$3-H162)</f>
        <v>2</v>
      </c>
      <c r="O162" s="9" t="str">
        <f aca="false">IF(AND(L162&lt;=$C$4,M162&lt;=$E$4),"&lt;=150pc &amp; &lt;=10kg",IF(N162="","TANPA TGL",IF(N162&lt;=5,"&lt;= 5 HARI",IF(N162&lt;=7,"&lt;= 7 HARI",IF(N162&lt;=14,"&lt;= 14 HARI","&gt; 14 HARI")))))</f>
        <v>&lt;= 5 HARI</v>
      </c>
      <c r="P162" s="9"/>
      <c r="Q162" s="9" t="s">
        <v>44</v>
      </c>
      <c r="R162" s="9" t="s">
        <v>45</v>
      </c>
    </row>
    <row r="163" customFormat="false" ht="15" hidden="false" customHeight="false" outlineLevel="0" collapsed="false">
      <c r="A163" s="9" t="n">
        <v>158</v>
      </c>
      <c r="B163" s="9" t="s">
        <v>747</v>
      </c>
      <c r="C163" s="9" t="s">
        <v>748</v>
      </c>
      <c r="D163" s="9" t="s">
        <v>749</v>
      </c>
      <c r="E163" s="10" t="n">
        <v>0.10285</v>
      </c>
      <c r="F163" s="9" t="s">
        <v>750</v>
      </c>
      <c r="G163" s="9" t="s">
        <v>751</v>
      </c>
      <c r="H163" s="11" t="n">
        <v>46204</v>
      </c>
      <c r="I163" s="12" t="n">
        <v>6000</v>
      </c>
      <c r="J163" s="12" t="n">
        <v>750</v>
      </c>
      <c r="K163" s="13" t="n">
        <v>77.1375</v>
      </c>
      <c r="L163" s="12" t="n">
        <v>750</v>
      </c>
      <c r="M163" s="13" t="n">
        <v>77.1375</v>
      </c>
      <c r="N163" s="12" t="n">
        <f aca="false">IF(H163="","",$C$3-H163)</f>
        <v>33</v>
      </c>
      <c r="O163" s="9" t="str">
        <f aca="false">IF(AND(L163&lt;=$C$4,M163&lt;=$E$4),"&lt;=150pc &amp; &lt;=10kg",IF(N163="","TANPA TGL",IF(N163&lt;=5,"&lt;= 5 HARI",IF(N163&lt;=7,"&lt;= 7 HARI",IF(N163&lt;=14,"&lt;= 14 HARI","&gt; 14 HARI")))))</f>
        <v>&gt; 14 HARI</v>
      </c>
      <c r="P163" s="9" t="s">
        <v>64</v>
      </c>
      <c r="Q163" s="9" t="s">
        <v>65</v>
      </c>
      <c r="R163" s="9" t="s">
        <v>78</v>
      </c>
    </row>
    <row r="164" customFormat="false" ht="15" hidden="false" customHeight="false" outlineLevel="0" collapsed="false">
      <c r="A164" s="9" t="n">
        <v>159</v>
      </c>
      <c r="B164" s="9" t="s">
        <v>752</v>
      </c>
      <c r="C164" s="9" t="s">
        <v>753</v>
      </c>
      <c r="D164" s="9" t="s">
        <v>754</v>
      </c>
      <c r="E164" s="10" t="n">
        <v>0.25832</v>
      </c>
      <c r="F164" s="9" t="s">
        <v>755</v>
      </c>
      <c r="G164" s="9" t="s">
        <v>756</v>
      </c>
      <c r="H164" s="11" t="n">
        <v>46204</v>
      </c>
      <c r="I164" s="12" t="n">
        <v>2000</v>
      </c>
      <c r="J164" s="12" t="n">
        <v>300</v>
      </c>
      <c r="K164" s="13" t="n">
        <v>77.496</v>
      </c>
      <c r="L164" s="12" t="n">
        <v>300</v>
      </c>
      <c r="M164" s="13" t="n">
        <v>77.496</v>
      </c>
      <c r="N164" s="12" t="n">
        <f aca="false">IF(H164="","",$C$3-H164)</f>
        <v>33</v>
      </c>
      <c r="O164" s="9" t="str">
        <f aca="false">IF(AND(L164&lt;=$C$4,M164&lt;=$E$4),"&lt;=150pc &amp; &lt;=10kg",IF(N164="","TANPA TGL",IF(N164&lt;=5,"&lt;= 5 HARI",IF(N164&lt;=7,"&lt;= 7 HARI",IF(N164&lt;=14,"&lt;= 14 HARI","&gt; 14 HARI")))))</f>
        <v>&gt; 14 HARI</v>
      </c>
      <c r="P164" s="9" t="s">
        <v>64</v>
      </c>
      <c r="Q164" s="9" t="s">
        <v>238</v>
      </c>
      <c r="R164" s="9" t="s">
        <v>239</v>
      </c>
    </row>
    <row r="165" customFormat="false" ht="15" hidden="false" customHeight="false" outlineLevel="0" collapsed="false">
      <c r="A165" s="9" t="n">
        <v>160</v>
      </c>
      <c r="B165" s="9" t="s">
        <v>757</v>
      </c>
      <c r="C165" s="9" t="s">
        <v>758</v>
      </c>
      <c r="D165" s="9" t="s">
        <v>759</v>
      </c>
      <c r="E165" s="10" t="n">
        <v>0.18048</v>
      </c>
      <c r="F165" s="9" t="s">
        <v>760</v>
      </c>
      <c r="G165" s="9" t="s">
        <v>761</v>
      </c>
      <c r="H165" s="11" t="n">
        <v>46172</v>
      </c>
      <c r="I165" s="12" t="n">
        <v>6000</v>
      </c>
      <c r="J165" s="12" t="n">
        <v>100</v>
      </c>
      <c r="K165" s="13" t="n">
        <v>18.048</v>
      </c>
      <c r="L165" s="12" t="n">
        <v>100</v>
      </c>
      <c r="M165" s="13" t="n">
        <v>18.048</v>
      </c>
      <c r="N165" s="12" t="n">
        <f aca="false">IF(H165="","",$C$3-H165)</f>
        <v>65</v>
      </c>
      <c r="O165" s="9" t="str">
        <f aca="false">IF(AND(L165&lt;=$C$4,M165&lt;=$E$4),"&lt;=150pc &amp; &lt;=10kg",IF(N165="","TANPA TGL",IF(N165&lt;=5,"&lt;= 5 HARI",IF(N165&lt;=7,"&lt;= 7 HARI",IF(N165&lt;=14,"&lt;= 14 HARI","&gt; 14 HARI")))))</f>
        <v>&gt; 14 HARI</v>
      </c>
      <c r="P165" s="9" t="s">
        <v>155</v>
      </c>
      <c r="Q165" s="9" t="s">
        <v>37</v>
      </c>
      <c r="R165" s="9" t="s">
        <v>58</v>
      </c>
    </row>
    <row r="166" customFormat="false" ht="15" hidden="false" customHeight="false" outlineLevel="0" collapsed="false">
      <c r="A166" s="9" t="n">
        <v>161</v>
      </c>
      <c r="B166" s="9" t="s">
        <v>757</v>
      </c>
      <c r="C166" s="9" t="s">
        <v>762</v>
      </c>
      <c r="D166" s="9" t="s">
        <v>759</v>
      </c>
      <c r="E166" s="10" t="n">
        <v>0.18048</v>
      </c>
      <c r="F166" s="9" t="s">
        <v>763</v>
      </c>
      <c r="G166" s="9" t="s">
        <v>764</v>
      </c>
      <c r="H166" s="11" t="n">
        <v>46212</v>
      </c>
      <c r="I166" s="12" t="n">
        <v>6000</v>
      </c>
      <c r="J166" s="12" t="n">
        <v>100</v>
      </c>
      <c r="K166" s="13" t="n">
        <v>18.048</v>
      </c>
      <c r="L166" s="12" t="n">
        <v>100</v>
      </c>
      <c r="M166" s="13" t="n">
        <v>18.048</v>
      </c>
      <c r="N166" s="12" t="n">
        <f aca="false">IF(H166="","",$C$3-H166)</f>
        <v>25</v>
      </c>
      <c r="O166" s="9" t="str">
        <f aca="false">IF(AND(L166&lt;=$C$4,M166&lt;=$E$4),"&lt;=150pc &amp; &lt;=10kg",IF(N166="","TANPA TGL",IF(N166&lt;=5,"&lt;= 5 HARI",IF(N166&lt;=7,"&lt;= 7 HARI",IF(N166&lt;=14,"&lt;= 14 HARI","&gt; 14 HARI")))))</f>
        <v>&gt; 14 HARI</v>
      </c>
      <c r="P166" s="9" t="s">
        <v>155</v>
      </c>
      <c r="Q166" s="9" t="s">
        <v>37</v>
      </c>
      <c r="R166" s="9" t="s">
        <v>58</v>
      </c>
    </row>
    <row r="167" customFormat="false" ht="15" hidden="false" customHeight="false" outlineLevel="0" collapsed="false">
      <c r="A167" s="9" t="n">
        <v>162</v>
      </c>
      <c r="B167" s="9" t="s">
        <v>765</v>
      </c>
      <c r="C167" s="9" t="s">
        <v>766</v>
      </c>
      <c r="D167" s="9" t="s">
        <v>548</v>
      </c>
      <c r="E167" s="10" t="n">
        <v>0.1771</v>
      </c>
      <c r="F167" s="9" t="s">
        <v>767</v>
      </c>
      <c r="G167" s="9" t="s">
        <v>768</v>
      </c>
      <c r="H167" s="11" t="n">
        <v>46228</v>
      </c>
      <c r="I167" s="12" t="n">
        <v>300000</v>
      </c>
      <c r="J167" s="12" t="n">
        <v>750</v>
      </c>
      <c r="K167" s="13" t="n">
        <v>132.825</v>
      </c>
      <c r="L167" s="12" t="n">
        <v>750</v>
      </c>
      <c r="M167" s="13" t="n">
        <v>132.825</v>
      </c>
      <c r="N167" s="12" t="n">
        <f aca="false">IF(H167="","",$C$3-H167)</f>
        <v>9</v>
      </c>
      <c r="O167" s="9" t="str">
        <f aca="false">IF(AND(L167&lt;=$C$4,M167&lt;=$E$4),"&lt;=150pc &amp; &lt;=10kg",IF(N167="","TANPA TGL",IF(N167&lt;=5,"&lt;= 5 HARI",IF(N167&lt;=7,"&lt;= 7 HARI",IF(N167&lt;=14,"&lt;= 14 HARI","&gt; 14 HARI")))))</f>
        <v>&lt;= 14 HARI</v>
      </c>
      <c r="P167" s="9"/>
      <c r="Q167" s="9" t="s">
        <v>44</v>
      </c>
      <c r="R167" s="9" t="s">
        <v>45</v>
      </c>
    </row>
    <row r="168" customFormat="false" ht="15" hidden="false" customHeight="false" outlineLevel="0" collapsed="false">
      <c r="A168" s="9" t="n">
        <v>163</v>
      </c>
      <c r="B168" s="9" t="s">
        <v>765</v>
      </c>
      <c r="C168" s="9" t="s">
        <v>769</v>
      </c>
      <c r="D168" s="9" t="s">
        <v>770</v>
      </c>
      <c r="E168" s="10" t="n">
        <v>0.1771</v>
      </c>
      <c r="F168" s="9" t="s">
        <v>771</v>
      </c>
      <c r="G168" s="9" t="s">
        <v>772</v>
      </c>
      <c r="H168" s="11" t="n">
        <v>46236</v>
      </c>
      <c r="I168" s="12" t="n">
        <v>300000</v>
      </c>
      <c r="J168" s="12" t="n">
        <v>5100</v>
      </c>
      <c r="K168" s="13" t="n">
        <v>903.21</v>
      </c>
      <c r="L168" s="12" t="n">
        <v>29675</v>
      </c>
      <c r="M168" s="13" t="n">
        <v>5255.4425</v>
      </c>
      <c r="N168" s="12" t="n">
        <f aca="false">IF(H168="","",$C$3-H168)</f>
        <v>1</v>
      </c>
      <c r="O168" s="9" t="str">
        <f aca="false">IF(AND(L168&lt;=$C$4,M168&lt;=$E$4),"&lt;=150pc &amp; &lt;=10kg",IF(N168="","TANPA TGL",IF(N168&lt;=5,"&lt;= 5 HARI",IF(N168&lt;=7,"&lt;= 7 HARI",IF(N168&lt;=14,"&lt;= 14 HARI","&gt; 14 HARI")))))</f>
        <v>&lt;= 5 HARI</v>
      </c>
      <c r="P168" s="9"/>
      <c r="Q168" s="9" t="s">
        <v>44</v>
      </c>
      <c r="R168" s="9" t="s">
        <v>45</v>
      </c>
    </row>
    <row r="169" customFormat="false" ht="15" hidden="false" customHeight="false" outlineLevel="0" collapsed="false">
      <c r="A169" s="9" t="n">
        <v>164</v>
      </c>
      <c r="B169" s="9" t="s">
        <v>773</v>
      </c>
      <c r="C169" s="9" t="s">
        <v>774</v>
      </c>
      <c r="D169" s="9" t="s">
        <v>775</v>
      </c>
      <c r="E169" s="10" t="n">
        <v>0.35762</v>
      </c>
      <c r="F169" s="9" t="s">
        <v>776</v>
      </c>
      <c r="G169" s="9" t="s">
        <v>777</v>
      </c>
      <c r="H169" s="11" t="n">
        <v>46063</v>
      </c>
      <c r="I169" s="12" t="n">
        <v>9000</v>
      </c>
      <c r="J169" s="12" t="n">
        <v>2120</v>
      </c>
      <c r="K169" s="13" t="n">
        <v>758.1544</v>
      </c>
      <c r="L169" s="12" t="n">
        <v>2120</v>
      </c>
      <c r="M169" s="13" t="n">
        <v>758.1544</v>
      </c>
      <c r="N169" s="12" t="n">
        <f aca="false">IF(H169="","",$C$3-H169)</f>
        <v>174</v>
      </c>
      <c r="O169" s="9" t="str">
        <f aca="false">IF(AND(L169&lt;=$C$4,M169&lt;=$E$4),"&lt;=150pc &amp; &lt;=10kg",IF(N169="","TANPA TGL",IF(N169&lt;=5,"&lt;= 5 HARI",IF(N169&lt;=7,"&lt;= 7 HARI",IF(N169&lt;=14,"&lt;= 14 HARI","&gt; 14 HARI")))))</f>
        <v>&gt; 14 HARI</v>
      </c>
      <c r="P169" s="9" t="s">
        <v>51</v>
      </c>
      <c r="Q169" s="9" t="s">
        <v>37</v>
      </c>
      <c r="R169" s="9" t="s">
        <v>38</v>
      </c>
    </row>
    <row r="170" customFormat="false" ht="15" hidden="false" customHeight="false" outlineLevel="0" collapsed="false">
      <c r="A170" s="9" t="n">
        <v>165</v>
      </c>
      <c r="B170" s="9" t="s">
        <v>778</v>
      </c>
      <c r="C170" s="9" t="s">
        <v>779</v>
      </c>
      <c r="D170" s="9" t="s">
        <v>780</v>
      </c>
      <c r="E170" s="10" t="n">
        <v>0.66205</v>
      </c>
      <c r="F170" s="9" t="s">
        <v>781</v>
      </c>
      <c r="G170" s="9" t="s">
        <v>782</v>
      </c>
      <c r="H170" s="11" t="n">
        <v>46226</v>
      </c>
      <c r="I170" s="12" t="n">
        <v>150000</v>
      </c>
      <c r="J170" s="12" t="n">
        <v>980</v>
      </c>
      <c r="K170" s="13" t="n">
        <v>648.809</v>
      </c>
      <c r="L170" s="12" t="n">
        <v>980</v>
      </c>
      <c r="M170" s="13" t="n">
        <v>648.809</v>
      </c>
      <c r="N170" s="12" t="n">
        <f aca="false">IF(H170="","",$C$3-H170)</f>
        <v>11</v>
      </c>
      <c r="O170" s="9" t="str">
        <f aca="false">IF(AND(L170&lt;=$C$4,M170&lt;=$E$4),"&lt;=150pc &amp; &lt;=10kg",IF(N170="","TANPA TGL",IF(N170&lt;=5,"&lt;= 5 HARI",IF(N170&lt;=7,"&lt;= 7 HARI",IF(N170&lt;=14,"&lt;= 14 HARI","&gt; 14 HARI")))))</f>
        <v>&lt;= 14 HARI</v>
      </c>
      <c r="P170" s="9" t="s">
        <v>51</v>
      </c>
      <c r="Q170" s="9" t="s">
        <v>37</v>
      </c>
      <c r="R170" s="9" t="s">
        <v>38</v>
      </c>
    </row>
    <row r="171" customFormat="false" ht="15" hidden="false" customHeight="false" outlineLevel="0" collapsed="false">
      <c r="A171" s="9" t="n">
        <v>166</v>
      </c>
      <c r="B171" s="9" t="s">
        <v>783</v>
      </c>
      <c r="C171" s="9" t="s">
        <v>784</v>
      </c>
      <c r="D171" s="9" t="s">
        <v>785</v>
      </c>
      <c r="E171" s="10" t="n">
        <v>1.26612</v>
      </c>
      <c r="F171" s="9" t="s">
        <v>786</v>
      </c>
      <c r="G171" s="9" t="s">
        <v>787</v>
      </c>
      <c r="H171" s="11" t="n">
        <v>46233</v>
      </c>
      <c r="I171" s="12" t="n">
        <v>16000</v>
      </c>
      <c r="J171" s="12" t="n">
        <v>600</v>
      </c>
      <c r="K171" s="13" t="n">
        <v>759.672</v>
      </c>
      <c r="L171" s="12" t="n">
        <v>600</v>
      </c>
      <c r="M171" s="13" t="n">
        <v>759.672</v>
      </c>
      <c r="N171" s="12" t="n">
        <f aca="false">IF(H171="","",$C$3-H171)</f>
        <v>4</v>
      </c>
      <c r="O171" s="9" t="str">
        <f aca="false">IF(AND(L171&lt;=$C$4,M171&lt;=$E$4),"&lt;=150pc &amp; &lt;=10kg",IF(N171="","TANPA TGL",IF(N171&lt;=5,"&lt;= 5 HARI",IF(N171&lt;=7,"&lt;= 7 HARI",IF(N171&lt;=14,"&lt;= 14 HARI","&gt; 14 HARI")))))</f>
        <v>&lt;= 5 HARI</v>
      </c>
      <c r="P171" s="9"/>
      <c r="Q171" s="9" t="s">
        <v>133</v>
      </c>
      <c r="R171" s="9" t="s">
        <v>134</v>
      </c>
    </row>
    <row r="172" customFormat="false" ht="15" hidden="false" customHeight="false" outlineLevel="0" collapsed="false">
      <c r="A172" s="9" t="n">
        <v>167</v>
      </c>
      <c r="B172" s="9" t="s">
        <v>783</v>
      </c>
      <c r="C172" s="9" t="s">
        <v>788</v>
      </c>
      <c r="D172" s="9" t="s">
        <v>789</v>
      </c>
      <c r="E172" s="10" t="n">
        <v>1.29408</v>
      </c>
      <c r="F172" s="9" t="s">
        <v>790</v>
      </c>
      <c r="G172" s="9" t="s">
        <v>791</v>
      </c>
      <c r="H172" s="11" t="n">
        <v>46233</v>
      </c>
      <c r="I172" s="12" t="n">
        <v>55000</v>
      </c>
      <c r="J172" s="12" t="n">
        <v>6600</v>
      </c>
      <c r="K172" s="13" t="n">
        <v>8540.928</v>
      </c>
      <c r="L172" s="12" t="n">
        <v>0</v>
      </c>
      <c r="M172" s="13" t="n">
        <v>0</v>
      </c>
      <c r="N172" s="12" t="n">
        <f aca="false">IF(H172="","",$C$3-H172)</f>
        <v>4</v>
      </c>
      <c r="O172" s="9" t="str">
        <f aca="false">IF(AND(L172&lt;=$C$4,M172&lt;=$E$4),"&lt;=150pc &amp; &lt;=10kg",IF(N172="","TANPA TGL",IF(N172&lt;=5,"&lt;= 5 HARI",IF(N172&lt;=7,"&lt;= 7 HARI",IF(N172&lt;=14,"&lt;= 14 HARI","&gt; 14 HARI")))))</f>
        <v>&lt;=150pc &amp; &lt;=10kg</v>
      </c>
      <c r="P172" s="9"/>
      <c r="Q172" s="9" t="s">
        <v>133</v>
      </c>
      <c r="R172" s="9" t="s">
        <v>134</v>
      </c>
    </row>
    <row r="173" customFormat="false" ht="15" hidden="false" customHeight="false" outlineLevel="0" collapsed="false">
      <c r="A173" s="9" t="n">
        <v>168</v>
      </c>
      <c r="B173" s="9" t="s">
        <v>783</v>
      </c>
      <c r="C173" s="9" t="s">
        <v>792</v>
      </c>
      <c r="D173" s="9" t="s">
        <v>793</v>
      </c>
      <c r="E173" s="10" t="n">
        <v>8.22606</v>
      </c>
      <c r="F173" s="9" t="s">
        <v>794</v>
      </c>
      <c r="G173" s="9" t="s">
        <v>795</v>
      </c>
      <c r="H173" s="11" t="n">
        <v>46233</v>
      </c>
      <c r="I173" s="12" t="n">
        <v>800</v>
      </c>
      <c r="J173" s="12" t="n">
        <v>301</v>
      </c>
      <c r="K173" s="13" t="n">
        <v>2476.04406</v>
      </c>
      <c r="L173" s="12" t="n">
        <v>301</v>
      </c>
      <c r="M173" s="13" t="n">
        <v>2476.04406</v>
      </c>
      <c r="N173" s="12" t="n">
        <f aca="false">IF(H173="","",$C$3-H173)</f>
        <v>4</v>
      </c>
      <c r="O173" s="9" t="str">
        <f aca="false">IF(AND(L173&lt;=$C$4,M173&lt;=$E$4),"&lt;=150pc &amp; &lt;=10kg",IF(N173="","TANPA TGL",IF(N173&lt;=5,"&lt;= 5 HARI",IF(N173&lt;=7,"&lt;= 7 HARI",IF(N173&lt;=14,"&lt;= 14 HARI","&gt; 14 HARI")))))</f>
        <v>&lt;= 5 HARI</v>
      </c>
      <c r="P173" s="9" t="s">
        <v>155</v>
      </c>
      <c r="Q173" s="9" t="s">
        <v>133</v>
      </c>
      <c r="R173" s="9" t="s">
        <v>134</v>
      </c>
    </row>
    <row r="174" customFormat="false" ht="15" hidden="false" customHeight="false" outlineLevel="0" collapsed="false">
      <c r="A174" s="9" t="n">
        <v>169</v>
      </c>
      <c r="B174" s="9" t="s">
        <v>783</v>
      </c>
      <c r="C174" s="9" t="s">
        <v>796</v>
      </c>
      <c r="D174" s="9" t="s">
        <v>797</v>
      </c>
      <c r="E174" s="10" t="n">
        <v>5.01077</v>
      </c>
      <c r="F174" s="9" t="s">
        <v>798</v>
      </c>
      <c r="G174" s="9" t="s">
        <v>799</v>
      </c>
      <c r="H174" s="11" t="n">
        <v>46224</v>
      </c>
      <c r="I174" s="12" t="n">
        <v>800</v>
      </c>
      <c r="J174" s="12" t="n">
        <v>159</v>
      </c>
      <c r="K174" s="13" t="n">
        <v>796.71243</v>
      </c>
      <c r="L174" s="12" t="n">
        <v>159</v>
      </c>
      <c r="M174" s="13" t="n">
        <v>796.71243</v>
      </c>
      <c r="N174" s="12" t="n">
        <f aca="false">IF(H174="","",$C$3-H174)</f>
        <v>13</v>
      </c>
      <c r="O174" s="9" t="str">
        <f aca="false">IF(AND(L174&lt;=$C$4,M174&lt;=$E$4),"&lt;=150pc &amp; &lt;=10kg",IF(N174="","TANPA TGL",IF(N174&lt;=5,"&lt;= 5 HARI",IF(N174&lt;=7,"&lt;= 7 HARI",IF(N174&lt;=14,"&lt;= 14 HARI","&gt; 14 HARI")))))</f>
        <v>&lt;= 14 HARI</v>
      </c>
      <c r="P174" s="9" t="s">
        <v>64</v>
      </c>
      <c r="Q174" s="9" t="s">
        <v>133</v>
      </c>
      <c r="R174" s="9" t="s">
        <v>134</v>
      </c>
    </row>
    <row r="175" customFormat="false" ht="15" hidden="false" customHeight="false" outlineLevel="0" collapsed="false">
      <c r="A175" s="9" t="n">
        <v>170</v>
      </c>
      <c r="B175" s="9" t="s">
        <v>800</v>
      </c>
      <c r="C175" s="9" t="s">
        <v>801</v>
      </c>
      <c r="D175" s="9" t="s">
        <v>802</v>
      </c>
      <c r="E175" s="10" t="n">
        <v>0.23383</v>
      </c>
      <c r="F175" s="9" t="s">
        <v>803</v>
      </c>
      <c r="G175" s="9" t="s">
        <v>804</v>
      </c>
      <c r="H175" s="11" t="n">
        <v>46138</v>
      </c>
      <c r="I175" s="12" t="n">
        <v>18900</v>
      </c>
      <c r="J175" s="12" t="n">
        <v>1040</v>
      </c>
      <c r="K175" s="13" t="n">
        <v>243.1832</v>
      </c>
      <c r="L175" s="12" t="n">
        <v>1040</v>
      </c>
      <c r="M175" s="13" t="n">
        <v>243.1832</v>
      </c>
      <c r="N175" s="12" t="n">
        <f aca="false">IF(H175="","",$C$3-H175)</f>
        <v>99</v>
      </c>
      <c r="O175" s="9" t="str">
        <f aca="false">IF(AND(L175&lt;=$C$4,M175&lt;=$E$4),"&lt;=150pc &amp; &lt;=10kg",IF(N175="","TANPA TGL",IF(N175&lt;=5,"&lt;= 5 HARI",IF(N175&lt;=7,"&lt;= 7 HARI",IF(N175&lt;=14,"&lt;= 14 HARI","&gt; 14 HARI")))))</f>
        <v>&gt; 14 HARI</v>
      </c>
      <c r="P175" s="9"/>
      <c r="Q175" s="9" t="s">
        <v>30</v>
      </c>
      <c r="R175" s="9" t="s">
        <v>31</v>
      </c>
    </row>
    <row r="176" customFormat="false" ht="15" hidden="false" customHeight="false" outlineLevel="0" collapsed="false">
      <c r="A176" s="9" t="n">
        <v>171</v>
      </c>
      <c r="B176" s="9" t="s">
        <v>800</v>
      </c>
      <c r="C176" s="9" t="s">
        <v>805</v>
      </c>
      <c r="D176" s="9" t="s">
        <v>806</v>
      </c>
      <c r="E176" s="10" t="n">
        <v>0.23584</v>
      </c>
      <c r="F176" s="9" t="s">
        <v>807</v>
      </c>
      <c r="G176" s="9" t="s">
        <v>808</v>
      </c>
      <c r="H176" s="11" t="n">
        <v>46209</v>
      </c>
      <c r="I176" s="12" t="n">
        <v>7000</v>
      </c>
      <c r="J176" s="12" t="n">
        <v>2300</v>
      </c>
      <c r="K176" s="13" t="n">
        <v>542.432</v>
      </c>
      <c r="L176" s="12" t="n">
        <v>2300</v>
      </c>
      <c r="M176" s="13" t="n">
        <v>542.432</v>
      </c>
      <c r="N176" s="12" t="n">
        <f aca="false">IF(H176="","",$C$3-H176)</f>
        <v>28</v>
      </c>
      <c r="O176" s="9" t="str">
        <f aca="false">IF(AND(L176&lt;=$C$4,M176&lt;=$E$4),"&lt;=150pc &amp; &lt;=10kg",IF(N176="","TANPA TGL",IF(N176&lt;=5,"&lt;= 5 HARI",IF(N176&lt;=7,"&lt;= 7 HARI",IF(N176&lt;=14,"&lt;= 14 HARI","&gt; 14 HARI")))))</f>
        <v>&gt; 14 HARI</v>
      </c>
      <c r="P176" s="9"/>
      <c r="Q176" s="9" t="s">
        <v>30</v>
      </c>
      <c r="R176" s="9" t="s">
        <v>31</v>
      </c>
    </row>
    <row r="177" customFormat="false" ht="15" hidden="false" customHeight="false" outlineLevel="0" collapsed="false">
      <c r="A177" s="9" t="n">
        <v>172</v>
      </c>
      <c r="B177" s="9" t="s">
        <v>800</v>
      </c>
      <c r="C177" s="9" t="s">
        <v>809</v>
      </c>
      <c r="D177" s="9" t="s">
        <v>810</v>
      </c>
      <c r="E177" s="10" t="n">
        <v>0.0731</v>
      </c>
      <c r="F177" s="9" t="s">
        <v>811</v>
      </c>
      <c r="G177" s="9" t="s">
        <v>812</v>
      </c>
      <c r="H177" s="11" t="n">
        <v>46218</v>
      </c>
      <c r="I177" s="12" t="n">
        <v>14000</v>
      </c>
      <c r="J177" s="12" t="n">
        <v>3000</v>
      </c>
      <c r="K177" s="13" t="n">
        <v>219.3</v>
      </c>
      <c r="L177" s="12" t="n">
        <v>3000</v>
      </c>
      <c r="M177" s="13" t="n">
        <v>219.3</v>
      </c>
      <c r="N177" s="12" t="n">
        <f aca="false">IF(H177="","",$C$3-H177)</f>
        <v>19</v>
      </c>
      <c r="O177" s="9" t="str">
        <f aca="false">IF(AND(L177&lt;=$C$4,M177&lt;=$E$4),"&lt;=150pc &amp; &lt;=10kg",IF(N177="","TANPA TGL",IF(N177&lt;=5,"&lt;= 5 HARI",IF(N177&lt;=7,"&lt;= 7 HARI",IF(N177&lt;=14,"&lt;= 14 HARI","&gt; 14 HARI")))))</f>
        <v>&gt; 14 HARI</v>
      </c>
      <c r="P177" s="9" t="s">
        <v>64</v>
      </c>
      <c r="Q177" s="9" t="s">
        <v>30</v>
      </c>
      <c r="R177" s="9" t="s">
        <v>31</v>
      </c>
    </row>
    <row r="178" customFormat="false" ht="15" hidden="false" customHeight="false" outlineLevel="0" collapsed="false">
      <c r="A178" s="9" t="n">
        <v>173</v>
      </c>
      <c r="B178" s="9" t="s">
        <v>800</v>
      </c>
      <c r="C178" s="9" t="s">
        <v>813</v>
      </c>
      <c r="D178" s="9" t="s">
        <v>814</v>
      </c>
      <c r="E178" s="10" t="n">
        <v>0.23386</v>
      </c>
      <c r="F178" s="9" t="s">
        <v>815</v>
      </c>
      <c r="G178" s="9" t="s">
        <v>816</v>
      </c>
      <c r="H178" s="11" t="n">
        <v>46214</v>
      </c>
      <c r="I178" s="12" t="n">
        <v>48000</v>
      </c>
      <c r="J178" s="12" t="n">
        <v>450</v>
      </c>
      <c r="K178" s="13" t="n">
        <v>105.237</v>
      </c>
      <c r="L178" s="12" t="n">
        <v>450</v>
      </c>
      <c r="M178" s="13" t="n">
        <v>105.237</v>
      </c>
      <c r="N178" s="12" t="n">
        <f aca="false">IF(H178="","",$C$3-H178)</f>
        <v>23</v>
      </c>
      <c r="O178" s="9" t="str">
        <f aca="false">IF(AND(L178&lt;=$C$4,M178&lt;=$E$4),"&lt;=150pc &amp; &lt;=10kg",IF(N178="","TANPA TGL",IF(N178&lt;=5,"&lt;= 5 HARI",IF(N178&lt;=7,"&lt;= 7 HARI",IF(N178&lt;=14,"&lt;= 14 HARI","&gt; 14 HARI")))))</f>
        <v>&gt; 14 HARI</v>
      </c>
      <c r="P178" s="9" t="s">
        <v>64</v>
      </c>
      <c r="Q178" s="9" t="s">
        <v>30</v>
      </c>
      <c r="R178" s="9" t="s">
        <v>31</v>
      </c>
    </row>
    <row r="179" customFormat="false" ht="15" hidden="false" customHeight="false" outlineLevel="0" collapsed="false">
      <c r="A179" s="9" t="n">
        <v>174</v>
      </c>
      <c r="B179" s="9" t="s">
        <v>800</v>
      </c>
      <c r="C179" s="9" t="s">
        <v>817</v>
      </c>
      <c r="D179" s="9" t="s">
        <v>818</v>
      </c>
      <c r="E179" s="10" t="n">
        <v>0.23665</v>
      </c>
      <c r="F179" s="9" t="s">
        <v>819</v>
      </c>
      <c r="G179" s="9" t="s">
        <v>820</v>
      </c>
      <c r="H179" s="11" t="n">
        <v>46209</v>
      </c>
      <c r="I179" s="12" t="n">
        <v>8000</v>
      </c>
      <c r="J179" s="12" t="n">
        <v>3220</v>
      </c>
      <c r="K179" s="13" t="n">
        <v>762.013</v>
      </c>
      <c r="L179" s="12" t="n">
        <v>3220</v>
      </c>
      <c r="M179" s="13" t="n">
        <v>762.013</v>
      </c>
      <c r="N179" s="12" t="n">
        <f aca="false">IF(H179="","",$C$3-H179)</f>
        <v>28</v>
      </c>
      <c r="O179" s="9" t="str">
        <f aca="false">IF(AND(L179&lt;=$C$4,M179&lt;=$E$4),"&lt;=150pc &amp; &lt;=10kg",IF(N179="","TANPA TGL",IF(N179&lt;=5,"&lt;= 5 HARI",IF(N179&lt;=7,"&lt;= 7 HARI",IF(N179&lt;=14,"&lt;= 14 HARI","&gt; 14 HARI")))))</f>
        <v>&gt; 14 HARI</v>
      </c>
      <c r="P179" s="9"/>
      <c r="Q179" s="9" t="s">
        <v>30</v>
      </c>
      <c r="R179" s="9" t="s">
        <v>31</v>
      </c>
    </row>
    <row r="180" customFormat="false" ht="15" hidden="false" customHeight="false" outlineLevel="0" collapsed="false">
      <c r="A180" s="9" t="n">
        <v>175</v>
      </c>
      <c r="B180" s="9" t="s">
        <v>800</v>
      </c>
      <c r="C180" s="9" t="s">
        <v>821</v>
      </c>
      <c r="D180" s="9" t="s">
        <v>822</v>
      </c>
      <c r="E180" s="10" t="n">
        <v>0.23383</v>
      </c>
      <c r="F180" s="9" t="s">
        <v>823</v>
      </c>
      <c r="G180" s="9" t="s">
        <v>824</v>
      </c>
      <c r="H180" s="11" t="n">
        <v>46209</v>
      </c>
      <c r="I180" s="12" t="n">
        <v>22400</v>
      </c>
      <c r="J180" s="12" t="n">
        <v>3200</v>
      </c>
      <c r="K180" s="13" t="n">
        <v>748.256</v>
      </c>
      <c r="L180" s="12" t="n">
        <v>3200</v>
      </c>
      <c r="M180" s="13" t="n">
        <v>748.256</v>
      </c>
      <c r="N180" s="12" t="n">
        <f aca="false">IF(H180="","",$C$3-H180)</f>
        <v>28</v>
      </c>
      <c r="O180" s="9" t="str">
        <f aca="false">IF(AND(L180&lt;=$C$4,M180&lt;=$E$4),"&lt;=150pc &amp; &lt;=10kg",IF(N180="","TANPA TGL",IF(N180&lt;=5,"&lt;= 5 HARI",IF(N180&lt;=7,"&lt;= 7 HARI",IF(N180&lt;=14,"&lt;= 14 HARI","&gt; 14 HARI")))))</f>
        <v>&gt; 14 HARI</v>
      </c>
      <c r="P180" s="9"/>
      <c r="Q180" s="9" t="s">
        <v>30</v>
      </c>
      <c r="R180" s="9" t="s">
        <v>31</v>
      </c>
    </row>
    <row r="181" customFormat="false" ht="15" hidden="false" customHeight="false" outlineLevel="0" collapsed="false">
      <c r="A181" s="9" t="n">
        <v>176</v>
      </c>
      <c r="B181" s="9" t="s">
        <v>800</v>
      </c>
      <c r="C181" s="9" t="s">
        <v>825</v>
      </c>
      <c r="D181" s="9" t="s">
        <v>822</v>
      </c>
      <c r="E181" s="10" t="n">
        <v>0.23383</v>
      </c>
      <c r="F181" s="9" t="s">
        <v>826</v>
      </c>
      <c r="G181" s="9" t="s">
        <v>827</v>
      </c>
      <c r="H181" s="11" t="n">
        <v>46217</v>
      </c>
      <c r="I181" s="12" t="n">
        <v>28000</v>
      </c>
      <c r="J181" s="12" t="n">
        <v>320</v>
      </c>
      <c r="K181" s="13" t="n">
        <v>74.8256</v>
      </c>
      <c r="L181" s="12" t="n">
        <v>320</v>
      </c>
      <c r="M181" s="13" t="n">
        <v>74.8256</v>
      </c>
      <c r="N181" s="12" t="n">
        <f aca="false">IF(H181="","",$C$3-H181)</f>
        <v>20</v>
      </c>
      <c r="O181" s="9" t="str">
        <f aca="false">IF(AND(L181&lt;=$C$4,M181&lt;=$E$4),"&lt;=150pc &amp; &lt;=10kg",IF(N181="","TANPA TGL",IF(N181&lt;=5,"&lt;= 5 HARI",IF(N181&lt;=7,"&lt;= 7 HARI",IF(N181&lt;=14,"&lt;= 14 HARI","&gt; 14 HARI")))))</f>
        <v>&gt; 14 HARI</v>
      </c>
      <c r="P181" s="9" t="s">
        <v>64</v>
      </c>
      <c r="Q181" s="9" t="s">
        <v>30</v>
      </c>
      <c r="R181" s="9" t="s">
        <v>31</v>
      </c>
    </row>
    <row r="182" customFormat="false" ht="15" hidden="false" customHeight="false" outlineLevel="0" collapsed="false">
      <c r="A182" s="9" t="n">
        <v>177</v>
      </c>
      <c r="B182" s="9" t="s">
        <v>800</v>
      </c>
      <c r="C182" s="9" t="s">
        <v>828</v>
      </c>
      <c r="D182" s="9" t="s">
        <v>829</v>
      </c>
      <c r="E182" s="10" t="n">
        <v>0.23383</v>
      </c>
      <c r="F182" s="9" t="s">
        <v>830</v>
      </c>
      <c r="G182" s="9" t="s">
        <v>831</v>
      </c>
      <c r="H182" s="11" t="n">
        <v>46221</v>
      </c>
      <c r="I182" s="12" t="n">
        <v>1400</v>
      </c>
      <c r="J182" s="12" t="n">
        <v>920</v>
      </c>
      <c r="K182" s="13" t="n">
        <v>215.1236</v>
      </c>
      <c r="L182" s="12" t="n">
        <v>920</v>
      </c>
      <c r="M182" s="13" t="n">
        <v>215.1236</v>
      </c>
      <c r="N182" s="12" t="n">
        <f aca="false">IF(H182="","",$C$3-H182)</f>
        <v>16</v>
      </c>
      <c r="O182" s="9" t="str">
        <f aca="false">IF(AND(L182&lt;=$C$4,M182&lt;=$E$4),"&lt;=150pc &amp; &lt;=10kg",IF(N182="","TANPA TGL",IF(N182&lt;=5,"&lt;= 5 HARI",IF(N182&lt;=7,"&lt;= 7 HARI",IF(N182&lt;=14,"&lt;= 14 HARI","&gt; 14 HARI")))))</f>
        <v>&gt; 14 HARI</v>
      </c>
      <c r="P182" s="9" t="s">
        <v>64</v>
      </c>
      <c r="Q182" s="9" t="s">
        <v>30</v>
      </c>
      <c r="R182" s="9" t="s">
        <v>66</v>
      </c>
    </row>
    <row r="183" customFormat="false" ht="15" hidden="false" customHeight="false" outlineLevel="0" collapsed="false">
      <c r="A183" s="9" t="n">
        <v>178</v>
      </c>
      <c r="B183" s="9" t="s">
        <v>832</v>
      </c>
      <c r="C183" s="9" t="s">
        <v>833</v>
      </c>
      <c r="D183" s="9" t="s">
        <v>834</v>
      </c>
      <c r="E183" s="10" t="n">
        <v>0.19784</v>
      </c>
      <c r="F183" s="9" t="s">
        <v>835</v>
      </c>
      <c r="G183" s="9" t="s">
        <v>836</v>
      </c>
      <c r="H183" s="11" t="n">
        <v>46218</v>
      </c>
      <c r="I183" s="12" t="n">
        <v>17000</v>
      </c>
      <c r="J183" s="12" t="n">
        <v>8940</v>
      </c>
      <c r="K183" s="13" t="n">
        <v>1768.6896</v>
      </c>
      <c r="L183" s="12" t="n">
        <v>8940</v>
      </c>
      <c r="M183" s="13" t="n">
        <v>1768.6896</v>
      </c>
      <c r="N183" s="12" t="n">
        <f aca="false">IF(H183="","",$C$3-H183)</f>
        <v>19</v>
      </c>
      <c r="O183" s="9" t="str">
        <f aca="false">IF(AND(L183&lt;=$C$4,M183&lt;=$E$4),"&lt;=150pc &amp; &lt;=10kg",IF(N183="","TANPA TGL",IF(N183&lt;=5,"&lt;= 5 HARI",IF(N183&lt;=7,"&lt;= 7 HARI",IF(N183&lt;=14,"&lt;= 14 HARI","&gt; 14 HARI")))))</f>
        <v>&gt; 14 HARI</v>
      </c>
      <c r="P183" s="9" t="s">
        <v>64</v>
      </c>
      <c r="Q183" s="9" t="s">
        <v>30</v>
      </c>
      <c r="R183" s="9" t="s">
        <v>31</v>
      </c>
    </row>
    <row r="184" customFormat="false" ht="15" hidden="false" customHeight="false" outlineLevel="0" collapsed="false">
      <c r="A184" s="9" t="n">
        <v>179</v>
      </c>
      <c r="B184" s="9" t="s">
        <v>837</v>
      </c>
      <c r="C184" s="9" t="s">
        <v>838</v>
      </c>
      <c r="D184" s="9" t="s">
        <v>839</v>
      </c>
      <c r="E184" s="10" t="n">
        <v>0.35226</v>
      </c>
      <c r="F184" s="9" t="s">
        <v>840</v>
      </c>
      <c r="G184" s="9" t="s">
        <v>841</v>
      </c>
      <c r="H184" s="11" t="n">
        <v>46228</v>
      </c>
      <c r="I184" s="12" t="n">
        <v>7000</v>
      </c>
      <c r="J184" s="12" t="n">
        <v>500</v>
      </c>
      <c r="K184" s="13" t="n">
        <v>176.13</v>
      </c>
      <c r="L184" s="12" t="n">
        <v>500</v>
      </c>
      <c r="M184" s="13" t="n">
        <v>176.13</v>
      </c>
      <c r="N184" s="12" t="n">
        <f aca="false">IF(H184="","",$C$3-H184)</f>
        <v>9</v>
      </c>
      <c r="O184" s="9" t="str">
        <f aca="false">IF(AND(L184&lt;=$C$4,M184&lt;=$E$4),"&lt;=150pc &amp; &lt;=10kg",IF(N184="","TANPA TGL",IF(N184&lt;=5,"&lt;= 5 HARI",IF(N184&lt;=7,"&lt;= 7 HARI",IF(N184&lt;=14,"&lt;= 14 HARI","&gt; 14 HARI")))))</f>
        <v>&lt;= 14 HARI</v>
      </c>
      <c r="P184" s="9"/>
      <c r="Q184" s="9" t="s">
        <v>30</v>
      </c>
      <c r="R184" s="9" t="s">
        <v>31</v>
      </c>
    </row>
    <row r="185" customFormat="false" ht="15" hidden="false" customHeight="false" outlineLevel="0" collapsed="false">
      <c r="A185" s="9" t="n">
        <v>180</v>
      </c>
      <c r="B185" s="9" t="s">
        <v>837</v>
      </c>
      <c r="C185" s="9" t="s">
        <v>842</v>
      </c>
      <c r="D185" s="9" t="s">
        <v>839</v>
      </c>
      <c r="E185" s="10" t="n">
        <v>0.35226</v>
      </c>
      <c r="F185" s="9" t="s">
        <v>843</v>
      </c>
      <c r="G185" s="9" t="s">
        <v>844</v>
      </c>
      <c r="H185" s="11" t="n">
        <v>46227</v>
      </c>
      <c r="I185" s="12" t="n">
        <v>7000</v>
      </c>
      <c r="J185" s="12" t="n">
        <v>520</v>
      </c>
      <c r="K185" s="13" t="n">
        <v>183.1752</v>
      </c>
      <c r="L185" s="12" t="n">
        <v>520</v>
      </c>
      <c r="M185" s="13" t="n">
        <v>183.1752</v>
      </c>
      <c r="N185" s="12" t="n">
        <f aca="false">IF(H185="","",$C$3-H185)</f>
        <v>10</v>
      </c>
      <c r="O185" s="9" t="str">
        <f aca="false">IF(AND(L185&lt;=$C$4,M185&lt;=$E$4),"&lt;=150pc &amp; &lt;=10kg",IF(N185="","TANPA TGL",IF(N185&lt;=5,"&lt;= 5 HARI",IF(N185&lt;=7,"&lt;= 7 HARI",IF(N185&lt;=14,"&lt;= 14 HARI","&gt; 14 HARI")))))</f>
        <v>&lt;= 14 HARI</v>
      </c>
      <c r="P185" s="9"/>
      <c r="Q185" s="9" t="s">
        <v>30</v>
      </c>
      <c r="R185" s="9" t="s">
        <v>31</v>
      </c>
    </row>
    <row r="186" customFormat="false" ht="15" hidden="false" customHeight="false" outlineLevel="0" collapsed="false">
      <c r="A186" s="9" t="n">
        <v>181</v>
      </c>
      <c r="B186" s="9" t="s">
        <v>845</v>
      </c>
      <c r="C186" s="9" t="s">
        <v>846</v>
      </c>
      <c r="D186" s="9" t="s">
        <v>847</v>
      </c>
      <c r="E186" s="10" t="n">
        <v>0.49846</v>
      </c>
      <c r="F186" s="9" t="s">
        <v>848</v>
      </c>
      <c r="G186" s="9" t="s">
        <v>849</v>
      </c>
      <c r="H186" s="11" t="n">
        <v>46160</v>
      </c>
      <c r="I186" s="12" t="n">
        <v>1800</v>
      </c>
      <c r="J186" s="12" t="n">
        <v>630</v>
      </c>
      <c r="K186" s="13" t="n">
        <v>314.0298</v>
      </c>
      <c r="L186" s="12" t="n">
        <v>630</v>
      </c>
      <c r="M186" s="13" t="n">
        <v>314.0298</v>
      </c>
      <c r="N186" s="12" t="n">
        <f aca="false">IF(H186="","",$C$3-H186)</f>
        <v>77</v>
      </c>
      <c r="O186" s="9" t="str">
        <f aca="false">IF(AND(L186&lt;=$C$4,M186&lt;=$E$4),"&lt;=150pc &amp; &lt;=10kg",IF(N186="","TANPA TGL",IF(N186&lt;=5,"&lt;= 5 HARI",IF(N186&lt;=7,"&lt;= 7 HARI",IF(N186&lt;=14,"&lt;= 14 HARI","&gt; 14 HARI")))))</f>
        <v>&gt; 14 HARI</v>
      </c>
      <c r="P186" s="9" t="s">
        <v>64</v>
      </c>
      <c r="Q186" s="9" t="s">
        <v>686</v>
      </c>
      <c r="R186" s="9" t="s">
        <v>101</v>
      </c>
    </row>
    <row r="187" customFormat="false" ht="15" hidden="false" customHeight="false" outlineLevel="0" collapsed="false">
      <c r="A187" s="9" t="n">
        <v>182</v>
      </c>
      <c r="B187" s="9" t="s">
        <v>845</v>
      </c>
      <c r="C187" s="9" t="s">
        <v>850</v>
      </c>
      <c r="D187" s="9" t="s">
        <v>851</v>
      </c>
      <c r="E187" s="10" t="n">
        <v>1.03893</v>
      </c>
      <c r="F187" s="9" t="s">
        <v>852</v>
      </c>
      <c r="G187" s="9" t="s">
        <v>853</v>
      </c>
      <c r="H187" s="11" t="n">
        <v>46211</v>
      </c>
      <c r="I187" s="12" t="n">
        <v>6000</v>
      </c>
      <c r="J187" s="12" t="n">
        <v>600</v>
      </c>
      <c r="K187" s="13" t="n">
        <v>623.358</v>
      </c>
      <c r="L187" s="12" t="n">
        <v>600</v>
      </c>
      <c r="M187" s="13" t="n">
        <v>623.358</v>
      </c>
      <c r="N187" s="12" t="n">
        <f aca="false">IF(H187="","",$C$3-H187)</f>
        <v>26</v>
      </c>
      <c r="O187" s="9" t="str">
        <f aca="false">IF(AND(L187&lt;=$C$4,M187&lt;=$E$4),"&lt;=150pc &amp; &lt;=10kg",IF(N187="","TANPA TGL",IF(N187&lt;=5,"&lt;= 5 HARI",IF(N187&lt;=7,"&lt;= 7 HARI",IF(N187&lt;=14,"&lt;= 14 HARI","&gt; 14 HARI")))))</f>
        <v>&gt; 14 HARI</v>
      </c>
      <c r="P187" s="9" t="s">
        <v>64</v>
      </c>
      <c r="Q187" s="9" t="s">
        <v>686</v>
      </c>
      <c r="R187" s="9" t="s">
        <v>101</v>
      </c>
    </row>
    <row r="188" customFormat="false" ht="15" hidden="false" customHeight="false" outlineLevel="0" collapsed="false">
      <c r="A188" s="9" t="n">
        <v>183</v>
      </c>
      <c r="B188" s="9" t="s">
        <v>845</v>
      </c>
      <c r="C188" s="9" t="s">
        <v>854</v>
      </c>
      <c r="D188" s="9" t="s">
        <v>855</v>
      </c>
      <c r="E188" s="10" t="n">
        <v>0.53328</v>
      </c>
      <c r="F188" s="9" t="s">
        <v>856</v>
      </c>
      <c r="G188" s="9" t="s">
        <v>857</v>
      </c>
      <c r="H188" s="11" t="n">
        <v>46219</v>
      </c>
      <c r="I188" s="12" t="n">
        <v>24000</v>
      </c>
      <c r="J188" s="12" t="n">
        <v>880</v>
      </c>
      <c r="K188" s="13" t="n">
        <v>469.2864</v>
      </c>
      <c r="L188" s="12" t="n">
        <v>880</v>
      </c>
      <c r="M188" s="13" t="n">
        <v>469.2864</v>
      </c>
      <c r="N188" s="12" t="n">
        <f aca="false">IF(H188="","",$C$3-H188)</f>
        <v>18</v>
      </c>
      <c r="O188" s="9" t="str">
        <f aca="false">IF(AND(L188&lt;=$C$4,M188&lt;=$E$4),"&lt;=150pc &amp; &lt;=10kg",IF(N188="","TANPA TGL",IF(N188&lt;=5,"&lt;= 5 HARI",IF(N188&lt;=7,"&lt;= 7 HARI",IF(N188&lt;=14,"&lt;= 14 HARI","&gt; 14 HARI")))))</f>
        <v>&gt; 14 HARI</v>
      </c>
      <c r="P188" s="9" t="s">
        <v>64</v>
      </c>
      <c r="Q188" s="9" t="s">
        <v>686</v>
      </c>
      <c r="R188" s="9" t="s">
        <v>101</v>
      </c>
    </row>
    <row r="189" customFormat="false" ht="15" hidden="false" customHeight="false" outlineLevel="0" collapsed="false">
      <c r="A189" s="9" t="n">
        <v>184</v>
      </c>
      <c r="B189" s="9" t="s">
        <v>845</v>
      </c>
      <c r="C189" s="9" t="s">
        <v>858</v>
      </c>
      <c r="D189" s="9" t="s">
        <v>859</v>
      </c>
      <c r="E189" s="10" t="n">
        <v>0.67783</v>
      </c>
      <c r="F189" s="9" t="s">
        <v>860</v>
      </c>
      <c r="G189" s="9" t="s">
        <v>861</v>
      </c>
      <c r="H189" s="11" t="n">
        <v>46228</v>
      </c>
      <c r="I189" s="12" t="n">
        <v>2500</v>
      </c>
      <c r="J189" s="12" t="n">
        <v>450</v>
      </c>
      <c r="K189" s="13" t="n">
        <v>305.0235</v>
      </c>
      <c r="L189" s="12" t="n">
        <v>450</v>
      </c>
      <c r="M189" s="13" t="n">
        <v>305.0235</v>
      </c>
      <c r="N189" s="12" t="n">
        <f aca="false">IF(H189="","",$C$3-H189)</f>
        <v>9</v>
      </c>
      <c r="O189" s="9" t="str">
        <f aca="false">IF(AND(L189&lt;=$C$4,M189&lt;=$E$4),"&lt;=150pc &amp; &lt;=10kg",IF(N189="","TANPA TGL",IF(N189&lt;=5,"&lt;= 5 HARI",IF(N189&lt;=7,"&lt;= 7 HARI",IF(N189&lt;=14,"&lt;= 14 HARI","&gt; 14 HARI")))))</f>
        <v>&lt;= 14 HARI</v>
      </c>
      <c r="P189" s="9"/>
      <c r="Q189" s="9" t="s">
        <v>30</v>
      </c>
      <c r="R189" s="9" t="s">
        <v>31</v>
      </c>
    </row>
    <row r="190" customFormat="false" ht="15" hidden="false" customHeight="false" outlineLevel="0" collapsed="false">
      <c r="A190" s="9" t="n">
        <v>185</v>
      </c>
      <c r="B190" s="9" t="s">
        <v>862</v>
      </c>
      <c r="C190" s="9" t="s">
        <v>863</v>
      </c>
      <c r="D190" s="9" t="s">
        <v>864</v>
      </c>
      <c r="E190" s="10" t="n">
        <v>0.20634</v>
      </c>
      <c r="F190" s="9" t="s">
        <v>865</v>
      </c>
      <c r="G190" s="9" t="s">
        <v>866</v>
      </c>
      <c r="H190" s="11" t="n">
        <v>46227</v>
      </c>
      <c r="I190" s="12" t="n">
        <v>50000</v>
      </c>
      <c r="J190" s="12" t="n">
        <v>7222</v>
      </c>
      <c r="K190" s="13" t="n">
        <v>1490.18748</v>
      </c>
      <c r="L190" s="12" t="n">
        <v>7222</v>
      </c>
      <c r="M190" s="13" t="n">
        <v>1490.18748</v>
      </c>
      <c r="N190" s="12" t="n">
        <f aca="false">IF(H190="","",$C$3-H190)</f>
        <v>10</v>
      </c>
      <c r="O190" s="9" t="str">
        <f aca="false">IF(AND(L190&lt;=$C$4,M190&lt;=$E$4),"&lt;=150pc &amp; &lt;=10kg",IF(N190="","TANPA TGL",IF(N190&lt;=5,"&lt;= 5 HARI",IF(N190&lt;=7,"&lt;= 7 HARI",IF(N190&lt;=14,"&lt;= 14 HARI","&gt; 14 HARI")))))</f>
        <v>&lt;= 14 HARI</v>
      </c>
      <c r="P190" s="9" t="s">
        <v>51</v>
      </c>
      <c r="Q190" s="9" t="s">
        <v>44</v>
      </c>
      <c r="R190" s="9" t="s">
        <v>45</v>
      </c>
    </row>
    <row r="191" customFormat="false" ht="15" hidden="false" customHeight="false" outlineLevel="0" collapsed="false">
      <c r="A191" s="9" t="n">
        <v>186</v>
      </c>
      <c r="B191" s="9" t="s">
        <v>862</v>
      </c>
      <c r="C191" s="9" t="s">
        <v>867</v>
      </c>
      <c r="D191" s="9" t="s">
        <v>868</v>
      </c>
      <c r="E191" s="10" t="n">
        <v>0.21893</v>
      </c>
      <c r="F191" s="9" t="s">
        <v>869</v>
      </c>
      <c r="G191" s="9" t="s">
        <v>870</v>
      </c>
      <c r="H191" s="11" t="n">
        <v>46236</v>
      </c>
      <c r="I191" s="12" t="n">
        <v>50000</v>
      </c>
      <c r="J191" s="12" t="n">
        <v>13727</v>
      </c>
      <c r="K191" s="13" t="n">
        <v>3005.25211</v>
      </c>
      <c r="L191" s="12" t="n">
        <v>51602</v>
      </c>
      <c r="M191" s="13" t="n">
        <v>11297.22586</v>
      </c>
      <c r="N191" s="12" t="n">
        <f aca="false">IF(H191="","",$C$3-H191)</f>
        <v>1</v>
      </c>
      <c r="O191" s="9" t="str">
        <f aca="false">IF(AND(L191&lt;=$C$4,M191&lt;=$E$4),"&lt;=150pc &amp; &lt;=10kg",IF(N191="","TANPA TGL",IF(N191&lt;=5,"&lt;= 5 HARI",IF(N191&lt;=7,"&lt;= 7 HARI",IF(N191&lt;=14,"&lt;= 14 HARI","&gt; 14 HARI")))))</f>
        <v>&lt;= 5 HARI</v>
      </c>
      <c r="P191" s="9" t="s">
        <v>51</v>
      </c>
      <c r="Q191" s="9" t="s">
        <v>44</v>
      </c>
      <c r="R191" s="9" t="s">
        <v>45</v>
      </c>
    </row>
    <row r="192" customFormat="false" ht="15" hidden="false" customHeight="false" outlineLevel="0" collapsed="false">
      <c r="A192" s="9" t="n">
        <v>187</v>
      </c>
      <c r="B192" s="9" t="s">
        <v>871</v>
      </c>
      <c r="C192" s="9" t="s">
        <v>872</v>
      </c>
      <c r="D192" s="9" t="s">
        <v>873</v>
      </c>
      <c r="E192" s="10" t="n">
        <v>0.27378</v>
      </c>
      <c r="F192" s="9" t="s">
        <v>874</v>
      </c>
      <c r="G192" s="9" t="s">
        <v>875</v>
      </c>
      <c r="H192" s="11" t="n">
        <v>46184</v>
      </c>
      <c r="I192" s="12" t="n">
        <v>3000</v>
      </c>
      <c r="J192" s="12" t="n">
        <v>600</v>
      </c>
      <c r="K192" s="13" t="n">
        <v>164.268</v>
      </c>
      <c r="L192" s="12" t="n">
        <v>600</v>
      </c>
      <c r="M192" s="13" t="n">
        <v>164.268</v>
      </c>
      <c r="N192" s="12" t="n">
        <f aca="false">IF(H192="","",$C$3-H192)</f>
        <v>53</v>
      </c>
      <c r="O192" s="9" t="str">
        <f aca="false">IF(AND(L192&lt;=$C$4,M192&lt;=$E$4),"&lt;=150pc &amp; &lt;=10kg",IF(N192="","TANPA TGL",IF(N192&lt;=5,"&lt;= 5 HARI",IF(N192&lt;=7,"&lt;= 7 HARI",IF(N192&lt;=14,"&lt;= 14 HARI","&gt; 14 HARI")))))</f>
        <v>&gt; 14 HARI</v>
      </c>
      <c r="P192" s="9" t="s">
        <v>64</v>
      </c>
      <c r="Q192" s="9" t="s">
        <v>65</v>
      </c>
      <c r="R192" s="9" t="s">
        <v>78</v>
      </c>
    </row>
    <row r="193" customFormat="false" ht="15" hidden="false" customHeight="false" outlineLevel="0" collapsed="false">
      <c r="A193" s="9" t="n">
        <v>188</v>
      </c>
      <c r="B193" s="9" t="s">
        <v>871</v>
      </c>
      <c r="C193" s="9" t="s">
        <v>876</v>
      </c>
      <c r="D193" s="9" t="s">
        <v>873</v>
      </c>
      <c r="E193" s="10" t="n">
        <v>0.27378</v>
      </c>
      <c r="F193" s="9" t="s">
        <v>877</v>
      </c>
      <c r="G193" s="9" t="s">
        <v>878</v>
      </c>
      <c r="H193" s="11" t="n">
        <v>46212</v>
      </c>
      <c r="I193" s="12" t="n">
        <v>3000</v>
      </c>
      <c r="J193" s="12" t="n">
        <v>2620</v>
      </c>
      <c r="K193" s="13" t="n">
        <v>717.3036</v>
      </c>
      <c r="L193" s="12" t="n">
        <v>2620</v>
      </c>
      <c r="M193" s="13" t="n">
        <v>717.3036</v>
      </c>
      <c r="N193" s="12" t="n">
        <f aca="false">IF(H193="","",$C$3-H193)</f>
        <v>25</v>
      </c>
      <c r="O193" s="9" t="str">
        <f aca="false">IF(AND(L193&lt;=$C$4,M193&lt;=$E$4),"&lt;=150pc &amp; &lt;=10kg",IF(N193="","TANPA TGL",IF(N193&lt;=5,"&lt;= 5 HARI",IF(N193&lt;=7,"&lt;= 7 HARI",IF(N193&lt;=14,"&lt;= 14 HARI","&gt; 14 HARI")))))</f>
        <v>&gt; 14 HARI</v>
      </c>
      <c r="P193" s="9" t="s">
        <v>64</v>
      </c>
      <c r="Q193" s="9" t="s">
        <v>65</v>
      </c>
      <c r="R193" s="9" t="s">
        <v>78</v>
      </c>
    </row>
    <row r="194" customFormat="false" ht="15" hidden="false" customHeight="false" outlineLevel="0" collapsed="false">
      <c r="A194" s="9" t="n">
        <v>189</v>
      </c>
      <c r="B194" s="9" t="s">
        <v>871</v>
      </c>
      <c r="C194" s="9" t="s">
        <v>879</v>
      </c>
      <c r="D194" s="9" t="s">
        <v>873</v>
      </c>
      <c r="E194" s="10" t="n">
        <v>0.27378</v>
      </c>
      <c r="F194" s="9" t="s">
        <v>880</v>
      </c>
      <c r="G194" s="9" t="s">
        <v>881</v>
      </c>
      <c r="H194" s="11" t="n">
        <v>46219</v>
      </c>
      <c r="I194" s="12" t="n">
        <v>3000</v>
      </c>
      <c r="J194" s="12" t="n">
        <v>240</v>
      </c>
      <c r="K194" s="13" t="n">
        <v>65.7072</v>
      </c>
      <c r="L194" s="12" t="n">
        <v>240</v>
      </c>
      <c r="M194" s="13" t="n">
        <v>65.7072</v>
      </c>
      <c r="N194" s="12" t="n">
        <f aca="false">IF(H194="","",$C$3-H194)</f>
        <v>18</v>
      </c>
      <c r="O194" s="9" t="str">
        <f aca="false">IF(AND(L194&lt;=$C$4,M194&lt;=$E$4),"&lt;=150pc &amp; &lt;=10kg",IF(N194="","TANPA TGL",IF(N194&lt;=5,"&lt;= 5 HARI",IF(N194&lt;=7,"&lt;= 7 HARI",IF(N194&lt;=14,"&lt;= 14 HARI","&gt; 14 HARI")))))</f>
        <v>&gt; 14 HARI</v>
      </c>
      <c r="P194" s="9" t="s">
        <v>64</v>
      </c>
      <c r="Q194" s="9" t="s">
        <v>65</v>
      </c>
      <c r="R194" s="9" t="s">
        <v>78</v>
      </c>
    </row>
    <row r="195" customFormat="false" ht="15" hidden="false" customHeight="false" outlineLevel="0" collapsed="false">
      <c r="A195" s="9" t="n">
        <v>190</v>
      </c>
      <c r="B195" s="9" t="s">
        <v>871</v>
      </c>
      <c r="C195" s="9" t="s">
        <v>882</v>
      </c>
      <c r="D195" s="9" t="s">
        <v>873</v>
      </c>
      <c r="E195" s="10" t="n">
        <v>0.27378</v>
      </c>
      <c r="F195" s="9" t="s">
        <v>883</v>
      </c>
      <c r="G195" s="9" t="s">
        <v>884</v>
      </c>
      <c r="H195" s="11" t="n">
        <v>46231</v>
      </c>
      <c r="I195" s="12" t="n">
        <v>6000</v>
      </c>
      <c r="J195" s="12" t="n">
        <v>980</v>
      </c>
      <c r="K195" s="13" t="n">
        <v>268.3044</v>
      </c>
      <c r="L195" s="12" t="n">
        <v>980</v>
      </c>
      <c r="M195" s="13" t="n">
        <v>268.3044</v>
      </c>
      <c r="N195" s="12" t="n">
        <f aca="false">IF(H195="","",$C$3-H195)</f>
        <v>6</v>
      </c>
      <c r="O195" s="9" t="str">
        <f aca="false">IF(AND(L195&lt;=$C$4,M195&lt;=$E$4),"&lt;=150pc &amp; &lt;=10kg",IF(N195="","TANPA TGL",IF(N195&lt;=5,"&lt;= 5 HARI",IF(N195&lt;=7,"&lt;= 7 HARI",IF(N195&lt;=14,"&lt;= 14 HARI","&gt; 14 HARI")))))</f>
        <v>&lt;= 7 HARI</v>
      </c>
      <c r="P195" s="9" t="s">
        <v>64</v>
      </c>
      <c r="Q195" s="9" t="s">
        <v>65</v>
      </c>
      <c r="R195" s="9" t="s">
        <v>78</v>
      </c>
    </row>
    <row r="196" customFormat="false" ht="15" hidden="false" customHeight="false" outlineLevel="0" collapsed="false">
      <c r="A196" s="9" t="n">
        <v>191</v>
      </c>
      <c r="B196" s="9" t="s">
        <v>871</v>
      </c>
      <c r="C196" s="9" t="s">
        <v>885</v>
      </c>
      <c r="D196" s="9" t="s">
        <v>886</v>
      </c>
      <c r="E196" s="10" t="n">
        <v>0.27378</v>
      </c>
      <c r="F196" s="9" t="s">
        <v>887</v>
      </c>
      <c r="G196" s="9" t="s">
        <v>888</v>
      </c>
      <c r="H196" s="11" t="n">
        <v>46230</v>
      </c>
      <c r="I196" s="12" t="n">
        <v>20000</v>
      </c>
      <c r="J196" s="12" t="n">
        <v>1040</v>
      </c>
      <c r="K196" s="13" t="n">
        <v>284.7312</v>
      </c>
      <c r="L196" s="12" t="n">
        <v>1040</v>
      </c>
      <c r="M196" s="13" t="n">
        <v>284.7312</v>
      </c>
      <c r="N196" s="12" t="n">
        <f aca="false">IF(H196="","",$C$3-H196)</f>
        <v>7</v>
      </c>
      <c r="O196" s="9" t="str">
        <f aca="false">IF(AND(L196&lt;=$C$4,M196&lt;=$E$4),"&lt;=150pc &amp; &lt;=10kg",IF(N196="","TANPA TGL",IF(N196&lt;=5,"&lt;= 5 HARI",IF(N196&lt;=7,"&lt;= 7 HARI",IF(N196&lt;=14,"&lt;= 14 HARI","&gt; 14 HARI")))))</f>
        <v>&lt;= 7 HARI</v>
      </c>
      <c r="P196" s="9" t="s">
        <v>64</v>
      </c>
      <c r="Q196" s="9" t="s">
        <v>65</v>
      </c>
      <c r="R196" s="9" t="s">
        <v>78</v>
      </c>
    </row>
    <row r="197" customFormat="false" ht="15" hidden="false" customHeight="false" outlineLevel="0" collapsed="false">
      <c r="A197" s="9" t="n">
        <v>192</v>
      </c>
      <c r="B197" s="9" t="s">
        <v>871</v>
      </c>
      <c r="C197" s="9" t="s">
        <v>889</v>
      </c>
      <c r="D197" s="9" t="s">
        <v>890</v>
      </c>
      <c r="E197" s="10" t="n">
        <v>0.28141</v>
      </c>
      <c r="F197" s="9" t="s">
        <v>891</v>
      </c>
      <c r="G197" s="9" t="s">
        <v>892</v>
      </c>
      <c r="H197" s="11" t="n">
        <v>46221</v>
      </c>
      <c r="I197" s="12" t="n">
        <v>6000</v>
      </c>
      <c r="J197" s="12" t="n">
        <v>1000</v>
      </c>
      <c r="K197" s="13" t="n">
        <v>281.41</v>
      </c>
      <c r="L197" s="12" t="n">
        <v>1000</v>
      </c>
      <c r="M197" s="13" t="n">
        <v>281.41</v>
      </c>
      <c r="N197" s="12" t="n">
        <f aca="false">IF(H197="","",$C$3-H197)</f>
        <v>16</v>
      </c>
      <c r="O197" s="9" t="str">
        <f aca="false">IF(AND(L197&lt;=$C$4,M197&lt;=$E$4),"&lt;=150pc &amp; &lt;=10kg",IF(N197="","TANPA TGL",IF(N197&lt;=5,"&lt;= 5 HARI",IF(N197&lt;=7,"&lt;= 7 HARI",IF(N197&lt;=14,"&lt;= 14 HARI","&gt; 14 HARI")))))</f>
        <v>&gt; 14 HARI</v>
      </c>
      <c r="P197" s="9" t="s">
        <v>64</v>
      </c>
      <c r="Q197" s="9" t="s">
        <v>65</v>
      </c>
      <c r="R197" s="9" t="s">
        <v>78</v>
      </c>
    </row>
    <row r="198" customFormat="false" ht="15" hidden="false" customHeight="false" outlineLevel="0" collapsed="false">
      <c r="A198" s="9" t="n">
        <v>193</v>
      </c>
      <c r="B198" s="9" t="s">
        <v>871</v>
      </c>
      <c r="C198" s="9" t="s">
        <v>893</v>
      </c>
      <c r="D198" s="9" t="s">
        <v>873</v>
      </c>
      <c r="E198" s="10" t="n">
        <v>0.27378</v>
      </c>
      <c r="F198" s="9" t="s">
        <v>894</v>
      </c>
      <c r="G198" s="9" t="s">
        <v>895</v>
      </c>
      <c r="H198" s="11" t="n">
        <v>46234</v>
      </c>
      <c r="I198" s="12" t="n">
        <v>3000</v>
      </c>
      <c r="J198" s="12" t="n">
        <v>880</v>
      </c>
      <c r="K198" s="13" t="n">
        <v>240.9264</v>
      </c>
      <c r="L198" s="12" t="n">
        <v>880</v>
      </c>
      <c r="M198" s="13" t="n">
        <v>240.9264</v>
      </c>
      <c r="N198" s="12" t="n">
        <f aca="false">IF(H198="","",$C$3-H198)</f>
        <v>3</v>
      </c>
      <c r="O198" s="9" t="str">
        <f aca="false">IF(AND(L198&lt;=$C$4,M198&lt;=$E$4),"&lt;=150pc &amp; &lt;=10kg",IF(N198="","TANPA TGL",IF(N198&lt;=5,"&lt;= 5 HARI",IF(N198&lt;=7,"&lt;= 7 HARI",IF(N198&lt;=14,"&lt;= 14 HARI","&gt; 14 HARI")))))</f>
        <v>&lt;= 5 HARI</v>
      </c>
      <c r="P198" s="9" t="s">
        <v>64</v>
      </c>
      <c r="Q198" s="9" t="s">
        <v>65</v>
      </c>
      <c r="R198" s="9" t="s">
        <v>78</v>
      </c>
    </row>
    <row r="199" customFormat="false" ht="15" hidden="false" customHeight="false" outlineLevel="0" collapsed="false">
      <c r="A199" s="9" t="n">
        <v>194</v>
      </c>
      <c r="B199" s="9" t="s">
        <v>896</v>
      </c>
      <c r="C199" s="9" t="s">
        <v>897</v>
      </c>
      <c r="D199" s="9" t="s">
        <v>898</v>
      </c>
      <c r="E199" s="10" t="n">
        <v>0.64084</v>
      </c>
      <c r="F199" s="9" t="s">
        <v>899</v>
      </c>
      <c r="G199" s="9" t="s">
        <v>900</v>
      </c>
      <c r="H199" s="11" t="n">
        <v>46226</v>
      </c>
      <c r="I199" s="12" t="n">
        <v>9000</v>
      </c>
      <c r="J199" s="12" t="n">
        <v>180</v>
      </c>
      <c r="K199" s="13" t="n">
        <v>115.3512</v>
      </c>
      <c r="L199" s="12" t="n">
        <v>180</v>
      </c>
      <c r="M199" s="13" t="n">
        <v>115.3512</v>
      </c>
      <c r="N199" s="12" t="n">
        <f aca="false">IF(H199="","",$C$3-H199)</f>
        <v>11</v>
      </c>
      <c r="O199" s="9" t="str">
        <f aca="false">IF(AND(L199&lt;=$C$4,M199&lt;=$E$4),"&lt;=150pc &amp; &lt;=10kg",IF(N199="","TANPA TGL",IF(N199&lt;=5,"&lt;= 5 HARI",IF(N199&lt;=7,"&lt;= 7 HARI",IF(N199&lt;=14,"&lt;= 14 HARI","&gt; 14 HARI")))))</f>
        <v>&lt;= 14 HARI</v>
      </c>
      <c r="P199" s="9"/>
      <c r="Q199" s="9" t="s">
        <v>238</v>
      </c>
      <c r="R199" s="9" t="s">
        <v>239</v>
      </c>
    </row>
    <row r="200" customFormat="false" ht="15" hidden="false" customHeight="false" outlineLevel="0" collapsed="false">
      <c r="A200" s="9" t="n">
        <v>195</v>
      </c>
      <c r="B200" s="9" t="s">
        <v>901</v>
      </c>
      <c r="C200" s="9" t="s">
        <v>902</v>
      </c>
      <c r="D200" s="9" t="s">
        <v>903</v>
      </c>
      <c r="E200" s="10" t="n">
        <v>0.19223</v>
      </c>
      <c r="F200" s="9" t="s">
        <v>904</v>
      </c>
      <c r="G200" s="9" t="s">
        <v>905</v>
      </c>
      <c r="H200" s="11" t="n">
        <v>46234</v>
      </c>
      <c r="I200" s="12" t="n">
        <v>5000</v>
      </c>
      <c r="J200" s="12" t="n">
        <v>4740</v>
      </c>
      <c r="K200" s="13" t="n">
        <v>911.1702</v>
      </c>
      <c r="L200" s="12" t="n">
        <v>0</v>
      </c>
      <c r="M200" s="13" t="n">
        <v>0</v>
      </c>
      <c r="N200" s="12" t="n">
        <f aca="false">IF(H200="","",$C$3-H200)</f>
        <v>3</v>
      </c>
      <c r="O200" s="9" t="str">
        <f aca="false">IF(AND(L200&lt;=$C$4,M200&lt;=$E$4),"&lt;=150pc &amp; &lt;=10kg",IF(N200="","TANPA TGL",IF(N200&lt;=5,"&lt;= 5 HARI",IF(N200&lt;=7,"&lt;= 7 HARI",IF(N200&lt;=14,"&lt;= 14 HARI","&gt; 14 HARI")))))</f>
        <v>&lt;=150pc &amp; &lt;=10kg</v>
      </c>
      <c r="P200" s="9"/>
      <c r="Q200" s="9" t="s">
        <v>57</v>
      </c>
      <c r="R200" s="9" t="s">
        <v>58</v>
      </c>
    </row>
    <row r="201" customFormat="false" ht="15" hidden="false" customHeight="false" outlineLevel="0" collapsed="false">
      <c r="A201" s="9" t="n">
        <v>196</v>
      </c>
      <c r="B201" s="9" t="s">
        <v>901</v>
      </c>
      <c r="C201" s="9" t="s">
        <v>906</v>
      </c>
      <c r="D201" s="9" t="s">
        <v>903</v>
      </c>
      <c r="E201" s="10" t="n">
        <v>0.19223</v>
      </c>
      <c r="F201" s="9" t="s">
        <v>907</v>
      </c>
      <c r="G201" s="9" t="s">
        <v>908</v>
      </c>
      <c r="H201" s="11" t="n">
        <v>46235</v>
      </c>
      <c r="I201" s="12" t="n">
        <v>9000</v>
      </c>
      <c r="J201" s="12" t="n">
        <v>5140</v>
      </c>
      <c r="K201" s="13" t="n">
        <v>988.0622</v>
      </c>
      <c r="L201" s="12" t="n">
        <v>0</v>
      </c>
      <c r="M201" s="13" t="n">
        <v>0</v>
      </c>
      <c r="N201" s="12" t="n">
        <f aca="false">IF(H201="","",$C$3-H201)</f>
        <v>2</v>
      </c>
      <c r="O201" s="9" t="str">
        <f aca="false">IF(AND(L201&lt;=$C$4,M201&lt;=$E$4),"&lt;=150pc &amp; &lt;=10kg",IF(N201="","TANPA TGL",IF(N201&lt;=5,"&lt;= 5 HARI",IF(N201&lt;=7,"&lt;= 7 HARI",IF(N201&lt;=14,"&lt;= 14 HARI","&gt; 14 HARI")))))</f>
        <v>&lt;=150pc &amp; &lt;=10kg</v>
      </c>
      <c r="P201" s="9"/>
      <c r="Q201" s="9" t="s">
        <v>57</v>
      </c>
      <c r="R201" s="9" t="s">
        <v>58</v>
      </c>
    </row>
    <row r="202" customFormat="false" ht="15" hidden="false" customHeight="false" outlineLevel="0" collapsed="false">
      <c r="A202" s="9" t="n">
        <v>197</v>
      </c>
      <c r="B202" s="9" t="s">
        <v>901</v>
      </c>
      <c r="C202" s="9" t="s">
        <v>909</v>
      </c>
      <c r="D202" s="9" t="s">
        <v>903</v>
      </c>
      <c r="E202" s="10" t="n">
        <v>0.19223</v>
      </c>
      <c r="F202" s="9" t="s">
        <v>910</v>
      </c>
      <c r="G202" s="9" t="s">
        <v>911</v>
      </c>
      <c r="H202" s="11" t="n">
        <v>46234</v>
      </c>
      <c r="I202" s="12" t="n">
        <v>8000</v>
      </c>
      <c r="J202" s="12" t="n">
        <v>8160</v>
      </c>
      <c r="K202" s="13" t="n">
        <v>1568.5968</v>
      </c>
      <c r="L202" s="12" t="n">
        <v>0</v>
      </c>
      <c r="M202" s="13" t="n">
        <v>0</v>
      </c>
      <c r="N202" s="12" t="n">
        <f aca="false">IF(H202="","",$C$3-H202)</f>
        <v>3</v>
      </c>
      <c r="O202" s="9" t="str">
        <f aca="false">IF(AND(L202&lt;=$C$4,M202&lt;=$E$4),"&lt;=150pc &amp; &lt;=10kg",IF(N202="","TANPA TGL",IF(N202&lt;=5,"&lt;= 5 HARI",IF(N202&lt;=7,"&lt;= 7 HARI",IF(N202&lt;=14,"&lt;= 14 HARI","&gt; 14 HARI")))))</f>
        <v>&lt;=150pc &amp; &lt;=10kg</v>
      </c>
      <c r="P202" s="9" t="s">
        <v>64</v>
      </c>
      <c r="Q202" s="9" t="s">
        <v>912</v>
      </c>
      <c r="R202" s="9" t="s">
        <v>58</v>
      </c>
    </row>
    <row r="203" customFormat="false" ht="15" hidden="false" customHeight="false" outlineLevel="0" collapsed="false">
      <c r="A203" s="9" t="n">
        <v>198</v>
      </c>
      <c r="B203" s="9" t="s">
        <v>913</v>
      </c>
      <c r="C203" s="9" t="s">
        <v>914</v>
      </c>
      <c r="D203" s="9" t="s">
        <v>915</v>
      </c>
      <c r="E203" s="10" t="n">
        <v>0.11243</v>
      </c>
      <c r="F203" s="9" t="s">
        <v>916</v>
      </c>
      <c r="G203" s="9" t="s">
        <v>917</v>
      </c>
      <c r="H203" s="11" t="n">
        <v>46234</v>
      </c>
      <c r="I203" s="12" t="n">
        <v>5000</v>
      </c>
      <c r="J203" s="12" t="n">
        <v>4800</v>
      </c>
      <c r="K203" s="13" t="n">
        <v>539.664</v>
      </c>
      <c r="L203" s="12" t="n">
        <v>4800</v>
      </c>
      <c r="M203" s="13" t="n">
        <v>539.664</v>
      </c>
      <c r="N203" s="12" t="n">
        <f aca="false">IF(H203="","",$C$3-H203)</f>
        <v>3</v>
      </c>
      <c r="O203" s="9" t="str">
        <f aca="false">IF(AND(L203&lt;=$C$4,M203&lt;=$E$4),"&lt;=150pc &amp; &lt;=10kg",IF(N203="","TANPA TGL",IF(N203&lt;=5,"&lt;= 5 HARI",IF(N203&lt;=7,"&lt;= 7 HARI",IF(N203&lt;=14,"&lt;= 14 HARI","&gt; 14 HARI")))))</f>
        <v>&lt;= 5 HARI</v>
      </c>
      <c r="P203" s="9"/>
      <c r="Q203" s="9" t="s">
        <v>30</v>
      </c>
      <c r="R203" s="9" t="s">
        <v>31</v>
      </c>
    </row>
    <row r="204" customFormat="false" ht="15" hidden="false" customHeight="false" outlineLevel="0" collapsed="false">
      <c r="A204" s="9" t="n">
        <v>199</v>
      </c>
      <c r="B204" s="9" t="s">
        <v>913</v>
      </c>
      <c r="C204" s="9" t="s">
        <v>918</v>
      </c>
      <c r="D204" s="9" t="s">
        <v>919</v>
      </c>
      <c r="E204" s="10" t="n">
        <v>0.1241</v>
      </c>
      <c r="F204" s="9" t="s">
        <v>920</v>
      </c>
      <c r="G204" s="9" t="s">
        <v>921</v>
      </c>
      <c r="H204" s="11" t="n">
        <v>46227</v>
      </c>
      <c r="I204" s="12" t="n">
        <v>80000</v>
      </c>
      <c r="J204" s="12" t="n">
        <v>2400</v>
      </c>
      <c r="K204" s="13" t="n">
        <v>297.84</v>
      </c>
      <c r="L204" s="12" t="n">
        <v>2400</v>
      </c>
      <c r="M204" s="13" t="n">
        <v>297.84</v>
      </c>
      <c r="N204" s="12" t="n">
        <f aca="false">IF(H204="","",$C$3-H204)</f>
        <v>10</v>
      </c>
      <c r="O204" s="9" t="str">
        <f aca="false">IF(AND(L204&lt;=$C$4,M204&lt;=$E$4),"&lt;=150pc &amp; &lt;=10kg",IF(N204="","TANPA TGL",IF(N204&lt;=5,"&lt;= 5 HARI",IF(N204&lt;=7,"&lt;= 7 HARI",IF(N204&lt;=14,"&lt;= 14 HARI","&gt; 14 HARI")))))</f>
        <v>&lt;= 14 HARI</v>
      </c>
      <c r="P204" s="9"/>
      <c r="Q204" s="9" t="s">
        <v>30</v>
      </c>
      <c r="R204" s="9" t="s">
        <v>31</v>
      </c>
    </row>
    <row r="205" customFormat="false" ht="15" hidden="false" customHeight="false" outlineLevel="0" collapsed="false">
      <c r="A205" s="9" t="n">
        <v>200</v>
      </c>
      <c r="B205" s="9" t="s">
        <v>913</v>
      </c>
      <c r="C205" s="9" t="s">
        <v>922</v>
      </c>
      <c r="D205" s="9" t="s">
        <v>923</v>
      </c>
      <c r="E205" s="10" t="n">
        <v>0.13629</v>
      </c>
      <c r="F205" s="9" t="s">
        <v>924</v>
      </c>
      <c r="G205" s="9" t="s">
        <v>925</v>
      </c>
      <c r="H205" s="11" t="n">
        <v>46236</v>
      </c>
      <c r="I205" s="12" t="n">
        <v>150000</v>
      </c>
      <c r="J205" s="12" t="n">
        <v>6800</v>
      </c>
      <c r="K205" s="13" t="n">
        <v>926.772</v>
      </c>
      <c r="L205" s="12" t="n">
        <v>35600</v>
      </c>
      <c r="M205" s="13" t="n">
        <v>4851.924</v>
      </c>
      <c r="N205" s="12" t="n">
        <f aca="false">IF(H205="","",$C$3-H205)</f>
        <v>1</v>
      </c>
      <c r="O205" s="9" t="str">
        <f aca="false">IF(AND(L205&lt;=$C$4,M205&lt;=$E$4),"&lt;=150pc &amp; &lt;=10kg",IF(N205="","TANPA TGL",IF(N205&lt;=5,"&lt;= 5 HARI",IF(N205&lt;=7,"&lt;= 7 HARI",IF(N205&lt;=14,"&lt;= 14 HARI","&gt; 14 HARI")))))</f>
        <v>&lt;= 5 HARI</v>
      </c>
      <c r="P205" s="9"/>
      <c r="Q205" s="9" t="s">
        <v>30</v>
      </c>
      <c r="R205" s="9" t="s">
        <v>31</v>
      </c>
    </row>
    <row r="206" customFormat="false" ht="15" hidden="false" customHeight="false" outlineLevel="0" collapsed="false">
      <c r="A206" s="9" t="n">
        <v>201</v>
      </c>
      <c r="B206" s="9" t="s">
        <v>913</v>
      </c>
      <c r="C206" s="9" t="s">
        <v>926</v>
      </c>
      <c r="D206" s="9" t="s">
        <v>923</v>
      </c>
      <c r="E206" s="10" t="n">
        <v>0.13629</v>
      </c>
      <c r="F206" s="9" t="s">
        <v>927</v>
      </c>
      <c r="G206" s="9" t="s">
        <v>928</v>
      </c>
      <c r="H206" s="11" t="n">
        <v>46235</v>
      </c>
      <c r="I206" s="12" t="n">
        <v>32400</v>
      </c>
      <c r="J206" s="12" t="n">
        <v>7200</v>
      </c>
      <c r="K206" s="13" t="n">
        <v>981.288</v>
      </c>
      <c r="L206" s="12" t="n">
        <v>10800</v>
      </c>
      <c r="M206" s="13" t="n">
        <v>1471.932</v>
      </c>
      <c r="N206" s="12" t="n">
        <f aca="false">IF(H206="","",$C$3-H206)</f>
        <v>2</v>
      </c>
      <c r="O206" s="9" t="str">
        <f aca="false">IF(AND(L206&lt;=$C$4,M206&lt;=$E$4),"&lt;=150pc &amp; &lt;=10kg",IF(N206="","TANPA TGL",IF(N206&lt;=5,"&lt;= 5 HARI",IF(N206&lt;=7,"&lt;= 7 HARI",IF(N206&lt;=14,"&lt;= 14 HARI","&gt; 14 HARI")))))</f>
        <v>&lt;= 5 HARI</v>
      </c>
      <c r="P206" s="9"/>
      <c r="Q206" s="9" t="s">
        <v>30</v>
      </c>
      <c r="R206" s="9" t="s">
        <v>31</v>
      </c>
    </row>
    <row r="207" customFormat="false" ht="15" hidden="false" customHeight="false" outlineLevel="0" collapsed="false">
      <c r="A207" s="9" t="n">
        <v>202</v>
      </c>
      <c r="B207" s="9" t="s">
        <v>929</v>
      </c>
      <c r="C207" s="9" t="s">
        <v>930</v>
      </c>
      <c r="D207" s="9" t="s">
        <v>931</v>
      </c>
      <c r="E207" s="10" t="n">
        <v>0.30392</v>
      </c>
      <c r="F207" s="9" t="s">
        <v>932</v>
      </c>
      <c r="G207" s="9" t="s">
        <v>933</v>
      </c>
      <c r="H207" s="11" t="n">
        <v>46230</v>
      </c>
      <c r="I207" s="12" t="n">
        <v>15000</v>
      </c>
      <c r="J207" s="12" t="n">
        <v>350</v>
      </c>
      <c r="K207" s="13" t="n">
        <v>106.372</v>
      </c>
      <c r="L207" s="12" t="n">
        <v>350</v>
      </c>
      <c r="M207" s="13" t="n">
        <v>106.372</v>
      </c>
      <c r="N207" s="12" t="n">
        <f aca="false">IF(H207="","",$C$3-H207)</f>
        <v>7</v>
      </c>
      <c r="O207" s="9" t="str">
        <f aca="false">IF(AND(L207&lt;=$C$4,M207&lt;=$E$4),"&lt;=150pc &amp; &lt;=10kg",IF(N207="","TANPA TGL",IF(N207&lt;=5,"&lt;= 5 HARI",IF(N207&lt;=7,"&lt;= 7 HARI",IF(N207&lt;=14,"&lt;= 14 HARI","&gt; 14 HARI")))))</f>
        <v>&lt;= 7 HARI</v>
      </c>
      <c r="P207" s="9" t="s">
        <v>64</v>
      </c>
      <c r="Q207" s="9" t="s">
        <v>107</v>
      </c>
      <c r="R207" s="9" t="s">
        <v>239</v>
      </c>
    </row>
    <row r="208" customFormat="false" ht="15" hidden="false" customHeight="false" outlineLevel="0" collapsed="false">
      <c r="A208" s="9" t="n">
        <v>203</v>
      </c>
      <c r="B208" s="9" t="s">
        <v>929</v>
      </c>
      <c r="C208" s="9" t="s">
        <v>934</v>
      </c>
      <c r="D208" s="9" t="s">
        <v>935</v>
      </c>
      <c r="E208" s="10" t="n">
        <v>0.18831</v>
      </c>
      <c r="F208" s="9" t="s">
        <v>936</v>
      </c>
      <c r="G208" s="9" t="s">
        <v>937</v>
      </c>
      <c r="H208" s="11" t="n">
        <v>46230</v>
      </c>
      <c r="I208" s="12" t="n">
        <v>15000</v>
      </c>
      <c r="J208" s="12" t="n">
        <v>500</v>
      </c>
      <c r="K208" s="13" t="n">
        <v>94.155</v>
      </c>
      <c r="L208" s="12" t="n">
        <v>500</v>
      </c>
      <c r="M208" s="13" t="n">
        <v>94.155</v>
      </c>
      <c r="N208" s="12" t="n">
        <f aca="false">IF(H208="","",$C$3-H208)</f>
        <v>7</v>
      </c>
      <c r="O208" s="9" t="str">
        <f aca="false">IF(AND(L208&lt;=$C$4,M208&lt;=$E$4),"&lt;=150pc &amp; &lt;=10kg",IF(N208="","TANPA TGL",IF(N208&lt;=5,"&lt;= 5 HARI",IF(N208&lt;=7,"&lt;= 7 HARI",IF(N208&lt;=14,"&lt;= 14 HARI","&gt; 14 HARI")))))</f>
        <v>&lt;= 7 HARI</v>
      </c>
      <c r="P208" s="9" t="s">
        <v>64</v>
      </c>
      <c r="Q208" s="9" t="s">
        <v>107</v>
      </c>
      <c r="R208" s="9" t="s">
        <v>239</v>
      </c>
    </row>
    <row r="209" customFormat="false" ht="15" hidden="false" customHeight="false" outlineLevel="0" collapsed="false">
      <c r="A209" s="9" t="n">
        <v>204</v>
      </c>
      <c r="B209" s="9" t="s">
        <v>938</v>
      </c>
      <c r="C209" s="9" t="s">
        <v>939</v>
      </c>
      <c r="D209" s="9" t="s">
        <v>940</v>
      </c>
      <c r="E209" s="10" t="n">
        <v>0.33851</v>
      </c>
      <c r="F209" s="9" t="s">
        <v>941</v>
      </c>
      <c r="G209" s="9" t="s">
        <v>942</v>
      </c>
      <c r="H209" s="11" t="n">
        <v>46234</v>
      </c>
      <c r="I209" s="12" t="n">
        <v>2500</v>
      </c>
      <c r="J209" s="12" t="n">
        <v>2617</v>
      </c>
      <c r="K209" s="13" t="n">
        <v>885.88067</v>
      </c>
      <c r="L209" s="12" t="n">
        <v>0</v>
      </c>
      <c r="M209" s="13" t="n">
        <v>0</v>
      </c>
      <c r="N209" s="12" t="n">
        <f aca="false">IF(H209="","",$C$3-H209)</f>
        <v>3</v>
      </c>
      <c r="O209" s="9" t="str">
        <f aca="false">IF(AND(L209&lt;=$C$4,M209&lt;=$E$4),"&lt;=150pc &amp; &lt;=10kg",IF(N209="","TANPA TGL",IF(N209&lt;=5,"&lt;= 5 HARI",IF(N209&lt;=7,"&lt;= 7 HARI",IF(N209&lt;=14,"&lt;= 14 HARI","&gt; 14 HARI")))))</f>
        <v>&lt;=150pc &amp; &lt;=10kg</v>
      </c>
      <c r="P209" s="9" t="s">
        <v>144</v>
      </c>
      <c r="Q209" s="9" t="s">
        <v>133</v>
      </c>
      <c r="R209" s="9" t="s">
        <v>134</v>
      </c>
    </row>
    <row r="210" customFormat="false" ht="15" hidden="false" customHeight="false" outlineLevel="0" collapsed="false">
      <c r="A210" s="9" t="n">
        <v>205</v>
      </c>
      <c r="B210" s="9" t="s">
        <v>943</v>
      </c>
      <c r="C210" s="9" t="s">
        <v>944</v>
      </c>
      <c r="D210" s="9" t="s">
        <v>945</v>
      </c>
      <c r="E210" s="10" t="n">
        <v>0.25693</v>
      </c>
      <c r="F210" s="9" t="s">
        <v>946</v>
      </c>
      <c r="G210" s="9" t="s">
        <v>947</v>
      </c>
      <c r="H210" s="11" t="n">
        <v>46200</v>
      </c>
      <c r="I210" s="12" t="n">
        <v>20000</v>
      </c>
      <c r="J210" s="12" t="n">
        <v>550</v>
      </c>
      <c r="K210" s="13" t="n">
        <v>141.3115</v>
      </c>
      <c r="L210" s="12" t="n">
        <v>550</v>
      </c>
      <c r="M210" s="13" t="n">
        <v>141.3115</v>
      </c>
      <c r="N210" s="12" t="n">
        <f aca="false">IF(H210="","",$C$3-H210)</f>
        <v>37</v>
      </c>
      <c r="O210" s="9" t="str">
        <f aca="false">IF(AND(L210&lt;=$C$4,M210&lt;=$E$4),"&lt;=150pc &amp; &lt;=10kg",IF(N210="","TANPA TGL",IF(N210&lt;=5,"&lt;= 5 HARI",IF(N210&lt;=7,"&lt;= 7 HARI",IF(N210&lt;=14,"&lt;= 14 HARI","&gt; 14 HARI")))))</f>
        <v>&gt; 14 HARI</v>
      </c>
      <c r="P210" s="9"/>
      <c r="Q210" s="9" t="s">
        <v>37</v>
      </c>
      <c r="R210" s="9" t="s">
        <v>38</v>
      </c>
    </row>
    <row r="211" customFormat="false" ht="15" hidden="false" customHeight="false" outlineLevel="0" collapsed="false">
      <c r="A211" s="9" t="n">
        <v>206</v>
      </c>
      <c r="B211" s="9" t="s">
        <v>943</v>
      </c>
      <c r="C211" s="9" t="s">
        <v>948</v>
      </c>
      <c r="D211" s="9" t="s">
        <v>949</v>
      </c>
      <c r="E211" s="10" t="n">
        <v>0.08405</v>
      </c>
      <c r="F211" s="9" t="s">
        <v>950</v>
      </c>
      <c r="G211" s="9" t="s">
        <v>951</v>
      </c>
      <c r="H211" s="11" t="n">
        <v>46235</v>
      </c>
      <c r="I211" s="12" t="n">
        <v>30000</v>
      </c>
      <c r="J211" s="12" t="n">
        <v>0</v>
      </c>
      <c r="K211" s="13" t="n">
        <v>0</v>
      </c>
      <c r="L211" s="12" t="n">
        <v>12200</v>
      </c>
      <c r="M211" s="13" t="n">
        <v>1025.41</v>
      </c>
      <c r="N211" s="12" t="n">
        <f aca="false">IF(H211="","",$C$3-H211)</f>
        <v>2</v>
      </c>
      <c r="O211" s="9" t="str">
        <f aca="false">IF(AND(L211&lt;=$C$4,M211&lt;=$E$4),"&lt;=150pc &amp; &lt;=10kg",IF(N211="","TANPA TGL",IF(N211&lt;=5,"&lt;= 5 HARI",IF(N211&lt;=7,"&lt;= 7 HARI",IF(N211&lt;=14,"&lt;= 14 HARI","&gt; 14 HARI")))))</f>
        <v>&lt;= 5 HARI</v>
      </c>
      <c r="P211" s="9"/>
      <c r="Q211" s="9" t="s">
        <v>37</v>
      </c>
      <c r="R211" s="9" t="s">
        <v>38</v>
      </c>
    </row>
    <row r="212" customFormat="false" ht="15" hidden="false" customHeight="false" outlineLevel="0" collapsed="false">
      <c r="A212" s="9" t="n">
        <v>207</v>
      </c>
      <c r="B212" s="9" t="s">
        <v>943</v>
      </c>
      <c r="C212" s="9" t="s">
        <v>952</v>
      </c>
      <c r="D212" s="9" t="s">
        <v>953</v>
      </c>
      <c r="E212" s="10" t="n">
        <v>0.58995</v>
      </c>
      <c r="F212" s="9" t="s">
        <v>954</v>
      </c>
      <c r="G212" s="9" t="s">
        <v>955</v>
      </c>
      <c r="H212" s="11" t="n">
        <v>46215</v>
      </c>
      <c r="I212" s="12" t="n">
        <v>10000</v>
      </c>
      <c r="J212" s="12" t="n">
        <v>375</v>
      </c>
      <c r="K212" s="13" t="n">
        <v>221.23125</v>
      </c>
      <c r="L212" s="12" t="n">
        <v>375</v>
      </c>
      <c r="M212" s="13" t="n">
        <v>221.23125</v>
      </c>
      <c r="N212" s="12" t="n">
        <f aca="false">IF(H212="","",$C$3-H212)</f>
        <v>22</v>
      </c>
      <c r="O212" s="9" t="str">
        <f aca="false">IF(AND(L212&lt;=$C$4,M212&lt;=$E$4),"&lt;=150pc &amp; &lt;=10kg",IF(N212="","TANPA TGL",IF(N212&lt;=5,"&lt;= 5 HARI",IF(N212&lt;=7,"&lt;= 7 HARI",IF(N212&lt;=14,"&lt;= 14 HARI","&gt; 14 HARI")))))</f>
        <v>&gt; 14 HARI</v>
      </c>
      <c r="P212" s="9"/>
      <c r="Q212" s="9" t="s">
        <v>37</v>
      </c>
      <c r="R212" s="9" t="s">
        <v>38</v>
      </c>
    </row>
    <row r="213" customFormat="false" ht="15" hidden="false" customHeight="false" outlineLevel="0" collapsed="false">
      <c r="A213" s="9" t="n">
        <v>208</v>
      </c>
      <c r="B213" s="9" t="s">
        <v>943</v>
      </c>
      <c r="C213" s="9" t="s">
        <v>956</v>
      </c>
      <c r="D213" s="9" t="s">
        <v>957</v>
      </c>
      <c r="E213" s="10" t="n">
        <v>0.23666</v>
      </c>
      <c r="F213" s="9" t="s">
        <v>958</v>
      </c>
      <c r="G213" s="9" t="s">
        <v>959</v>
      </c>
      <c r="H213" s="11" t="n">
        <v>46217</v>
      </c>
      <c r="I213" s="12" t="n">
        <v>20000</v>
      </c>
      <c r="J213" s="12" t="n">
        <v>1450</v>
      </c>
      <c r="K213" s="13" t="n">
        <v>343.157</v>
      </c>
      <c r="L213" s="12" t="n">
        <v>1450</v>
      </c>
      <c r="M213" s="13" t="n">
        <v>343.157</v>
      </c>
      <c r="N213" s="12" t="n">
        <f aca="false">IF(H213="","",$C$3-H213)</f>
        <v>20</v>
      </c>
      <c r="O213" s="9" t="str">
        <f aca="false">IF(AND(L213&lt;=$C$4,M213&lt;=$E$4),"&lt;=150pc &amp; &lt;=10kg",IF(N213="","TANPA TGL",IF(N213&lt;=5,"&lt;= 5 HARI",IF(N213&lt;=7,"&lt;= 7 HARI",IF(N213&lt;=14,"&lt;= 14 HARI","&gt; 14 HARI")))))</f>
        <v>&gt; 14 HARI</v>
      </c>
      <c r="P213" s="9"/>
      <c r="Q213" s="9" t="s">
        <v>37</v>
      </c>
      <c r="R213" s="9" t="s">
        <v>38</v>
      </c>
    </row>
    <row r="214" customFormat="false" ht="15" hidden="false" customHeight="false" outlineLevel="0" collapsed="false">
      <c r="A214" s="9" t="n">
        <v>209</v>
      </c>
      <c r="B214" s="9" t="s">
        <v>943</v>
      </c>
      <c r="C214" s="9" t="s">
        <v>960</v>
      </c>
      <c r="D214" s="9" t="s">
        <v>961</v>
      </c>
      <c r="E214" s="10" t="n">
        <v>0.52436</v>
      </c>
      <c r="F214" s="9" t="s">
        <v>962</v>
      </c>
      <c r="G214" s="9" t="s">
        <v>963</v>
      </c>
      <c r="H214" s="11" t="n">
        <v>46222</v>
      </c>
      <c r="I214" s="12" t="n">
        <v>10000</v>
      </c>
      <c r="J214" s="12" t="n">
        <v>300</v>
      </c>
      <c r="K214" s="13" t="n">
        <v>157.308</v>
      </c>
      <c r="L214" s="12" t="n">
        <v>300</v>
      </c>
      <c r="M214" s="13" t="n">
        <v>157.308</v>
      </c>
      <c r="N214" s="12" t="n">
        <f aca="false">IF(H214="","",$C$3-H214)</f>
        <v>15</v>
      </c>
      <c r="O214" s="9" t="str">
        <f aca="false">IF(AND(L214&lt;=$C$4,M214&lt;=$E$4),"&lt;=150pc &amp; &lt;=10kg",IF(N214="","TANPA TGL",IF(N214&lt;=5,"&lt;= 5 HARI",IF(N214&lt;=7,"&lt;= 7 HARI",IF(N214&lt;=14,"&lt;= 14 HARI","&gt; 14 HARI")))))</f>
        <v>&gt; 14 HARI</v>
      </c>
      <c r="P214" s="9"/>
      <c r="Q214" s="9" t="s">
        <v>37</v>
      </c>
      <c r="R214" s="9" t="s">
        <v>38</v>
      </c>
    </row>
    <row r="215" customFormat="false" ht="15" hidden="false" customHeight="false" outlineLevel="0" collapsed="false">
      <c r="A215" s="9" t="n">
        <v>210</v>
      </c>
      <c r="B215" s="9" t="s">
        <v>943</v>
      </c>
      <c r="C215" s="9" t="s">
        <v>964</v>
      </c>
      <c r="D215" s="9" t="s">
        <v>965</v>
      </c>
      <c r="E215" s="10" t="n">
        <v>0.13263</v>
      </c>
      <c r="F215" s="9" t="s">
        <v>966</v>
      </c>
      <c r="G215" s="9" t="s">
        <v>967</v>
      </c>
      <c r="H215" s="11" t="n">
        <v>46233</v>
      </c>
      <c r="I215" s="12" t="n">
        <v>20000</v>
      </c>
      <c r="J215" s="12" t="n">
        <v>7600</v>
      </c>
      <c r="K215" s="13" t="n">
        <v>1007.988</v>
      </c>
      <c r="L215" s="12" t="n">
        <v>7600</v>
      </c>
      <c r="M215" s="13" t="n">
        <v>1007.988</v>
      </c>
      <c r="N215" s="12" t="n">
        <f aca="false">IF(H215="","",$C$3-H215)</f>
        <v>4</v>
      </c>
      <c r="O215" s="9" t="str">
        <f aca="false">IF(AND(L215&lt;=$C$4,M215&lt;=$E$4),"&lt;=150pc &amp; &lt;=10kg",IF(N215="","TANPA TGL",IF(N215&lt;=5,"&lt;= 5 HARI",IF(N215&lt;=7,"&lt;= 7 HARI",IF(N215&lt;=14,"&lt;= 14 HARI","&gt; 14 HARI")))))</f>
        <v>&lt;= 5 HARI</v>
      </c>
      <c r="P215" s="9"/>
      <c r="Q215" s="9" t="s">
        <v>37</v>
      </c>
      <c r="R215" s="9" t="s">
        <v>38</v>
      </c>
    </row>
    <row r="216" customFormat="false" ht="15" hidden="false" customHeight="false" outlineLevel="0" collapsed="false">
      <c r="A216" s="9" t="n">
        <v>211</v>
      </c>
      <c r="B216" s="9" t="s">
        <v>943</v>
      </c>
      <c r="C216" s="9" t="s">
        <v>968</v>
      </c>
      <c r="D216" s="9" t="s">
        <v>969</v>
      </c>
      <c r="E216" s="10" t="n">
        <v>0.36757</v>
      </c>
      <c r="F216" s="9" t="s">
        <v>970</v>
      </c>
      <c r="G216" s="9" t="s">
        <v>971</v>
      </c>
      <c r="H216" s="11" t="n">
        <v>46231</v>
      </c>
      <c r="I216" s="12" t="n">
        <v>5000</v>
      </c>
      <c r="J216" s="12" t="n">
        <v>4375</v>
      </c>
      <c r="K216" s="13" t="n">
        <v>1608.11875</v>
      </c>
      <c r="L216" s="12" t="n">
        <v>800</v>
      </c>
      <c r="M216" s="13" t="n">
        <v>294.056</v>
      </c>
      <c r="N216" s="12" t="n">
        <f aca="false">IF(H216="","",$C$3-H216)</f>
        <v>6</v>
      </c>
      <c r="O216" s="9" t="str">
        <f aca="false">IF(AND(L216&lt;=$C$4,M216&lt;=$E$4),"&lt;=150pc &amp; &lt;=10kg",IF(N216="","TANPA TGL",IF(N216&lt;=5,"&lt;= 5 HARI",IF(N216&lt;=7,"&lt;= 7 HARI",IF(N216&lt;=14,"&lt;= 14 HARI","&gt; 14 HARI")))))</f>
        <v>&lt;= 7 HARI</v>
      </c>
      <c r="P216" s="9"/>
      <c r="Q216" s="9" t="s">
        <v>37</v>
      </c>
      <c r="R216" s="9" t="s">
        <v>38</v>
      </c>
    </row>
    <row r="217" customFormat="false" ht="15" hidden="false" customHeight="false" outlineLevel="0" collapsed="false">
      <c r="A217" s="9" t="n">
        <v>212</v>
      </c>
      <c r="B217" s="9" t="s">
        <v>943</v>
      </c>
      <c r="C217" s="9" t="s">
        <v>972</v>
      </c>
      <c r="D217" s="9" t="s">
        <v>973</v>
      </c>
      <c r="E217" s="10" t="n">
        <v>0.12167</v>
      </c>
      <c r="F217" s="9" t="s">
        <v>974</v>
      </c>
      <c r="G217" s="9" t="s">
        <v>975</v>
      </c>
      <c r="H217" s="11" t="n">
        <v>46234</v>
      </c>
      <c r="I217" s="12" t="n">
        <v>15000</v>
      </c>
      <c r="J217" s="12" t="n">
        <v>11394</v>
      </c>
      <c r="K217" s="13" t="n">
        <v>1386.30798</v>
      </c>
      <c r="L217" s="12" t="n">
        <v>0</v>
      </c>
      <c r="M217" s="13" t="n">
        <v>0</v>
      </c>
      <c r="N217" s="12" t="n">
        <f aca="false">IF(H217="","",$C$3-H217)</f>
        <v>3</v>
      </c>
      <c r="O217" s="9" t="str">
        <f aca="false">IF(AND(L217&lt;=$C$4,M217&lt;=$E$4),"&lt;=150pc &amp; &lt;=10kg",IF(N217="","TANPA TGL",IF(N217&lt;=5,"&lt;= 5 HARI",IF(N217&lt;=7,"&lt;= 7 HARI",IF(N217&lt;=14,"&lt;= 14 HARI","&gt; 14 HARI")))))</f>
        <v>&lt;=150pc &amp; &lt;=10kg</v>
      </c>
      <c r="P217" s="9" t="s">
        <v>77</v>
      </c>
      <c r="Q217" s="9" t="s">
        <v>37</v>
      </c>
      <c r="R217" s="9" t="s">
        <v>38</v>
      </c>
    </row>
    <row r="218" customFormat="false" ht="15" hidden="false" customHeight="false" outlineLevel="0" collapsed="false">
      <c r="A218" s="9" t="n">
        <v>213</v>
      </c>
      <c r="B218" s="9" t="s">
        <v>943</v>
      </c>
      <c r="C218" s="9" t="s">
        <v>976</v>
      </c>
      <c r="D218" s="9" t="s">
        <v>977</v>
      </c>
      <c r="E218" s="10" t="n">
        <v>0.33889</v>
      </c>
      <c r="F218" s="9" t="s">
        <v>978</v>
      </c>
      <c r="G218" s="9" t="s">
        <v>979</v>
      </c>
      <c r="H218" s="11" t="n">
        <v>46231</v>
      </c>
      <c r="I218" s="12" t="n">
        <v>10000</v>
      </c>
      <c r="J218" s="12" t="n">
        <v>2025</v>
      </c>
      <c r="K218" s="13" t="n">
        <v>686.25225</v>
      </c>
      <c r="L218" s="12" t="n">
        <v>2025</v>
      </c>
      <c r="M218" s="13" t="n">
        <v>686.25225</v>
      </c>
      <c r="N218" s="12" t="n">
        <f aca="false">IF(H218="","",$C$3-H218)</f>
        <v>6</v>
      </c>
      <c r="O218" s="9" t="str">
        <f aca="false">IF(AND(L218&lt;=$C$4,M218&lt;=$E$4),"&lt;=150pc &amp; &lt;=10kg",IF(N218="","TANPA TGL",IF(N218&lt;=5,"&lt;= 5 HARI",IF(N218&lt;=7,"&lt;= 7 HARI",IF(N218&lt;=14,"&lt;= 14 HARI","&gt; 14 HARI")))))</f>
        <v>&lt;= 7 HARI</v>
      </c>
      <c r="P218" s="9" t="s">
        <v>77</v>
      </c>
      <c r="Q218" s="9" t="s">
        <v>37</v>
      </c>
      <c r="R218" s="9" t="s">
        <v>38</v>
      </c>
    </row>
    <row r="219" customFormat="false" ht="15" hidden="false" customHeight="false" outlineLevel="0" collapsed="false">
      <c r="A219" s="9" t="n">
        <v>214</v>
      </c>
      <c r="B219" s="9" t="s">
        <v>943</v>
      </c>
      <c r="C219" s="9" t="s">
        <v>980</v>
      </c>
      <c r="D219" s="9" t="s">
        <v>981</v>
      </c>
      <c r="E219" s="10" t="n">
        <v>0.22238</v>
      </c>
      <c r="F219" s="9" t="s">
        <v>982</v>
      </c>
      <c r="G219" s="9" t="s">
        <v>983</v>
      </c>
      <c r="H219" s="11" t="n">
        <v>46233</v>
      </c>
      <c r="I219" s="12" t="n">
        <v>15000</v>
      </c>
      <c r="J219" s="12" t="n">
        <v>1400</v>
      </c>
      <c r="K219" s="13" t="n">
        <v>311.332</v>
      </c>
      <c r="L219" s="12" t="n">
        <v>1400</v>
      </c>
      <c r="M219" s="13" t="n">
        <v>311.332</v>
      </c>
      <c r="N219" s="12" t="n">
        <f aca="false">IF(H219="","",$C$3-H219)</f>
        <v>4</v>
      </c>
      <c r="O219" s="9" t="str">
        <f aca="false">IF(AND(L219&lt;=$C$4,M219&lt;=$E$4),"&lt;=150pc &amp; &lt;=10kg",IF(N219="","TANPA TGL",IF(N219&lt;=5,"&lt;= 5 HARI",IF(N219&lt;=7,"&lt;= 7 HARI",IF(N219&lt;=14,"&lt;= 14 HARI","&gt; 14 HARI")))))</f>
        <v>&lt;= 5 HARI</v>
      </c>
      <c r="P219" s="9"/>
      <c r="Q219" s="9" t="s">
        <v>37</v>
      </c>
      <c r="R219" s="9" t="s">
        <v>38</v>
      </c>
    </row>
    <row r="220" customFormat="false" ht="15" hidden="false" customHeight="false" outlineLevel="0" collapsed="false">
      <c r="A220" s="9" t="n">
        <v>215</v>
      </c>
      <c r="B220" s="9" t="s">
        <v>943</v>
      </c>
      <c r="C220" s="9" t="s">
        <v>984</v>
      </c>
      <c r="D220" s="9" t="s">
        <v>977</v>
      </c>
      <c r="E220" s="10" t="n">
        <v>0.33889</v>
      </c>
      <c r="F220" s="9" t="s">
        <v>985</v>
      </c>
      <c r="G220" s="9" t="s">
        <v>986</v>
      </c>
      <c r="H220" s="11" t="n">
        <v>46230</v>
      </c>
      <c r="I220" s="12" t="n">
        <v>20000</v>
      </c>
      <c r="J220" s="12" t="n">
        <v>875</v>
      </c>
      <c r="K220" s="13" t="n">
        <v>296.52875</v>
      </c>
      <c r="L220" s="12" t="n">
        <v>475</v>
      </c>
      <c r="M220" s="13" t="n">
        <v>160.97275</v>
      </c>
      <c r="N220" s="12" t="n">
        <f aca="false">IF(H220="","",$C$3-H220)</f>
        <v>7</v>
      </c>
      <c r="O220" s="9" t="str">
        <f aca="false">IF(AND(L220&lt;=$C$4,M220&lt;=$E$4),"&lt;=150pc &amp; &lt;=10kg",IF(N220="","TANPA TGL",IF(N220&lt;=5,"&lt;= 5 HARI",IF(N220&lt;=7,"&lt;= 7 HARI",IF(N220&lt;=14,"&lt;= 14 HARI","&gt; 14 HARI")))))</f>
        <v>&lt;= 7 HARI</v>
      </c>
      <c r="P220" s="9" t="s">
        <v>77</v>
      </c>
      <c r="Q220" s="9" t="s">
        <v>37</v>
      </c>
      <c r="R220" s="9" t="s">
        <v>38</v>
      </c>
    </row>
    <row r="221" customFormat="false" ht="15" hidden="false" customHeight="false" outlineLevel="0" collapsed="false">
      <c r="A221" s="9" t="n">
        <v>216</v>
      </c>
      <c r="B221" s="9" t="s">
        <v>943</v>
      </c>
      <c r="C221" s="9" t="s">
        <v>987</v>
      </c>
      <c r="D221" s="9" t="s">
        <v>981</v>
      </c>
      <c r="E221" s="10" t="n">
        <v>0.22238</v>
      </c>
      <c r="F221" s="9" t="s">
        <v>988</v>
      </c>
      <c r="G221" s="9" t="s">
        <v>989</v>
      </c>
      <c r="H221" s="11" t="n">
        <v>46233</v>
      </c>
      <c r="I221" s="12" t="n">
        <v>5000</v>
      </c>
      <c r="J221" s="12" t="n">
        <v>100</v>
      </c>
      <c r="K221" s="13" t="n">
        <v>22.238</v>
      </c>
      <c r="L221" s="12" t="n">
        <v>100</v>
      </c>
      <c r="M221" s="13" t="n">
        <v>22.238</v>
      </c>
      <c r="N221" s="12" t="n">
        <f aca="false">IF(H221="","",$C$3-H221)</f>
        <v>4</v>
      </c>
      <c r="O221" s="9" t="str">
        <f aca="false">IF(AND(L221&lt;=$C$4,M221&lt;=$E$4),"&lt;=150pc &amp; &lt;=10kg",IF(N221="","TANPA TGL",IF(N221&lt;=5,"&lt;= 5 HARI",IF(N221&lt;=7,"&lt;= 7 HARI",IF(N221&lt;=14,"&lt;= 14 HARI","&gt; 14 HARI")))))</f>
        <v>&lt;= 5 HARI</v>
      </c>
      <c r="P221" s="9"/>
      <c r="Q221" s="9" t="s">
        <v>37</v>
      </c>
      <c r="R221" s="9" t="s">
        <v>38</v>
      </c>
    </row>
    <row r="222" customFormat="false" ht="15" hidden="false" customHeight="false" outlineLevel="0" collapsed="false">
      <c r="A222" s="9" t="n">
        <v>217</v>
      </c>
      <c r="B222" s="9" t="s">
        <v>943</v>
      </c>
      <c r="C222" s="9" t="s">
        <v>990</v>
      </c>
      <c r="D222" s="9" t="s">
        <v>991</v>
      </c>
      <c r="E222" s="10" t="n">
        <v>0.7379</v>
      </c>
      <c r="F222" s="9" t="s">
        <v>992</v>
      </c>
      <c r="G222" s="9" t="s">
        <v>993</v>
      </c>
      <c r="H222" s="11" t="n">
        <v>46233</v>
      </c>
      <c r="I222" s="12" t="n">
        <v>5000</v>
      </c>
      <c r="J222" s="12" t="n">
        <v>4575</v>
      </c>
      <c r="K222" s="13" t="n">
        <v>3375.8925</v>
      </c>
      <c r="L222" s="12" t="n">
        <v>2950</v>
      </c>
      <c r="M222" s="13" t="n">
        <v>2176.805</v>
      </c>
      <c r="N222" s="12" t="n">
        <f aca="false">IF(H222="","",$C$3-H222)</f>
        <v>4</v>
      </c>
      <c r="O222" s="9" t="str">
        <f aca="false">IF(AND(L222&lt;=$C$4,M222&lt;=$E$4),"&lt;=150pc &amp; &lt;=10kg",IF(N222="","TANPA TGL",IF(N222&lt;=5,"&lt;= 5 HARI",IF(N222&lt;=7,"&lt;= 7 HARI",IF(N222&lt;=14,"&lt;= 14 HARI","&gt; 14 HARI")))))</f>
        <v>&lt;= 5 HARI</v>
      </c>
      <c r="P222" s="9"/>
      <c r="Q222" s="9" t="s">
        <v>37</v>
      </c>
      <c r="R222" s="9" t="s">
        <v>38</v>
      </c>
    </row>
    <row r="223" customFormat="false" ht="15" hidden="false" customHeight="false" outlineLevel="0" collapsed="false">
      <c r="A223" s="9" t="n">
        <v>218</v>
      </c>
      <c r="B223" s="9" t="s">
        <v>943</v>
      </c>
      <c r="C223" s="9" t="s">
        <v>952</v>
      </c>
      <c r="D223" s="9" t="s">
        <v>953</v>
      </c>
      <c r="E223" s="10" t="n">
        <v>0.58972</v>
      </c>
      <c r="F223" s="9" t="s">
        <v>994</v>
      </c>
      <c r="G223" s="9" t="s">
        <v>995</v>
      </c>
      <c r="H223" s="11" t="n">
        <v>46233</v>
      </c>
      <c r="I223" s="12" t="n">
        <v>30000</v>
      </c>
      <c r="J223" s="12" t="n">
        <v>975</v>
      </c>
      <c r="K223" s="13" t="n">
        <v>574.977</v>
      </c>
      <c r="L223" s="12" t="n">
        <v>975</v>
      </c>
      <c r="M223" s="13" t="n">
        <v>574.977</v>
      </c>
      <c r="N223" s="12" t="n">
        <f aca="false">IF(H223="","",$C$3-H223)</f>
        <v>4</v>
      </c>
      <c r="O223" s="9" t="str">
        <f aca="false">IF(AND(L223&lt;=$C$4,M223&lt;=$E$4),"&lt;=150pc &amp; &lt;=10kg",IF(N223="","TANPA TGL",IF(N223&lt;=5,"&lt;= 5 HARI",IF(N223&lt;=7,"&lt;= 7 HARI",IF(N223&lt;=14,"&lt;= 14 HARI","&gt; 14 HARI")))))</f>
        <v>&lt;= 5 HARI</v>
      </c>
      <c r="P223" s="9"/>
      <c r="Q223" s="9" t="s">
        <v>37</v>
      </c>
      <c r="R223" s="9" t="s">
        <v>38</v>
      </c>
    </row>
    <row r="224" customFormat="false" ht="15" hidden="false" customHeight="false" outlineLevel="0" collapsed="false">
      <c r="A224" s="9" t="n">
        <v>219</v>
      </c>
      <c r="B224" s="9" t="s">
        <v>996</v>
      </c>
      <c r="C224" s="9" t="s">
        <v>997</v>
      </c>
      <c r="D224" s="9" t="s">
        <v>998</v>
      </c>
      <c r="E224" s="10" t="n">
        <v>0.55251</v>
      </c>
      <c r="F224" s="9" t="s">
        <v>999</v>
      </c>
      <c r="G224" s="9" t="s">
        <v>1000</v>
      </c>
      <c r="H224" s="11" t="n">
        <v>46220</v>
      </c>
      <c r="I224" s="12" t="n">
        <v>2000</v>
      </c>
      <c r="J224" s="12" t="n">
        <v>1954</v>
      </c>
      <c r="K224" s="13" t="n">
        <v>1079.60454</v>
      </c>
      <c r="L224" s="12" t="n">
        <v>1954</v>
      </c>
      <c r="M224" s="13" t="n">
        <v>1079.60454</v>
      </c>
      <c r="N224" s="12" t="n">
        <f aca="false">IF(H224="","",$C$3-H224)</f>
        <v>17</v>
      </c>
      <c r="O224" s="9" t="str">
        <f aca="false">IF(AND(L224&lt;=$C$4,M224&lt;=$E$4),"&lt;=150pc &amp; &lt;=10kg",IF(N224="","TANPA TGL",IF(N224&lt;=5,"&lt;= 5 HARI",IF(N224&lt;=7,"&lt;= 7 HARI",IF(N224&lt;=14,"&lt;= 14 HARI","&gt; 14 HARI")))))</f>
        <v>&gt; 14 HARI</v>
      </c>
      <c r="P224" s="9"/>
      <c r="Q224" s="9" t="s">
        <v>107</v>
      </c>
      <c r="R224" s="9" t="s">
        <v>108</v>
      </c>
    </row>
    <row r="225" customFormat="false" ht="15" hidden="false" customHeight="false" outlineLevel="0" collapsed="false">
      <c r="A225" s="9" t="n">
        <v>220</v>
      </c>
      <c r="B225" s="9" t="s">
        <v>996</v>
      </c>
      <c r="C225" s="9" t="s">
        <v>1001</v>
      </c>
      <c r="D225" s="9" t="s">
        <v>1002</v>
      </c>
      <c r="E225" s="10" t="n">
        <v>0.3327</v>
      </c>
      <c r="F225" s="9" t="s">
        <v>1003</v>
      </c>
      <c r="G225" s="9" t="s">
        <v>1004</v>
      </c>
      <c r="H225" s="11" t="n">
        <v>46224</v>
      </c>
      <c r="I225" s="12" t="n">
        <v>5000</v>
      </c>
      <c r="J225" s="12" t="n">
        <v>8570</v>
      </c>
      <c r="K225" s="13" t="n">
        <v>2851.239</v>
      </c>
      <c r="L225" s="12" t="n">
        <v>8570</v>
      </c>
      <c r="M225" s="13" t="n">
        <v>2851.239</v>
      </c>
      <c r="N225" s="12" t="n">
        <f aca="false">IF(H225="","",$C$3-H225)</f>
        <v>13</v>
      </c>
      <c r="O225" s="9" t="str">
        <f aca="false">IF(AND(L225&lt;=$C$4,M225&lt;=$E$4),"&lt;=150pc &amp; &lt;=10kg",IF(N225="","TANPA TGL",IF(N225&lt;=5,"&lt;= 5 HARI",IF(N225&lt;=7,"&lt;= 7 HARI",IF(N225&lt;=14,"&lt;= 14 HARI","&gt; 14 HARI")))))</f>
        <v>&lt;= 14 HARI</v>
      </c>
      <c r="P225" s="9"/>
      <c r="Q225" s="9" t="s">
        <v>107</v>
      </c>
      <c r="R225" s="9" t="s">
        <v>108</v>
      </c>
    </row>
    <row r="226" customFormat="false" ht="15" hidden="false" customHeight="false" outlineLevel="0" collapsed="false">
      <c r="A226" s="9" t="n">
        <v>221</v>
      </c>
      <c r="B226" s="9" t="s">
        <v>996</v>
      </c>
      <c r="C226" s="9" t="s">
        <v>1005</v>
      </c>
      <c r="D226" s="9" t="s">
        <v>1006</v>
      </c>
      <c r="E226" s="10" t="n">
        <v>0.24468</v>
      </c>
      <c r="F226" s="9" t="s">
        <v>1007</v>
      </c>
      <c r="G226" s="9" t="s">
        <v>1008</v>
      </c>
      <c r="H226" s="11" t="n">
        <v>46221</v>
      </c>
      <c r="I226" s="12" t="n">
        <v>6000</v>
      </c>
      <c r="J226" s="12" t="n">
        <v>4540</v>
      </c>
      <c r="K226" s="13" t="n">
        <v>1110.8472</v>
      </c>
      <c r="L226" s="12" t="n">
        <v>4540</v>
      </c>
      <c r="M226" s="13" t="n">
        <v>1110.8472</v>
      </c>
      <c r="N226" s="12" t="n">
        <f aca="false">IF(H226="","",$C$3-H226)</f>
        <v>16</v>
      </c>
      <c r="O226" s="9" t="str">
        <f aca="false">IF(AND(L226&lt;=$C$4,M226&lt;=$E$4),"&lt;=150pc &amp; &lt;=10kg",IF(N226="","TANPA TGL",IF(N226&lt;=5,"&lt;= 5 HARI",IF(N226&lt;=7,"&lt;= 7 HARI",IF(N226&lt;=14,"&lt;= 14 HARI","&gt; 14 HARI")))))</f>
        <v>&gt; 14 HARI</v>
      </c>
      <c r="P226" s="9" t="s">
        <v>64</v>
      </c>
      <c r="Q226" s="9" t="s">
        <v>107</v>
      </c>
      <c r="R226" s="9" t="s">
        <v>108</v>
      </c>
    </row>
    <row r="227" customFormat="false" ht="15" hidden="false" customHeight="false" outlineLevel="0" collapsed="false">
      <c r="A227" s="9" t="n">
        <v>222</v>
      </c>
      <c r="B227" s="9" t="s">
        <v>1009</v>
      </c>
      <c r="C227" s="9" t="s">
        <v>1010</v>
      </c>
      <c r="D227" s="9" t="s">
        <v>1011</v>
      </c>
      <c r="E227" s="10" t="n">
        <v>0.4769</v>
      </c>
      <c r="F227" s="9" t="s">
        <v>1012</v>
      </c>
      <c r="G227" s="9" t="s">
        <v>1013</v>
      </c>
      <c r="H227" s="11" t="n">
        <v>46234</v>
      </c>
      <c r="I227" s="12" t="n">
        <v>500000</v>
      </c>
      <c r="J227" s="12" t="n">
        <v>22151</v>
      </c>
      <c r="K227" s="13" t="n">
        <v>10563.8119</v>
      </c>
      <c r="L227" s="12" t="n">
        <v>1031</v>
      </c>
      <c r="M227" s="13" t="n">
        <v>491.6839</v>
      </c>
      <c r="N227" s="12" t="n">
        <f aca="false">IF(H227="","",$C$3-H227)</f>
        <v>3</v>
      </c>
      <c r="O227" s="9" t="str">
        <f aca="false">IF(AND(L227&lt;=$C$4,M227&lt;=$E$4),"&lt;=150pc &amp; &lt;=10kg",IF(N227="","TANPA TGL",IF(N227&lt;=5,"&lt;= 5 HARI",IF(N227&lt;=7,"&lt;= 7 HARI",IF(N227&lt;=14,"&lt;= 14 HARI","&gt; 14 HARI")))))</f>
        <v>&lt;= 5 HARI</v>
      </c>
      <c r="P227" s="9"/>
      <c r="Q227" s="9" t="s">
        <v>44</v>
      </c>
      <c r="R227" s="9" t="s">
        <v>45</v>
      </c>
    </row>
    <row r="228" customFormat="false" ht="15" hidden="false" customHeight="false" outlineLevel="0" collapsed="false">
      <c r="A228" s="9" t="n">
        <v>223</v>
      </c>
      <c r="B228" s="9" t="s">
        <v>1009</v>
      </c>
      <c r="C228" s="9" t="s">
        <v>1014</v>
      </c>
      <c r="D228" s="9" t="s">
        <v>1015</v>
      </c>
      <c r="E228" s="10" t="n">
        <v>0.4454</v>
      </c>
      <c r="F228" s="9" t="s">
        <v>1016</v>
      </c>
      <c r="G228" s="9" t="s">
        <v>1017</v>
      </c>
      <c r="H228" s="11" t="n">
        <v>46232</v>
      </c>
      <c r="I228" s="12" t="n">
        <v>100000</v>
      </c>
      <c r="J228" s="12" t="n">
        <v>7770</v>
      </c>
      <c r="K228" s="13" t="n">
        <v>3460.758</v>
      </c>
      <c r="L228" s="12" t="n">
        <v>7770</v>
      </c>
      <c r="M228" s="13" t="n">
        <v>3460.758</v>
      </c>
      <c r="N228" s="12" t="n">
        <f aca="false">IF(H228="","",$C$3-H228)</f>
        <v>5</v>
      </c>
      <c r="O228" s="9" t="str">
        <f aca="false">IF(AND(L228&lt;=$C$4,M228&lt;=$E$4),"&lt;=150pc &amp; &lt;=10kg",IF(N228="","TANPA TGL",IF(N228&lt;=5,"&lt;= 5 HARI",IF(N228&lt;=7,"&lt;= 7 HARI",IF(N228&lt;=14,"&lt;= 14 HARI","&gt; 14 HARI")))))</f>
        <v>&lt;= 5 HARI</v>
      </c>
      <c r="P228" s="9"/>
      <c r="Q228" s="9" t="s">
        <v>44</v>
      </c>
      <c r="R228" s="9" t="s">
        <v>45</v>
      </c>
    </row>
    <row r="229" customFormat="false" ht="15" hidden="false" customHeight="false" outlineLevel="0" collapsed="false">
      <c r="A229" s="9" t="n">
        <v>224</v>
      </c>
      <c r="B229" s="9" t="s">
        <v>1018</v>
      </c>
      <c r="C229" s="9" t="s">
        <v>1019</v>
      </c>
      <c r="D229" s="9" t="s">
        <v>1020</v>
      </c>
      <c r="E229" s="10" t="n">
        <v>1.03472</v>
      </c>
      <c r="F229" s="9" t="s">
        <v>1021</v>
      </c>
      <c r="G229" s="9" t="s">
        <v>1022</v>
      </c>
      <c r="H229" s="11" t="n">
        <v>46233</v>
      </c>
      <c r="I229" s="12" t="n">
        <v>1500</v>
      </c>
      <c r="J229" s="12" t="n">
        <v>222</v>
      </c>
      <c r="K229" s="13" t="n">
        <v>229.70784</v>
      </c>
      <c r="L229" s="12" t="n">
        <v>222</v>
      </c>
      <c r="M229" s="13" t="n">
        <v>229.70784</v>
      </c>
      <c r="N229" s="12" t="n">
        <f aca="false">IF(H229="","",$C$3-H229)</f>
        <v>4</v>
      </c>
      <c r="O229" s="9" t="str">
        <f aca="false">IF(AND(L229&lt;=$C$4,M229&lt;=$E$4),"&lt;=150pc &amp; &lt;=10kg",IF(N229="","TANPA TGL",IF(N229&lt;=5,"&lt;= 5 HARI",IF(N229&lt;=7,"&lt;= 7 HARI",IF(N229&lt;=14,"&lt;= 14 HARI","&gt; 14 HARI")))))</f>
        <v>&lt;= 5 HARI</v>
      </c>
      <c r="P229" s="9"/>
      <c r="Q229" s="9" t="s">
        <v>238</v>
      </c>
      <c r="R229" s="9" t="s">
        <v>58</v>
      </c>
    </row>
    <row r="230" customFormat="false" ht="15" hidden="false" customHeight="false" outlineLevel="0" collapsed="false">
      <c r="A230" s="9" t="n">
        <v>225</v>
      </c>
      <c r="B230" s="9" t="s">
        <v>1023</v>
      </c>
      <c r="C230" s="9" t="s">
        <v>1024</v>
      </c>
      <c r="D230" s="9" t="s">
        <v>1025</v>
      </c>
      <c r="E230" s="10" t="n">
        <v>0.55878</v>
      </c>
      <c r="F230" s="9" t="s">
        <v>1026</v>
      </c>
      <c r="G230" s="9" t="s">
        <v>1027</v>
      </c>
      <c r="H230" s="11" t="n">
        <v>46222</v>
      </c>
      <c r="I230" s="12" t="n">
        <v>7000</v>
      </c>
      <c r="J230" s="12" t="n">
        <v>596</v>
      </c>
      <c r="K230" s="13" t="n">
        <v>333.03288</v>
      </c>
      <c r="L230" s="12" t="n">
        <v>596</v>
      </c>
      <c r="M230" s="13" t="n">
        <v>333.03288</v>
      </c>
      <c r="N230" s="12" t="n">
        <f aca="false">IF(H230="","",$C$3-H230)</f>
        <v>15</v>
      </c>
      <c r="O230" s="9" t="str">
        <f aca="false">IF(AND(L230&lt;=$C$4,M230&lt;=$E$4),"&lt;=150pc &amp; &lt;=10kg",IF(N230="","TANPA TGL",IF(N230&lt;=5,"&lt;= 5 HARI",IF(N230&lt;=7,"&lt;= 7 HARI",IF(N230&lt;=14,"&lt;= 14 HARI","&gt; 14 HARI")))))</f>
        <v>&gt; 14 HARI</v>
      </c>
      <c r="P230" s="9" t="s">
        <v>144</v>
      </c>
      <c r="Q230" s="9" t="s">
        <v>44</v>
      </c>
      <c r="R230" s="9" t="s">
        <v>45</v>
      </c>
    </row>
    <row r="231" customFormat="false" ht="15" hidden="false" customHeight="false" outlineLevel="0" collapsed="false">
      <c r="A231" s="9" t="n">
        <v>226</v>
      </c>
      <c r="B231" s="9" t="s">
        <v>1028</v>
      </c>
      <c r="C231" s="9" t="s">
        <v>1029</v>
      </c>
      <c r="D231" s="9" t="s">
        <v>1030</v>
      </c>
      <c r="E231" s="10" t="n">
        <v>0.55824</v>
      </c>
      <c r="F231" s="9" t="s">
        <v>1031</v>
      </c>
      <c r="G231" s="9" t="s">
        <v>1032</v>
      </c>
      <c r="H231" s="11" t="n">
        <v>46171</v>
      </c>
      <c r="I231" s="12" t="n">
        <v>2000</v>
      </c>
      <c r="J231" s="12" t="n">
        <v>110</v>
      </c>
      <c r="K231" s="13" t="n">
        <v>61.4064</v>
      </c>
      <c r="L231" s="12" t="n">
        <v>110</v>
      </c>
      <c r="M231" s="13" t="n">
        <v>61.4064</v>
      </c>
      <c r="N231" s="12" t="n">
        <f aca="false">IF(H231="","",$C$3-H231)</f>
        <v>66</v>
      </c>
      <c r="O231" s="9" t="str">
        <f aca="false">IF(AND(L231&lt;=$C$4,M231&lt;=$E$4),"&lt;=150pc &amp; &lt;=10kg",IF(N231="","TANPA TGL",IF(N231&lt;=5,"&lt;= 5 HARI",IF(N231&lt;=7,"&lt;= 7 HARI",IF(N231&lt;=14,"&lt;= 14 HARI","&gt; 14 HARI")))))</f>
        <v>&gt; 14 HARI</v>
      </c>
      <c r="P231" s="9"/>
      <c r="Q231" s="9" t="s">
        <v>107</v>
      </c>
      <c r="R231" s="9" t="s">
        <v>108</v>
      </c>
    </row>
    <row r="232" customFormat="false" ht="15" hidden="false" customHeight="false" outlineLevel="0" collapsed="false">
      <c r="A232" s="9" t="n">
        <v>227</v>
      </c>
      <c r="B232" s="9" t="s">
        <v>1028</v>
      </c>
      <c r="C232" s="9" t="s">
        <v>1033</v>
      </c>
      <c r="D232" s="9" t="s">
        <v>1034</v>
      </c>
      <c r="E232" s="10" t="n">
        <v>0.44538</v>
      </c>
      <c r="F232" s="9" t="s">
        <v>1035</v>
      </c>
      <c r="G232" s="9" t="s">
        <v>1036</v>
      </c>
      <c r="H232" s="11" t="n">
        <v>46232</v>
      </c>
      <c r="I232" s="12" t="n">
        <v>3550</v>
      </c>
      <c r="J232" s="12" t="n">
        <v>70</v>
      </c>
      <c r="K232" s="13" t="n">
        <v>31.1766</v>
      </c>
      <c r="L232" s="12" t="n">
        <v>70</v>
      </c>
      <c r="M232" s="13" t="n">
        <v>31.1766</v>
      </c>
      <c r="N232" s="12" t="n">
        <f aca="false">IF(H232="","",$C$3-H232)</f>
        <v>5</v>
      </c>
      <c r="O232" s="9" t="str">
        <f aca="false">IF(AND(L232&lt;=$C$4,M232&lt;=$E$4),"&lt;=150pc &amp; &lt;=10kg",IF(N232="","TANPA TGL",IF(N232&lt;=5,"&lt;= 5 HARI",IF(N232&lt;=7,"&lt;= 7 HARI",IF(N232&lt;=14,"&lt;= 14 HARI","&gt; 14 HARI")))))</f>
        <v>&lt;= 5 HARI</v>
      </c>
      <c r="P232" s="9"/>
      <c r="Q232" s="9" t="s">
        <v>37</v>
      </c>
      <c r="R232" s="9" t="s">
        <v>38</v>
      </c>
    </row>
    <row r="233" customFormat="false" ht="15" hidden="false" customHeight="false" outlineLevel="0" collapsed="false">
      <c r="A233" s="9" t="n">
        <v>228</v>
      </c>
      <c r="B233" s="9" t="s">
        <v>1037</v>
      </c>
      <c r="C233" s="9" t="s">
        <v>1038</v>
      </c>
      <c r="D233" s="9" t="s">
        <v>1039</v>
      </c>
      <c r="E233" s="10" t="n">
        <v>0.16733</v>
      </c>
      <c r="F233" s="9" t="s">
        <v>1040</v>
      </c>
      <c r="G233" s="9" t="s">
        <v>1041</v>
      </c>
      <c r="H233" s="11" t="n">
        <v>46233</v>
      </c>
      <c r="I233" s="12" t="n">
        <v>960000</v>
      </c>
      <c r="J233" s="12" t="n">
        <v>760</v>
      </c>
      <c r="K233" s="13" t="n">
        <v>127.1708</v>
      </c>
      <c r="L233" s="12" t="n">
        <v>760</v>
      </c>
      <c r="M233" s="13" t="n">
        <v>127.1708</v>
      </c>
      <c r="N233" s="12" t="n">
        <f aca="false">IF(H233="","",$C$3-H233)</f>
        <v>4</v>
      </c>
      <c r="O233" s="9" t="str">
        <f aca="false">IF(AND(L233&lt;=$C$4,M233&lt;=$E$4),"&lt;=150pc &amp; &lt;=10kg",IF(N233="","TANPA TGL",IF(N233&lt;=5,"&lt;= 5 HARI",IF(N233&lt;=7,"&lt;= 7 HARI",IF(N233&lt;=14,"&lt;= 14 HARI","&gt; 14 HARI")))))</f>
        <v>&lt;= 5 HARI</v>
      </c>
      <c r="P233" s="9" t="s">
        <v>77</v>
      </c>
      <c r="Q233" s="9" t="s">
        <v>37</v>
      </c>
      <c r="R233" s="9" t="s">
        <v>38</v>
      </c>
    </row>
    <row r="234" customFormat="false" ht="15" hidden="false" customHeight="false" outlineLevel="0" collapsed="false">
      <c r="A234" s="9" t="n">
        <v>229</v>
      </c>
      <c r="B234" s="9" t="s">
        <v>1037</v>
      </c>
      <c r="C234" s="9" t="s">
        <v>1042</v>
      </c>
      <c r="D234" s="9" t="s">
        <v>1043</v>
      </c>
      <c r="E234" s="10" t="n">
        <v>0.52226</v>
      </c>
      <c r="F234" s="9" t="s">
        <v>1044</v>
      </c>
      <c r="G234" s="9" t="s">
        <v>1045</v>
      </c>
      <c r="H234" s="11" t="n">
        <v>46203</v>
      </c>
      <c r="I234" s="12" t="n">
        <v>20000</v>
      </c>
      <c r="J234" s="12" t="n">
        <v>390</v>
      </c>
      <c r="K234" s="13" t="n">
        <v>203.6814</v>
      </c>
      <c r="L234" s="12" t="n">
        <v>390</v>
      </c>
      <c r="M234" s="13" t="n">
        <v>203.6814</v>
      </c>
      <c r="N234" s="12" t="n">
        <f aca="false">IF(H234="","",$C$3-H234)</f>
        <v>34</v>
      </c>
      <c r="O234" s="9" t="str">
        <f aca="false">IF(AND(L234&lt;=$C$4,M234&lt;=$E$4),"&lt;=150pc &amp; &lt;=10kg",IF(N234="","TANPA TGL",IF(N234&lt;=5,"&lt;= 5 HARI",IF(N234&lt;=7,"&lt;= 7 HARI",IF(N234&lt;=14,"&lt;= 14 HARI","&gt; 14 HARI")))))</f>
        <v>&gt; 14 HARI</v>
      </c>
      <c r="P234" s="9"/>
      <c r="Q234" s="9" t="s">
        <v>37</v>
      </c>
      <c r="R234" s="9" t="s">
        <v>38</v>
      </c>
    </row>
    <row r="235" customFormat="false" ht="15" hidden="false" customHeight="false" outlineLevel="0" collapsed="false">
      <c r="A235" s="9" t="n">
        <v>230</v>
      </c>
      <c r="B235" s="9" t="s">
        <v>1037</v>
      </c>
      <c r="C235" s="9" t="s">
        <v>1046</v>
      </c>
      <c r="D235" s="9" t="s">
        <v>1043</v>
      </c>
      <c r="E235" s="10" t="n">
        <v>0.52226</v>
      </c>
      <c r="F235" s="9" t="s">
        <v>1047</v>
      </c>
      <c r="G235" s="9" t="s">
        <v>1048</v>
      </c>
      <c r="H235" s="11" t="n">
        <v>46191</v>
      </c>
      <c r="I235" s="12" t="n">
        <v>5000</v>
      </c>
      <c r="J235" s="12" t="n">
        <v>140</v>
      </c>
      <c r="K235" s="13" t="n">
        <v>73.1164</v>
      </c>
      <c r="L235" s="12" t="n">
        <v>140</v>
      </c>
      <c r="M235" s="13" t="n">
        <v>73.1164</v>
      </c>
      <c r="N235" s="12" t="n">
        <f aca="false">IF(H235="","",$C$3-H235)</f>
        <v>46</v>
      </c>
      <c r="O235" s="9" t="str">
        <f aca="false">IF(AND(L235&lt;=$C$4,M235&lt;=$E$4),"&lt;=150pc &amp; &lt;=10kg",IF(N235="","TANPA TGL",IF(N235&lt;=5,"&lt;= 5 HARI",IF(N235&lt;=7,"&lt;= 7 HARI",IF(N235&lt;=14,"&lt;= 14 HARI","&gt; 14 HARI")))))</f>
        <v>&gt; 14 HARI</v>
      </c>
      <c r="P235" s="9"/>
      <c r="Q235" s="9" t="s">
        <v>37</v>
      </c>
      <c r="R235" s="9" t="s">
        <v>38</v>
      </c>
    </row>
    <row r="236" customFormat="false" ht="15" hidden="false" customHeight="false" outlineLevel="0" collapsed="false">
      <c r="A236" s="9" t="n">
        <v>231</v>
      </c>
      <c r="B236" s="9" t="s">
        <v>1037</v>
      </c>
      <c r="C236" s="9" t="s">
        <v>1049</v>
      </c>
      <c r="D236" s="9" t="s">
        <v>1050</v>
      </c>
      <c r="E236" s="10" t="n">
        <v>0.34674</v>
      </c>
      <c r="F236" s="9" t="s">
        <v>1051</v>
      </c>
      <c r="G236" s="9" t="s">
        <v>1052</v>
      </c>
      <c r="H236" s="11" t="n">
        <v>46207</v>
      </c>
      <c r="I236" s="12" t="n">
        <v>9000</v>
      </c>
      <c r="J236" s="12" t="n">
        <v>1980</v>
      </c>
      <c r="K236" s="13" t="n">
        <v>686.5452</v>
      </c>
      <c r="L236" s="12" t="n">
        <v>1980</v>
      </c>
      <c r="M236" s="13" t="n">
        <v>686.5452</v>
      </c>
      <c r="N236" s="12" t="n">
        <f aca="false">IF(H236="","",$C$3-H236)</f>
        <v>30</v>
      </c>
      <c r="O236" s="9" t="str">
        <f aca="false">IF(AND(L236&lt;=$C$4,M236&lt;=$E$4),"&lt;=150pc &amp; &lt;=10kg",IF(N236="","TANPA TGL",IF(N236&lt;=5,"&lt;= 5 HARI",IF(N236&lt;=7,"&lt;= 7 HARI",IF(N236&lt;=14,"&lt;= 14 HARI","&gt; 14 HARI")))))</f>
        <v>&gt; 14 HARI</v>
      </c>
      <c r="P236" s="9"/>
      <c r="Q236" s="9" t="s">
        <v>37</v>
      </c>
      <c r="R236" s="9" t="s">
        <v>38</v>
      </c>
    </row>
    <row r="237" customFormat="false" ht="15" hidden="false" customHeight="false" outlineLevel="0" collapsed="false">
      <c r="A237" s="9" t="n">
        <v>232</v>
      </c>
      <c r="B237" s="9" t="s">
        <v>1037</v>
      </c>
      <c r="C237" s="9" t="s">
        <v>1053</v>
      </c>
      <c r="D237" s="9" t="s">
        <v>1043</v>
      </c>
      <c r="E237" s="10" t="n">
        <v>0.52226</v>
      </c>
      <c r="F237" s="9" t="s">
        <v>1054</v>
      </c>
      <c r="G237" s="9" t="s">
        <v>1055</v>
      </c>
      <c r="H237" s="11" t="n">
        <v>46201</v>
      </c>
      <c r="I237" s="12" t="n">
        <v>10000</v>
      </c>
      <c r="J237" s="12" t="n">
        <v>1354</v>
      </c>
      <c r="K237" s="13" t="n">
        <v>707.14004</v>
      </c>
      <c r="L237" s="12" t="n">
        <v>1354</v>
      </c>
      <c r="M237" s="13" t="n">
        <v>707.14004</v>
      </c>
      <c r="N237" s="12" t="n">
        <f aca="false">IF(H237="","",$C$3-H237)</f>
        <v>36</v>
      </c>
      <c r="O237" s="9" t="str">
        <f aca="false">IF(AND(L237&lt;=$C$4,M237&lt;=$E$4),"&lt;=150pc &amp; &lt;=10kg",IF(N237="","TANPA TGL",IF(N237&lt;=5,"&lt;= 5 HARI",IF(N237&lt;=7,"&lt;= 7 HARI",IF(N237&lt;=14,"&lt;= 14 HARI","&gt; 14 HARI")))))</f>
        <v>&gt; 14 HARI</v>
      </c>
      <c r="P237" s="9"/>
      <c r="Q237" s="9" t="s">
        <v>37</v>
      </c>
      <c r="R237" s="9" t="s">
        <v>38</v>
      </c>
    </row>
    <row r="238" customFormat="false" ht="15" hidden="false" customHeight="false" outlineLevel="0" collapsed="false">
      <c r="A238" s="9" t="n">
        <v>233</v>
      </c>
      <c r="B238" s="9" t="s">
        <v>1037</v>
      </c>
      <c r="C238" s="9" t="s">
        <v>1056</v>
      </c>
      <c r="D238" s="9" t="s">
        <v>1057</v>
      </c>
      <c r="E238" s="10" t="n">
        <v>0.73436</v>
      </c>
      <c r="F238" s="9" t="s">
        <v>1058</v>
      </c>
      <c r="G238" s="9" t="s">
        <v>1059</v>
      </c>
      <c r="H238" s="11" t="n">
        <v>46206</v>
      </c>
      <c r="I238" s="12" t="n">
        <v>5000</v>
      </c>
      <c r="J238" s="12" t="n">
        <v>140</v>
      </c>
      <c r="K238" s="13" t="n">
        <v>102.8104</v>
      </c>
      <c r="L238" s="12" t="n">
        <v>140</v>
      </c>
      <c r="M238" s="13" t="n">
        <v>102.8104</v>
      </c>
      <c r="N238" s="12" t="n">
        <f aca="false">IF(H238="","",$C$3-H238)</f>
        <v>31</v>
      </c>
      <c r="O238" s="9" t="str">
        <f aca="false">IF(AND(L238&lt;=$C$4,M238&lt;=$E$4),"&lt;=150pc &amp; &lt;=10kg",IF(N238="","TANPA TGL",IF(N238&lt;=5,"&lt;= 5 HARI",IF(N238&lt;=7,"&lt;= 7 HARI",IF(N238&lt;=14,"&lt;= 14 HARI","&gt; 14 HARI")))))</f>
        <v>&gt; 14 HARI</v>
      </c>
      <c r="P238" s="9"/>
      <c r="Q238" s="9" t="s">
        <v>37</v>
      </c>
      <c r="R238" s="9" t="s">
        <v>38</v>
      </c>
    </row>
    <row r="239" customFormat="false" ht="15" hidden="false" customHeight="false" outlineLevel="0" collapsed="false">
      <c r="A239" s="9" t="n">
        <v>234</v>
      </c>
      <c r="B239" s="9" t="s">
        <v>1037</v>
      </c>
      <c r="C239" s="9" t="s">
        <v>1060</v>
      </c>
      <c r="D239" s="9" t="s">
        <v>1061</v>
      </c>
      <c r="E239" s="10" t="n">
        <v>0.57696</v>
      </c>
      <c r="F239" s="9" t="s">
        <v>1062</v>
      </c>
      <c r="G239" s="9" t="s">
        <v>1063</v>
      </c>
      <c r="H239" s="11" t="n">
        <v>46207</v>
      </c>
      <c r="I239" s="12" t="n">
        <v>5000</v>
      </c>
      <c r="J239" s="12" t="n">
        <v>1046</v>
      </c>
      <c r="K239" s="13" t="n">
        <v>603.50016</v>
      </c>
      <c r="L239" s="12" t="n">
        <v>1046</v>
      </c>
      <c r="M239" s="13" t="n">
        <v>603.50016</v>
      </c>
      <c r="N239" s="12" t="n">
        <f aca="false">IF(H239="","",$C$3-H239)</f>
        <v>30</v>
      </c>
      <c r="O239" s="9" t="str">
        <f aca="false">IF(AND(L239&lt;=$C$4,M239&lt;=$E$4),"&lt;=150pc &amp; &lt;=10kg",IF(N239="","TANPA TGL",IF(N239&lt;=5,"&lt;= 5 HARI",IF(N239&lt;=7,"&lt;= 7 HARI",IF(N239&lt;=14,"&lt;= 14 HARI","&gt; 14 HARI")))))</f>
        <v>&gt; 14 HARI</v>
      </c>
      <c r="P239" s="9"/>
      <c r="Q239" s="9" t="s">
        <v>37</v>
      </c>
      <c r="R239" s="9" t="s">
        <v>38</v>
      </c>
    </row>
    <row r="240" customFormat="false" ht="15" hidden="false" customHeight="false" outlineLevel="0" collapsed="false">
      <c r="A240" s="9" t="n">
        <v>235</v>
      </c>
      <c r="B240" s="9" t="s">
        <v>1037</v>
      </c>
      <c r="C240" s="9" t="s">
        <v>1064</v>
      </c>
      <c r="D240" s="9" t="s">
        <v>1065</v>
      </c>
      <c r="E240" s="10" t="n">
        <v>0.37218</v>
      </c>
      <c r="F240" s="9" t="s">
        <v>1066</v>
      </c>
      <c r="G240" s="9" t="s">
        <v>1067</v>
      </c>
      <c r="H240" s="11" t="n">
        <v>46216</v>
      </c>
      <c r="I240" s="12" t="n">
        <v>5000</v>
      </c>
      <c r="J240" s="12" t="n">
        <v>551</v>
      </c>
      <c r="K240" s="13" t="n">
        <v>205.07118</v>
      </c>
      <c r="L240" s="12" t="n">
        <v>551</v>
      </c>
      <c r="M240" s="13" t="n">
        <v>205.07118</v>
      </c>
      <c r="N240" s="12" t="n">
        <f aca="false">IF(H240="","",$C$3-H240)</f>
        <v>21</v>
      </c>
      <c r="O240" s="9" t="str">
        <f aca="false">IF(AND(L240&lt;=$C$4,M240&lt;=$E$4),"&lt;=150pc &amp; &lt;=10kg",IF(N240="","TANPA TGL",IF(N240&lt;=5,"&lt;= 5 HARI",IF(N240&lt;=7,"&lt;= 7 HARI",IF(N240&lt;=14,"&lt;= 14 HARI","&gt; 14 HARI")))))</f>
        <v>&gt; 14 HARI</v>
      </c>
      <c r="P240" s="9" t="s">
        <v>144</v>
      </c>
      <c r="Q240" s="9" t="s">
        <v>37</v>
      </c>
      <c r="R240" s="9" t="s">
        <v>38</v>
      </c>
    </row>
    <row r="241" customFormat="false" ht="15" hidden="false" customHeight="false" outlineLevel="0" collapsed="false">
      <c r="A241" s="9" t="n">
        <v>236</v>
      </c>
      <c r="B241" s="9" t="s">
        <v>1037</v>
      </c>
      <c r="C241" s="9" t="s">
        <v>1068</v>
      </c>
      <c r="D241" s="9" t="s">
        <v>1069</v>
      </c>
      <c r="E241" s="10" t="n">
        <v>0.6803</v>
      </c>
      <c r="F241" s="9" t="s">
        <v>1070</v>
      </c>
      <c r="G241" s="9" t="s">
        <v>1071</v>
      </c>
      <c r="H241" s="11" t="n">
        <v>46217</v>
      </c>
      <c r="I241" s="12" t="n">
        <v>5000</v>
      </c>
      <c r="J241" s="12" t="n">
        <v>320</v>
      </c>
      <c r="K241" s="13" t="n">
        <v>217.696</v>
      </c>
      <c r="L241" s="12" t="n">
        <v>320</v>
      </c>
      <c r="M241" s="13" t="n">
        <v>217.696</v>
      </c>
      <c r="N241" s="12" t="n">
        <f aca="false">IF(H241="","",$C$3-H241)</f>
        <v>20</v>
      </c>
      <c r="O241" s="9" t="str">
        <f aca="false">IF(AND(L241&lt;=$C$4,M241&lt;=$E$4),"&lt;=150pc &amp; &lt;=10kg",IF(N241="","TANPA TGL",IF(N241&lt;=5,"&lt;= 5 HARI",IF(N241&lt;=7,"&lt;= 7 HARI",IF(N241&lt;=14,"&lt;= 14 HARI","&gt; 14 HARI")))))</f>
        <v>&gt; 14 HARI</v>
      </c>
      <c r="P241" s="9"/>
      <c r="Q241" s="9" t="s">
        <v>37</v>
      </c>
      <c r="R241" s="9" t="s">
        <v>38</v>
      </c>
    </row>
    <row r="242" customFormat="false" ht="15" hidden="false" customHeight="false" outlineLevel="0" collapsed="false">
      <c r="A242" s="9" t="n">
        <v>237</v>
      </c>
      <c r="B242" s="9" t="s">
        <v>1037</v>
      </c>
      <c r="C242" s="9" t="s">
        <v>1072</v>
      </c>
      <c r="D242" s="9" t="s">
        <v>1073</v>
      </c>
      <c r="E242" s="10" t="n">
        <v>0.33964</v>
      </c>
      <c r="F242" s="9" t="s">
        <v>1074</v>
      </c>
      <c r="G242" s="9" t="s">
        <v>1075</v>
      </c>
      <c r="H242" s="11" t="n">
        <v>46235</v>
      </c>
      <c r="I242" s="12" t="n">
        <v>10000</v>
      </c>
      <c r="J242" s="12" t="n">
        <v>0</v>
      </c>
      <c r="K242" s="13" t="n">
        <v>0</v>
      </c>
      <c r="L242" s="12" t="n">
        <v>560</v>
      </c>
      <c r="M242" s="13" t="n">
        <v>190.1984</v>
      </c>
      <c r="N242" s="12" t="n">
        <f aca="false">IF(H242="","",$C$3-H242)</f>
        <v>2</v>
      </c>
      <c r="O242" s="9" t="str">
        <f aca="false">IF(AND(L242&lt;=$C$4,M242&lt;=$E$4),"&lt;=150pc &amp; &lt;=10kg",IF(N242="","TANPA TGL",IF(N242&lt;=5,"&lt;= 5 HARI",IF(N242&lt;=7,"&lt;= 7 HARI",IF(N242&lt;=14,"&lt;= 14 HARI","&gt; 14 HARI")))))</f>
        <v>&lt;= 5 HARI</v>
      </c>
      <c r="P242" s="9" t="s">
        <v>77</v>
      </c>
      <c r="Q242" s="9" t="s">
        <v>37</v>
      </c>
      <c r="R242" s="9" t="s">
        <v>38</v>
      </c>
    </row>
    <row r="243" customFormat="false" ht="15" hidden="false" customHeight="false" outlineLevel="0" collapsed="false">
      <c r="A243" s="9" t="n">
        <v>238</v>
      </c>
      <c r="B243" s="9" t="s">
        <v>1037</v>
      </c>
      <c r="C243" s="9" t="s">
        <v>1076</v>
      </c>
      <c r="D243" s="9" t="s">
        <v>1077</v>
      </c>
      <c r="E243" s="10" t="n">
        <v>0.44725</v>
      </c>
      <c r="F243" s="9" t="s">
        <v>1078</v>
      </c>
      <c r="G243" s="9" t="s">
        <v>1079</v>
      </c>
      <c r="H243" s="11" t="n">
        <v>46234</v>
      </c>
      <c r="I243" s="12" t="n">
        <v>20000</v>
      </c>
      <c r="J243" s="12" t="n">
        <v>10509</v>
      </c>
      <c r="K243" s="13" t="n">
        <v>4700.15025</v>
      </c>
      <c r="L243" s="12" t="n">
        <v>10509</v>
      </c>
      <c r="M243" s="13" t="n">
        <v>4700.15025</v>
      </c>
      <c r="N243" s="12" t="n">
        <f aca="false">IF(H243="","",$C$3-H243)</f>
        <v>3</v>
      </c>
      <c r="O243" s="9" t="str">
        <f aca="false">IF(AND(L243&lt;=$C$4,M243&lt;=$E$4),"&lt;=150pc &amp; &lt;=10kg",IF(N243="","TANPA TGL",IF(N243&lt;=5,"&lt;= 5 HARI",IF(N243&lt;=7,"&lt;= 7 HARI",IF(N243&lt;=14,"&lt;= 14 HARI","&gt; 14 HARI")))))</f>
        <v>&lt;= 5 HARI</v>
      </c>
      <c r="P243" s="9"/>
      <c r="Q243" s="9" t="s">
        <v>37</v>
      </c>
      <c r="R243" s="9" t="s">
        <v>38</v>
      </c>
    </row>
    <row r="244" customFormat="false" ht="15" hidden="false" customHeight="false" outlineLevel="0" collapsed="false">
      <c r="A244" s="9" t="n">
        <v>239</v>
      </c>
      <c r="B244" s="9" t="s">
        <v>1037</v>
      </c>
      <c r="C244" s="9" t="s">
        <v>1080</v>
      </c>
      <c r="D244" s="9" t="s">
        <v>1081</v>
      </c>
      <c r="E244" s="10" t="n">
        <v>0.31839</v>
      </c>
      <c r="F244" s="9" t="s">
        <v>1082</v>
      </c>
      <c r="G244" s="9" t="s">
        <v>1083</v>
      </c>
      <c r="H244" s="11" t="n">
        <v>46236</v>
      </c>
      <c r="I244" s="12" t="n">
        <v>8000</v>
      </c>
      <c r="J244" s="12" t="n">
        <v>0</v>
      </c>
      <c r="K244" s="13" t="n">
        <v>0</v>
      </c>
      <c r="L244" s="12" t="n">
        <v>3040</v>
      </c>
      <c r="M244" s="13" t="n">
        <v>967.9056</v>
      </c>
      <c r="N244" s="12" t="n">
        <f aca="false">IF(H244="","",$C$3-H244)</f>
        <v>1</v>
      </c>
      <c r="O244" s="9" t="str">
        <f aca="false">IF(AND(L244&lt;=$C$4,M244&lt;=$E$4),"&lt;=150pc &amp; &lt;=10kg",IF(N244="","TANPA TGL",IF(N244&lt;=5,"&lt;= 5 HARI",IF(N244&lt;=7,"&lt;= 7 HARI",IF(N244&lt;=14,"&lt;= 14 HARI","&gt; 14 HARI")))))</f>
        <v>&lt;= 5 HARI</v>
      </c>
      <c r="P244" s="9" t="s">
        <v>77</v>
      </c>
      <c r="Q244" s="9" t="s">
        <v>37</v>
      </c>
      <c r="R244" s="9" t="s">
        <v>38</v>
      </c>
    </row>
    <row r="245" customFormat="false" ht="15" hidden="false" customHeight="false" outlineLevel="0" collapsed="false">
      <c r="A245" s="9" t="n">
        <v>240</v>
      </c>
      <c r="B245" s="9" t="s">
        <v>1037</v>
      </c>
      <c r="C245" s="9" t="s">
        <v>1084</v>
      </c>
      <c r="D245" s="9" t="s">
        <v>1085</v>
      </c>
      <c r="E245" s="10" t="n">
        <v>0.39227</v>
      </c>
      <c r="F245" s="9" t="s">
        <v>1086</v>
      </c>
      <c r="G245" s="9" t="s">
        <v>1087</v>
      </c>
      <c r="H245" s="11" t="n">
        <v>46235</v>
      </c>
      <c r="I245" s="12" t="n">
        <v>6000</v>
      </c>
      <c r="J245" s="12" t="n">
        <v>500</v>
      </c>
      <c r="K245" s="13" t="n">
        <v>196.135</v>
      </c>
      <c r="L245" s="12" t="n">
        <v>1780</v>
      </c>
      <c r="M245" s="13" t="n">
        <v>698.2406</v>
      </c>
      <c r="N245" s="12" t="n">
        <f aca="false">IF(H245="","",$C$3-H245)</f>
        <v>2</v>
      </c>
      <c r="O245" s="9" t="str">
        <f aca="false">IF(AND(L245&lt;=$C$4,M245&lt;=$E$4),"&lt;=150pc &amp; &lt;=10kg",IF(N245="","TANPA TGL",IF(N245&lt;=5,"&lt;= 5 HARI",IF(N245&lt;=7,"&lt;= 7 HARI",IF(N245&lt;=14,"&lt;= 14 HARI","&gt; 14 HARI")))))</f>
        <v>&lt;= 5 HARI</v>
      </c>
      <c r="P245" s="9" t="s">
        <v>144</v>
      </c>
      <c r="Q245" s="9" t="s">
        <v>37</v>
      </c>
      <c r="R245" s="9" t="s">
        <v>38</v>
      </c>
    </row>
    <row r="246" customFormat="false" ht="15" hidden="false" customHeight="false" outlineLevel="0" collapsed="false">
      <c r="A246" s="9" t="n">
        <v>241</v>
      </c>
      <c r="B246" s="9" t="s">
        <v>1037</v>
      </c>
      <c r="C246" s="9" t="s">
        <v>1088</v>
      </c>
      <c r="D246" s="9" t="s">
        <v>1089</v>
      </c>
      <c r="E246" s="10" t="n">
        <v>0.31052</v>
      </c>
      <c r="F246" s="9" t="s">
        <v>1090</v>
      </c>
      <c r="G246" s="9" t="s">
        <v>1091</v>
      </c>
      <c r="H246" s="11" t="n">
        <v>46235</v>
      </c>
      <c r="I246" s="12" t="n">
        <v>13000</v>
      </c>
      <c r="J246" s="12" t="n">
        <v>0</v>
      </c>
      <c r="K246" s="13" t="n">
        <v>0</v>
      </c>
      <c r="L246" s="12" t="n">
        <v>1360</v>
      </c>
      <c r="M246" s="13" t="n">
        <v>422.3072</v>
      </c>
      <c r="N246" s="12" t="n">
        <f aca="false">IF(H246="","",$C$3-H246)</f>
        <v>2</v>
      </c>
      <c r="O246" s="9" t="str">
        <f aca="false">IF(AND(L246&lt;=$C$4,M246&lt;=$E$4),"&lt;=150pc &amp; &lt;=10kg",IF(N246="","TANPA TGL",IF(N246&lt;=5,"&lt;= 5 HARI",IF(N246&lt;=7,"&lt;= 7 HARI",IF(N246&lt;=14,"&lt;= 14 HARI","&gt; 14 HARI")))))</f>
        <v>&lt;= 5 HARI</v>
      </c>
      <c r="P246" s="9" t="s">
        <v>144</v>
      </c>
      <c r="Q246" s="9" t="s">
        <v>37</v>
      </c>
      <c r="R246" s="9" t="s">
        <v>38</v>
      </c>
    </row>
    <row r="247" customFormat="false" ht="15" hidden="false" customHeight="false" outlineLevel="0" collapsed="false">
      <c r="A247" s="9" t="n">
        <v>242</v>
      </c>
      <c r="B247" s="9" t="s">
        <v>1037</v>
      </c>
      <c r="C247" s="9" t="s">
        <v>1092</v>
      </c>
      <c r="D247" s="9" t="s">
        <v>1065</v>
      </c>
      <c r="E247" s="10" t="n">
        <v>0.37218</v>
      </c>
      <c r="F247" s="9" t="s">
        <v>1093</v>
      </c>
      <c r="G247" s="9" t="s">
        <v>1094</v>
      </c>
      <c r="H247" s="11" t="n">
        <v>46234</v>
      </c>
      <c r="I247" s="12" t="n">
        <v>10000</v>
      </c>
      <c r="J247" s="12" t="n">
        <v>620</v>
      </c>
      <c r="K247" s="13" t="n">
        <v>230.7516</v>
      </c>
      <c r="L247" s="12" t="n">
        <v>620</v>
      </c>
      <c r="M247" s="13" t="n">
        <v>230.7516</v>
      </c>
      <c r="N247" s="12" t="n">
        <f aca="false">IF(H247="","",$C$3-H247)</f>
        <v>3</v>
      </c>
      <c r="O247" s="9" t="str">
        <f aca="false">IF(AND(L247&lt;=$C$4,M247&lt;=$E$4),"&lt;=150pc &amp; &lt;=10kg",IF(N247="","TANPA TGL",IF(N247&lt;=5,"&lt;= 5 HARI",IF(N247&lt;=7,"&lt;= 7 HARI",IF(N247&lt;=14,"&lt;= 14 HARI","&gt; 14 HARI")))))</f>
        <v>&lt;= 5 HARI</v>
      </c>
      <c r="P247" s="9" t="s">
        <v>77</v>
      </c>
      <c r="Q247" s="9" t="s">
        <v>37</v>
      </c>
      <c r="R247" s="9" t="s">
        <v>38</v>
      </c>
    </row>
    <row r="248" customFormat="false" ht="15" hidden="false" customHeight="false" outlineLevel="0" collapsed="false">
      <c r="A248" s="9" t="n">
        <v>243</v>
      </c>
      <c r="B248" s="9" t="s">
        <v>1037</v>
      </c>
      <c r="C248" s="9" t="s">
        <v>1095</v>
      </c>
      <c r="D248" s="9" t="s">
        <v>1096</v>
      </c>
      <c r="E248" s="10" t="n">
        <v>0.65216</v>
      </c>
      <c r="F248" s="9" t="s">
        <v>1097</v>
      </c>
      <c r="G248" s="9" t="s">
        <v>1098</v>
      </c>
      <c r="H248" s="11" t="n">
        <v>46233</v>
      </c>
      <c r="I248" s="12" t="n">
        <v>5000</v>
      </c>
      <c r="J248" s="12" t="n">
        <v>1580</v>
      </c>
      <c r="K248" s="13" t="n">
        <v>1030.4128</v>
      </c>
      <c r="L248" s="12" t="n">
        <v>1580</v>
      </c>
      <c r="M248" s="13" t="n">
        <v>1030.4128</v>
      </c>
      <c r="N248" s="12" t="n">
        <f aca="false">IF(H248="","",$C$3-H248)</f>
        <v>4</v>
      </c>
      <c r="O248" s="9" t="str">
        <f aca="false">IF(AND(L248&lt;=$C$4,M248&lt;=$E$4),"&lt;=150pc &amp; &lt;=10kg",IF(N248="","TANPA TGL",IF(N248&lt;=5,"&lt;= 5 HARI",IF(N248&lt;=7,"&lt;= 7 HARI",IF(N248&lt;=14,"&lt;= 14 HARI","&gt; 14 HARI")))))</f>
        <v>&lt;= 5 HARI</v>
      </c>
      <c r="P248" s="9" t="s">
        <v>144</v>
      </c>
      <c r="Q248" s="9" t="s">
        <v>37</v>
      </c>
      <c r="R248" s="9" t="s">
        <v>38</v>
      </c>
    </row>
    <row r="249" customFormat="false" ht="15" hidden="false" customHeight="false" outlineLevel="0" collapsed="false">
      <c r="A249" s="9" t="n">
        <v>244</v>
      </c>
      <c r="B249" s="9" t="s">
        <v>1037</v>
      </c>
      <c r="C249" s="9" t="s">
        <v>1099</v>
      </c>
      <c r="D249" s="9" t="s">
        <v>1100</v>
      </c>
      <c r="E249" s="10" t="n">
        <v>0.45705</v>
      </c>
      <c r="F249" s="9" t="s">
        <v>1101</v>
      </c>
      <c r="G249" s="9" t="s">
        <v>1102</v>
      </c>
      <c r="H249" s="11" t="n">
        <v>46235</v>
      </c>
      <c r="I249" s="12" t="n">
        <v>5000</v>
      </c>
      <c r="J249" s="12" t="n">
        <v>80</v>
      </c>
      <c r="K249" s="13" t="n">
        <v>36.564</v>
      </c>
      <c r="L249" s="12" t="n">
        <v>5231</v>
      </c>
      <c r="M249" s="13" t="n">
        <v>2390.82855</v>
      </c>
      <c r="N249" s="12" t="n">
        <f aca="false">IF(H249="","",$C$3-H249)</f>
        <v>2</v>
      </c>
      <c r="O249" s="9" t="str">
        <f aca="false">IF(AND(L249&lt;=$C$4,M249&lt;=$E$4),"&lt;=150pc &amp; &lt;=10kg",IF(N249="","TANPA TGL",IF(N249&lt;=5,"&lt;= 5 HARI",IF(N249&lt;=7,"&lt;= 7 HARI",IF(N249&lt;=14,"&lt;= 14 HARI","&gt; 14 HARI")))))</f>
        <v>&lt;= 5 HARI</v>
      </c>
      <c r="P249" s="9"/>
      <c r="Q249" s="9" t="s">
        <v>37</v>
      </c>
      <c r="R249" s="9" t="s">
        <v>38</v>
      </c>
    </row>
    <row r="250" customFormat="false" ht="15" hidden="false" customHeight="false" outlineLevel="0" collapsed="false">
      <c r="A250" s="9" t="n">
        <v>245</v>
      </c>
      <c r="B250" s="9" t="s">
        <v>1037</v>
      </c>
      <c r="C250" s="9" t="s">
        <v>1103</v>
      </c>
      <c r="D250" s="9" t="s">
        <v>1104</v>
      </c>
      <c r="E250" s="10" t="n">
        <v>0.30283</v>
      </c>
      <c r="F250" s="9" t="s">
        <v>1105</v>
      </c>
      <c r="G250" s="9" t="s">
        <v>1106</v>
      </c>
      <c r="H250" s="11" t="n">
        <v>46229</v>
      </c>
      <c r="I250" s="12" t="n">
        <v>5000</v>
      </c>
      <c r="J250" s="12" t="n">
        <v>137</v>
      </c>
      <c r="K250" s="13" t="n">
        <v>41.48771</v>
      </c>
      <c r="L250" s="12" t="n">
        <v>137</v>
      </c>
      <c r="M250" s="13" t="n">
        <v>41.48771</v>
      </c>
      <c r="N250" s="12" t="n">
        <f aca="false">IF(H250="","",$C$3-H250)</f>
        <v>8</v>
      </c>
      <c r="O250" s="9" t="str">
        <f aca="false">IF(AND(L250&lt;=$C$4,M250&lt;=$E$4),"&lt;=150pc &amp; &lt;=10kg",IF(N250="","TANPA TGL",IF(N250&lt;=5,"&lt;= 5 HARI",IF(N250&lt;=7,"&lt;= 7 HARI",IF(N250&lt;=14,"&lt;= 14 HARI","&gt; 14 HARI")))))</f>
        <v>&lt;= 14 HARI</v>
      </c>
      <c r="P250" s="9"/>
      <c r="Q250" s="9" t="s">
        <v>37</v>
      </c>
      <c r="R250" s="9" t="s">
        <v>38</v>
      </c>
    </row>
    <row r="251" customFormat="false" ht="15" hidden="false" customHeight="false" outlineLevel="0" collapsed="false">
      <c r="A251" s="9" t="n">
        <v>246</v>
      </c>
      <c r="B251" s="9" t="s">
        <v>1037</v>
      </c>
      <c r="C251" s="9" t="s">
        <v>1107</v>
      </c>
      <c r="D251" s="9" t="s">
        <v>1108</v>
      </c>
      <c r="E251" s="10" t="n">
        <v>0.18638</v>
      </c>
      <c r="F251" s="9" t="s">
        <v>1109</v>
      </c>
      <c r="G251" s="9" t="s">
        <v>1110</v>
      </c>
      <c r="H251" s="11" t="n">
        <v>46234</v>
      </c>
      <c r="I251" s="12" t="n">
        <v>135000</v>
      </c>
      <c r="J251" s="12" t="n">
        <v>26040</v>
      </c>
      <c r="K251" s="13" t="n">
        <v>4853.3352</v>
      </c>
      <c r="L251" s="12" t="n">
        <v>840</v>
      </c>
      <c r="M251" s="13" t="n">
        <v>156.5592</v>
      </c>
      <c r="N251" s="12" t="n">
        <f aca="false">IF(H251="","",$C$3-H251)</f>
        <v>3</v>
      </c>
      <c r="O251" s="9" t="str">
        <f aca="false">IF(AND(L251&lt;=$C$4,M251&lt;=$E$4),"&lt;=150pc &amp; &lt;=10kg",IF(N251="","TANPA TGL",IF(N251&lt;=5,"&lt;= 5 HARI",IF(N251&lt;=7,"&lt;= 7 HARI",IF(N251&lt;=14,"&lt;= 14 HARI","&gt; 14 HARI")))))</f>
        <v>&lt;= 5 HARI</v>
      </c>
      <c r="P251" s="9" t="s">
        <v>77</v>
      </c>
      <c r="Q251" s="9" t="s">
        <v>37</v>
      </c>
      <c r="R251" s="9" t="s">
        <v>38</v>
      </c>
    </row>
    <row r="252" customFormat="false" ht="15" hidden="false" customHeight="false" outlineLevel="0" collapsed="false">
      <c r="A252" s="9" t="n">
        <v>247</v>
      </c>
      <c r="B252" s="9" t="s">
        <v>1037</v>
      </c>
      <c r="C252" s="9" t="s">
        <v>1111</v>
      </c>
      <c r="D252" s="9" t="s">
        <v>1112</v>
      </c>
      <c r="E252" s="10" t="n">
        <v>0.2924</v>
      </c>
      <c r="F252" s="9" t="s">
        <v>1113</v>
      </c>
      <c r="G252" s="9" t="s">
        <v>1114</v>
      </c>
      <c r="H252" s="11" t="n">
        <v>46235</v>
      </c>
      <c r="I252" s="12" t="n">
        <v>100000</v>
      </c>
      <c r="J252" s="12" t="n">
        <v>14060</v>
      </c>
      <c r="K252" s="13" t="n">
        <v>4111.144</v>
      </c>
      <c r="L252" s="12" t="n">
        <v>17640</v>
      </c>
      <c r="M252" s="13" t="n">
        <v>5157.936</v>
      </c>
      <c r="N252" s="12" t="n">
        <f aca="false">IF(H252="","",$C$3-H252)</f>
        <v>2</v>
      </c>
      <c r="O252" s="9" t="str">
        <f aca="false">IF(AND(L252&lt;=$C$4,M252&lt;=$E$4),"&lt;=150pc &amp; &lt;=10kg",IF(N252="","TANPA TGL",IF(N252&lt;=5,"&lt;= 5 HARI",IF(N252&lt;=7,"&lt;= 7 HARI",IF(N252&lt;=14,"&lt;= 14 HARI","&gt; 14 HARI")))))</f>
        <v>&lt;= 5 HARI</v>
      </c>
      <c r="P252" s="9" t="s">
        <v>144</v>
      </c>
      <c r="Q252" s="9" t="s">
        <v>37</v>
      </c>
      <c r="R252" s="9" t="s">
        <v>38</v>
      </c>
    </row>
    <row r="253" customFormat="false" ht="15" hidden="false" customHeight="false" outlineLevel="0" collapsed="false">
      <c r="A253" s="9" t="n">
        <v>248</v>
      </c>
      <c r="B253" s="9" t="s">
        <v>1037</v>
      </c>
      <c r="C253" s="9" t="s">
        <v>1115</v>
      </c>
      <c r="D253" s="9" t="s">
        <v>1116</v>
      </c>
      <c r="E253" s="10" t="n">
        <v>0.32298</v>
      </c>
      <c r="F253" s="9" t="s">
        <v>1117</v>
      </c>
      <c r="G253" s="9" t="s">
        <v>1118</v>
      </c>
      <c r="H253" s="11" t="n">
        <v>46234</v>
      </c>
      <c r="I253" s="12" t="n">
        <v>100000</v>
      </c>
      <c r="J253" s="12" t="n">
        <v>24620</v>
      </c>
      <c r="K253" s="13" t="n">
        <v>7951.7676</v>
      </c>
      <c r="L253" s="12" t="n">
        <v>860</v>
      </c>
      <c r="M253" s="13" t="n">
        <v>277.7628</v>
      </c>
      <c r="N253" s="12" t="n">
        <f aca="false">IF(H253="","",$C$3-H253)</f>
        <v>3</v>
      </c>
      <c r="O253" s="9" t="str">
        <f aca="false">IF(AND(L253&lt;=$C$4,M253&lt;=$E$4),"&lt;=150pc &amp; &lt;=10kg",IF(N253="","TANPA TGL",IF(N253&lt;=5,"&lt;= 5 HARI",IF(N253&lt;=7,"&lt;= 7 HARI",IF(N253&lt;=14,"&lt;= 14 HARI","&gt; 14 HARI")))))</f>
        <v>&lt;= 5 HARI</v>
      </c>
      <c r="P253" s="9" t="s">
        <v>144</v>
      </c>
      <c r="Q253" s="9" t="s">
        <v>37</v>
      </c>
      <c r="R253" s="9" t="s">
        <v>38</v>
      </c>
    </row>
    <row r="254" customFormat="false" ht="15" hidden="false" customHeight="false" outlineLevel="0" collapsed="false">
      <c r="A254" s="9" t="n">
        <v>249</v>
      </c>
      <c r="B254" s="9" t="s">
        <v>1037</v>
      </c>
      <c r="C254" s="9" t="s">
        <v>1119</v>
      </c>
      <c r="D254" s="9" t="s">
        <v>1120</v>
      </c>
      <c r="E254" s="10" t="n">
        <v>0.18993</v>
      </c>
      <c r="F254" s="9" t="s">
        <v>1121</v>
      </c>
      <c r="G254" s="9" t="s">
        <v>1122</v>
      </c>
      <c r="H254" s="11" t="n">
        <v>46234</v>
      </c>
      <c r="I254" s="12" t="n">
        <v>680000</v>
      </c>
      <c r="J254" s="12" t="n">
        <v>19735</v>
      </c>
      <c r="K254" s="13" t="n">
        <v>3748.26855</v>
      </c>
      <c r="L254" s="12" t="n">
        <v>19735</v>
      </c>
      <c r="M254" s="13" t="n">
        <v>3748.26855</v>
      </c>
      <c r="N254" s="12" t="n">
        <f aca="false">IF(H254="","",$C$3-H254)</f>
        <v>3</v>
      </c>
      <c r="O254" s="9" t="str">
        <f aca="false">IF(AND(L254&lt;=$C$4,M254&lt;=$E$4),"&lt;=150pc &amp; &lt;=10kg",IF(N254="","TANPA TGL",IF(N254&lt;=5,"&lt;= 5 HARI",IF(N254&lt;=7,"&lt;= 7 HARI",IF(N254&lt;=14,"&lt;= 14 HARI","&gt; 14 HARI")))))</f>
        <v>&lt;= 5 HARI</v>
      </c>
      <c r="P254" s="9"/>
      <c r="Q254" s="9" t="s">
        <v>37</v>
      </c>
      <c r="R254" s="9" t="s">
        <v>38</v>
      </c>
    </row>
    <row r="255" customFormat="false" ht="15" hidden="false" customHeight="false" outlineLevel="0" collapsed="false">
      <c r="A255" s="9" t="n">
        <v>250</v>
      </c>
      <c r="B255" s="9" t="s">
        <v>1037</v>
      </c>
      <c r="C255" s="9" t="s">
        <v>1123</v>
      </c>
      <c r="D255" s="9" t="s">
        <v>1124</v>
      </c>
      <c r="E255" s="10" t="n">
        <v>0.17691</v>
      </c>
      <c r="F255" s="9" t="s">
        <v>1125</v>
      </c>
      <c r="G255" s="9" t="s">
        <v>1126</v>
      </c>
      <c r="H255" s="11" t="n">
        <v>46235</v>
      </c>
      <c r="I255" s="12" t="n">
        <v>235000</v>
      </c>
      <c r="J255" s="12" t="n">
        <v>0</v>
      </c>
      <c r="K255" s="13" t="n">
        <v>0</v>
      </c>
      <c r="L255" s="12" t="n">
        <v>20480</v>
      </c>
      <c r="M255" s="13" t="n">
        <v>3623.1168</v>
      </c>
      <c r="N255" s="12" t="n">
        <f aca="false">IF(H255="","",$C$3-H255)</f>
        <v>2</v>
      </c>
      <c r="O255" s="9" t="str">
        <f aca="false">IF(AND(L255&lt;=$C$4,M255&lt;=$E$4),"&lt;=150pc &amp; &lt;=10kg",IF(N255="","TANPA TGL",IF(N255&lt;=5,"&lt;= 5 HARI",IF(N255&lt;=7,"&lt;= 7 HARI",IF(N255&lt;=14,"&lt;= 14 HARI","&gt; 14 HARI")))))</f>
        <v>&lt;= 5 HARI</v>
      </c>
      <c r="P255" s="9"/>
      <c r="Q255" s="9" t="s">
        <v>37</v>
      </c>
      <c r="R255" s="9" t="s">
        <v>38</v>
      </c>
    </row>
    <row r="256" customFormat="false" ht="15" hidden="false" customHeight="false" outlineLevel="0" collapsed="false">
      <c r="A256" s="9" t="n">
        <v>251</v>
      </c>
      <c r="B256" s="9" t="s">
        <v>1037</v>
      </c>
      <c r="C256" s="9" t="s">
        <v>1127</v>
      </c>
      <c r="D256" s="9" t="s">
        <v>1108</v>
      </c>
      <c r="E256" s="10" t="n">
        <v>0.18638</v>
      </c>
      <c r="F256" s="9" t="s">
        <v>1128</v>
      </c>
      <c r="G256" s="9" t="s">
        <v>1129</v>
      </c>
      <c r="H256" s="11" t="n">
        <v>46236</v>
      </c>
      <c r="I256" s="12" t="n">
        <v>120000</v>
      </c>
      <c r="J256" s="12" t="n">
        <v>0</v>
      </c>
      <c r="K256" s="13" t="n">
        <v>0</v>
      </c>
      <c r="L256" s="12" t="n">
        <v>9780</v>
      </c>
      <c r="M256" s="13" t="n">
        <v>1822.7964</v>
      </c>
      <c r="N256" s="12" t="n">
        <f aca="false">IF(H256="","",$C$3-H256)</f>
        <v>1</v>
      </c>
      <c r="O256" s="9" t="str">
        <f aca="false">IF(AND(L256&lt;=$C$4,M256&lt;=$E$4),"&lt;=150pc &amp; &lt;=10kg",IF(N256="","TANPA TGL",IF(N256&lt;=5,"&lt;= 5 HARI",IF(N256&lt;=7,"&lt;= 7 HARI",IF(N256&lt;=14,"&lt;= 14 HARI","&gt; 14 HARI")))))</f>
        <v>&lt;= 5 HARI</v>
      </c>
      <c r="P256" s="9" t="s">
        <v>144</v>
      </c>
      <c r="Q256" s="9" t="s">
        <v>37</v>
      </c>
      <c r="R256" s="9" t="s">
        <v>38</v>
      </c>
    </row>
    <row r="257" customFormat="false" ht="15" hidden="false" customHeight="false" outlineLevel="0" collapsed="false">
      <c r="A257" s="9" t="n">
        <v>252</v>
      </c>
      <c r="B257" s="9" t="s">
        <v>1037</v>
      </c>
      <c r="C257" s="9" t="s">
        <v>1130</v>
      </c>
      <c r="D257" s="9" t="s">
        <v>1131</v>
      </c>
      <c r="E257" s="10" t="n">
        <v>0.4207</v>
      </c>
      <c r="F257" s="9" t="s">
        <v>1132</v>
      </c>
      <c r="G257" s="9" t="s">
        <v>1133</v>
      </c>
      <c r="H257" s="11" t="n">
        <v>46231</v>
      </c>
      <c r="I257" s="12" t="n">
        <v>20000</v>
      </c>
      <c r="J257" s="12" t="n">
        <v>1780</v>
      </c>
      <c r="K257" s="13" t="n">
        <v>748.846</v>
      </c>
      <c r="L257" s="12" t="n">
        <v>1780</v>
      </c>
      <c r="M257" s="13" t="n">
        <v>748.846</v>
      </c>
      <c r="N257" s="12" t="n">
        <f aca="false">IF(H257="","",$C$3-H257)</f>
        <v>6</v>
      </c>
      <c r="O257" s="9" t="str">
        <f aca="false">IF(AND(L257&lt;=$C$4,M257&lt;=$E$4),"&lt;=150pc &amp; &lt;=10kg",IF(N257="","TANPA TGL",IF(N257&lt;=5,"&lt;= 5 HARI",IF(N257&lt;=7,"&lt;= 7 HARI",IF(N257&lt;=14,"&lt;= 14 HARI","&gt; 14 HARI")))))</f>
        <v>&lt;= 7 HARI</v>
      </c>
      <c r="P257" s="9" t="s">
        <v>144</v>
      </c>
      <c r="Q257" s="9" t="s">
        <v>37</v>
      </c>
      <c r="R257" s="9" t="s">
        <v>38</v>
      </c>
    </row>
    <row r="258" customFormat="false" ht="15" hidden="false" customHeight="false" outlineLevel="0" collapsed="false">
      <c r="A258" s="9" t="n">
        <v>253</v>
      </c>
      <c r="B258" s="9" t="s">
        <v>1037</v>
      </c>
      <c r="C258" s="9" t="s">
        <v>1134</v>
      </c>
      <c r="D258" s="9" t="s">
        <v>1135</v>
      </c>
      <c r="E258" s="10" t="n">
        <v>0.19213</v>
      </c>
      <c r="F258" s="9" t="s">
        <v>1136</v>
      </c>
      <c r="G258" s="9" t="s">
        <v>1137</v>
      </c>
      <c r="H258" s="11" t="n">
        <v>46235</v>
      </c>
      <c r="I258" s="12" t="n">
        <v>5000</v>
      </c>
      <c r="J258" s="12" t="n">
        <v>0</v>
      </c>
      <c r="K258" s="13" t="n">
        <v>0</v>
      </c>
      <c r="L258" s="12" t="n">
        <v>5100</v>
      </c>
      <c r="M258" s="13" t="n">
        <v>979.863</v>
      </c>
      <c r="N258" s="12" t="n">
        <f aca="false">IF(H258="","",$C$3-H258)</f>
        <v>2</v>
      </c>
      <c r="O258" s="9" t="str">
        <f aca="false">IF(AND(L258&lt;=$C$4,M258&lt;=$E$4),"&lt;=150pc &amp; &lt;=10kg",IF(N258="","TANPA TGL",IF(N258&lt;=5,"&lt;= 5 HARI",IF(N258&lt;=7,"&lt;= 7 HARI",IF(N258&lt;=14,"&lt;= 14 HARI","&gt; 14 HARI")))))</f>
        <v>&lt;= 5 HARI</v>
      </c>
      <c r="P258" s="9"/>
      <c r="Q258" s="9" t="s">
        <v>37</v>
      </c>
      <c r="R258" s="9" t="s">
        <v>38</v>
      </c>
    </row>
    <row r="259" customFormat="false" ht="15" hidden="false" customHeight="false" outlineLevel="0" collapsed="false">
      <c r="A259" s="9" t="n">
        <v>254</v>
      </c>
      <c r="B259" s="9" t="s">
        <v>1037</v>
      </c>
      <c r="C259" s="9" t="s">
        <v>1138</v>
      </c>
      <c r="D259" s="9" t="s">
        <v>1139</v>
      </c>
      <c r="E259" s="10" t="n">
        <v>0.17909</v>
      </c>
      <c r="F259" s="9" t="s">
        <v>1140</v>
      </c>
      <c r="G259" s="9" t="s">
        <v>1141</v>
      </c>
      <c r="H259" s="11" t="n">
        <v>46235</v>
      </c>
      <c r="I259" s="12" t="n">
        <v>6000</v>
      </c>
      <c r="J259" s="12" t="n">
        <v>1990</v>
      </c>
      <c r="K259" s="13" t="n">
        <v>356.3891</v>
      </c>
      <c r="L259" s="12" t="n">
        <v>8290</v>
      </c>
      <c r="M259" s="13" t="n">
        <v>1484.6561</v>
      </c>
      <c r="N259" s="12" t="n">
        <f aca="false">IF(H259="","",$C$3-H259)</f>
        <v>2</v>
      </c>
      <c r="O259" s="9" t="str">
        <f aca="false">IF(AND(L259&lt;=$C$4,M259&lt;=$E$4),"&lt;=150pc &amp; &lt;=10kg",IF(N259="","TANPA TGL",IF(N259&lt;=5,"&lt;= 5 HARI",IF(N259&lt;=7,"&lt;= 7 HARI",IF(N259&lt;=14,"&lt;= 14 HARI","&gt; 14 HARI")))))</f>
        <v>&lt;= 5 HARI</v>
      </c>
      <c r="P259" s="9"/>
      <c r="Q259" s="9" t="s">
        <v>37</v>
      </c>
      <c r="R259" s="9" t="s">
        <v>38</v>
      </c>
    </row>
    <row r="260" customFormat="false" ht="15" hidden="false" customHeight="false" outlineLevel="0" collapsed="false">
      <c r="A260" s="9" t="n">
        <v>255</v>
      </c>
      <c r="B260" s="9" t="s">
        <v>1037</v>
      </c>
      <c r="C260" s="9" t="s">
        <v>1142</v>
      </c>
      <c r="D260" s="9" t="s">
        <v>1143</v>
      </c>
      <c r="E260" s="10" t="n">
        <v>0.13582</v>
      </c>
      <c r="F260" s="9" t="s">
        <v>1144</v>
      </c>
      <c r="G260" s="9" t="s">
        <v>1145</v>
      </c>
      <c r="H260" s="11" t="n">
        <v>46235</v>
      </c>
      <c r="I260" s="12" t="n">
        <v>5000</v>
      </c>
      <c r="J260" s="12" t="n">
        <v>0</v>
      </c>
      <c r="K260" s="13" t="n">
        <v>0</v>
      </c>
      <c r="L260" s="12" t="n">
        <v>14</v>
      </c>
      <c r="M260" s="13" t="n">
        <v>1.90148</v>
      </c>
      <c r="N260" s="12" t="n">
        <f aca="false">IF(H260="","",$C$3-H260)</f>
        <v>2</v>
      </c>
      <c r="O260" s="9" t="str">
        <f aca="false">IF(AND(L260&lt;=$C$4,M260&lt;=$E$4),"&lt;=150pc &amp; &lt;=10kg",IF(N260="","TANPA TGL",IF(N260&lt;=5,"&lt;= 5 HARI",IF(N260&lt;=7,"&lt;= 7 HARI",IF(N260&lt;=14,"&lt;= 14 HARI","&gt; 14 HARI")))))</f>
        <v>&lt;=150pc &amp; &lt;=10kg</v>
      </c>
      <c r="P260" s="9"/>
      <c r="Q260" s="9" t="s">
        <v>37</v>
      </c>
      <c r="R260" s="9" t="s">
        <v>38</v>
      </c>
    </row>
    <row r="261" customFormat="false" ht="15" hidden="false" customHeight="false" outlineLevel="0" collapsed="false">
      <c r="A261" s="9" t="n">
        <v>256</v>
      </c>
      <c r="B261" s="9" t="s">
        <v>1037</v>
      </c>
      <c r="C261" s="9" t="s">
        <v>1146</v>
      </c>
      <c r="D261" s="9" t="s">
        <v>1108</v>
      </c>
      <c r="E261" s="10" t="n">
        <v>0.18638</v>
      </c>
      <c r="F261" s="9" t="s">
        <v>1147</v>
      </c>
      <c r="G261" s="9" t="s">
        <v>1148</v>
      </c>
      <c r="H261" s="11" t="n">
        <v>46236</v>
      </c>
      <c r="I261" s="12" t="n">
        <v>5000</v>
      </c>
      <c r="J261" s="12" t="n">
        <v>1220</v>
      </c>
      <c r="K261" s="13" t="n">
        <v>227.3836</v>
      </c>
      <c r="L261" s="12" t="n">
        <v>5060</v>
      </c>
      <c r="M261" s="13" t="n">
        <v>943.0828</v>
      </c>
      <c r="N261" s="12" t="n">
        <f aca="false">IF(H261="","",$C$3-H261)</f>
        <v>1</v>
      </c>
      <c r="O261" s="9" t="str">
        <f aca="false">IF(AND(L261&lt;=$C$4,M261&lt;=$E$4),"&lt;=150pc &amp; &lt;=10kg",IF(N261="","TANPA TGL",IF(N261&lt;=5,"&lt;= 5 HARI",IF(N261&lt;=7,"&lt;= 7 HARI",IF(N261&lt;=14,"&lt;= 14 HARI","&gt; 14 HARI")))))</f>
        <v>&lt;= 5 HARI</v>
      </c>
      <c r="P261" s="9"/>
      <c r="Q261" s="9" t="s">
        <v>37</v>
      </c>
      <c r="R261" s="9" t="s">
        <v>38</v>
      </c>
    </row>
    <row r="262" customFormat="false" ht="15" hidden="false" customHeight="false" outlineLevel="0" collapsed="false">
      <c r="A262" s="9" t="n">
        <v>257</v>
      </c>
      <c r="B262" s="9" t="s">
        <v>1149</v>
      </c>
      <c r="C262" s="9" t="s">
        <v>1150</v>
      </c>
      <c r="D262" s="9" t="s">
        <v>1151</v>
      </c>
      <c r="E262" s="10" t="n">
        <v>0.1552</v>
      </c>
      <c r="F262" s="9" t="s">
        <v>1152</v>
      </c>
      <c r="G262" s="9" t="s">
        <v>1153</v>
      </c>
      <c r="H262" s="11" t="n">
        <v>46234</v>
      </c>
      <c r="I262" s="12" t="n">
        <v>213150</v>
      </c>
      <c r="J262" s="12" t="n">
        <v>22050</v>
      </c>
      <c r="K262" s="13" t="n">
        <v>3422.16</v>
      </c>
      <c r="L262" s="12" t="n">
        <v>22050</v>
      </c>
      <c r="M262" s="13" t="n">
        <v>3422.16</v>
      </c>
      <c r="N262" s="12" t="n">
        <f aca="false">IF(H262="","",$C$3-H262)</f>
        <v>3</v>
      </c>
      <c r="O262" s="9" t="str">
        <f aca="false">IF(AND(L262&lt;=$C$4,M262&lt;=$E$4),"&lt;=150pc &amp; &lt;=10kg",IF(N262="","TANPA TGL",IF(N262&lt;=5,"&lt;= 5 HARI",IF(N262&lt;=7,"&lt;= 7 HARI",IF(N262&lt;=14,"&lt;= 14 HARI","&gt; 14 HARI")))))</f>
        <v>&lt;= 5 HARI</v>
      </c>
      <c r="P262" s="9"/>
      <c r="Q262" s="9"/>
      <c r="R262" s="9"/>
    </row>
    <row r="263" customFormat="false" ht="15" hidden="false" customHeight="false" outlineLevel="0" collapsed="false">
      <c r="A263" s="9" t="n">
        <v>258</v>
      </c>
      <c r="B263" s="9" t="s">
        <v>1154</v>
      </c>
      <c r="C263" s="9" t="s">
        <v>1155</v>
      </c>
      <c r="D263" s="9" t="s">
        <v>1156</v>
      </c>
      <c r="E263" s="10" t="n">
        <v>0.13196</v>
      </c>
      <c r="F263" s="9" t="s">
        <v>1157</v>
      </c>
      <c r="G263" s="9" t="s">
        <v>1158</v>
      </c>
      <c r="H263" s="11" t="n">
        <v>46235</v>
      </c>
      <c r="I263" s="12" t="n">
        <v>137200</v>
      </c>
      <c r="J263" s="12" t="n">
        <v>46550</v>
      </c>
      <c r="K263" s="13" t="n">
        <v>6142.738</v>
      </c>
      <c r="L263" s="12" t="n">
        <v>0</v>
      </c>
      <c r="M263" s="13" t="n">
        <v>0</v>
      </c>
      <c r="N263" s="12" t="n">
        <f aca="false">IF(H263="","",$C$3-H263)</f>
        <v>2</v>
      </c>
      <c r="O263" s="9" t="str">
        <f aca="false">IF(AND(L263&lt;=$C$4,M263&lt;=$E$4),"&lt;=150pc &amp; &lt;=10kg",IF(N263="","TANPA TGL",IF(N263&lt;=5,"&lt;= 5 HARI",IF(N263&lt;=7,"&lt;= 7 HARI",IF(N263&lt;=14,"&lt;= 14 HARI","&gt; 14 HARI")))))</f>
        <v>&lt;=150pc &amp; &lt;=10kg</v>
      </c>
      <c r="P263" s="9"/>
      <c r="Q263" s="9" t="s">
        <v>37</v>
      </c>
      <c r="R263" s="9" t="s">
        <v>38</v>
      </c>
    </row>
    <row r="264" customFormat="false" ht="15" hidden="false" customHeight="false" outlineLevel="0" collapsed="false">
      <c r="A264" s="9" t="n">
        <v>259</v>
      </c>
      <c r="B264" s="9" t="s">
        <v>1154</v>
      </c>
      <c r="C264" s="9" t="s">
        <v>1159</v>
      </c>
      <c r="D264" s="9" t="s">
        <v>1151</v>
      </c>
      <c r="E264" s="10" t="n">
        <v>0.16643</v>
      </c>
      <c r="F264" s="9" t="s">
        <v>1160</v>
      </c>
      <c r="G264" s="9" t="s">
        <v>1161</v>
      </c>
      <c r="H264" s="11" t="n">
        <v>46234</v>
      </c>
      <c r="I264" s="12" t="n">
        <v>124200</v>
      </c>
      <c r="J264" s="12" t="n">
        <v>2450</v>
      </c>
      <c r="K264" s="13" t="n">
        <v>407.7535</v>
      </c>
      <c r="L264" s="12" t="n">
        <v>0</v>
      </c>
      <c r="M264" s="13" t="n">
        <v>0</v>
      </c>
      <c r="N264" s="12" t="n">
        <f aca="false">IF(H264="","",$C$3-H264)</f>
        <v>3</v>
      </c>
      <c r="O264" s="9" t="str">
        <f aca="false">IF(AND(L264&lt;=$C$4,M264&lt;=$E$4),"&lt;=150pc &amp; &lt;=10kg",IF(N264="","TANPA TGL",IF(N264&lt;=5,"&lt;= 5 HARI",IF(N264&lt;=7,"&lt;= 7 HARI",IF(N264&lt;=14,"&lt;= 14 HARI","&gt; 14 HARI")))))</f>
        <v>&lt;=150pc &amp; &lt;=10kg</v>
      </c>
      <c r="P264" s="9"/>
      <c r="Q264" s="9" t="s">
        <v>37</v>
      </c>
      <c r="R264" s="9" t="s">
        <v>38</v>
      </c>
    </row>
    <row r="265" customFormat="false" ht="15" hidden="false" customHeight="false" outlineLevel="0" collapsed="false">
      <c r="A265" s="9" t="n">
        <v>260</v>
      </c>
      <c r="B265" s="9" t="s">
        <v>1162</v>
      </c>
      <c r="C265" s="9" t="s">
        <v>1163</v>
      </c>
      <c r="D265" s="9" t="s">
        <v>1164</v>
      </c>
      <c r="E265" s="10" t="n">
        <v>0.31179</v>
      </c>
      <c r="F265" s="9" t="s">
        <v>1165</v>
      </c>
      <c r="G265" s="9" t="s">
        <v>1166</v>
      </c>
      <c r="H265" s="11" t="n">
        <v>46225</v>
      </c>
      <c r="I265" s="12" t="n">
        <v>7000</v>
      </c>
      <c r="J265" s="12" t="n">
        <v>2100</v>
      </c>
      <c r="K265" s="13" t="n">
        <v>654.759</v>
      </c>
      <c r="L265" s="12" t="n">
        <v>2100</v>
      </c>
      <c r="M265" s="13" t="n">
        <v>654.759</v>
      </c>
      <c r="N265" s="12" t="n">
        <f aca="false">IF(H265="","",$C$3-H265)</f>
        <v>12</v>
      </c>
      <c r="O265" s="9" t="str">
        <f aca="false">IF(AND(L265&lt;=$C$4,M265&lt;=$E$4),"&lt;=150pc &amp; &lt;=10kg",IF(N265="","TANPA TGL",IF(N265&lt;=5,"&lt;= 5 HARI",IF(N265&lt;=7,"&lt;= 7 HARI",IF(N265&lt;=14,"&lt;= 14 HARI","&gt; 14 HARI")))))</f>
        <v>&lt;= 14 HARI</v>
      </c>
      <c r="P265" s="9"/>
      <c r="Q265" s="9" t="s">
        <v>133</v>
      </c>
      <c r="R265" s="9" t="s">
        <v>134</v>
      </c>
    </row>
    <row r="266" customFormat="false" ht="15" hidden="false" customHeight="false" outlineLevel="0" collapsed="false">
      <c r="A266" s="9" t="n">
        <v>261</v>
      </c>
      <c r="B266" s="9" t="s">
        <v>1162</v>
      </c>
      <c r="C266" s="9" t="s">
        <v>1167</v>
      </c>
      <c r="D266" s="9" t="s">
        <v>1168</v>
      </c>
      <c r="E266" s="10" t="n">
        <v>0.0618</v>
      </c>
      <c r="F266" s="9" t="s">
        <v>1169</v>
      </c>
      <c r="G266" s="9" t="s">
        <v>1170</v>
      </c>
      <c r="H266" s="11" t="n">
        <v>46203</v>
      </c>
      <c r="I266" s="12" t="n">
        <v>12000</v>
      </c>
      <c r="J266" s="12" t="n">
        <v>12000</v>
      </c>
      <c r="K266" s="13" t="n">
        <v>741.6</v>
      </c>
      <c r="L266" s="12" t="n">
        <v>12000</v>
      </c>
      <c r="M266" s="13" t="n">
        <v>741.6</v>
      </c>
      <c r="N266" s="12" t="n">
        <f aca="false">IF(H266="","",$C$3-H266)</f>
        <v>34</v>
      </c>
      <c r="O266" s="9" t="str">
        <f aca="false">IF(AND(L266&lt;=$C$4,M266&lt;=$E$4),"&lt;=150pc &amp; &lt;=10kg",IF(N266="","TANPA TGL",IF(N266&lt;=5,"&lt;= 5 HARI",IF(N266&lt;=7,"&lt;= 7 HARI",IF(N266&lt;=14,"&lt;= 14 HARI","&gt; 14 HARI")))))</f>
        <v>&gt; 14 HARI</v>
      </c>
      <c r="P266" s="9" t="s">
        <v>64</v>
      </c>
      <c r="Q266" s="9" t="s">
        <v>133</v>
      </c>
      <c r="R266" s="9" t="s">
        <v>134</v>
      </c>
    </row>
    <row r="267" customFormat="false" ht="15" hidden="false" customHeight="false" outlineLevel="0" collapsed="false">
      <c r="A267" s="9" t="n">
        <v>262</v>
      </c>
      <c r="B267" s="9" t="s">
        <v>1162</v>
      </c>
      <c r="C267" s="9" t="s">
        <v>1171</v>
      </c>
      <c r="D267" s="9" t="s">
        <v>1172</v>
      </c>
      <c r="E267" s="10" t="n">
        <v>0.26932</v>
      </c>
      <c r="F267" s="9" t="s">
        <v>1173</v>
      </c>
      <c r="G267" s="9" t="s">
        <v>1174</v>
      </c>
      <c r="H267" s="11" t="n">
        <v>46194</v>
      </c>
      <c r="I267" s="12" t="n">
        <v>2000</v>
      </c>
      <c r="J267" s="12" t="n">
        <v>520</v>
      </c>
      <c r="K267" s="13" t="n">
        <v>140.0464</v>
      </c>
      <c r="L267" s="12" t="n">
        <v>520</v>
      </c>
      <c r="M267" s="13" t="n">
        <v>140.0464</v>
      </c>
      <c r="N267" s="12" t="n">
        <f aca="false">IF(H267="","",$C$3-H267)</f>
        <v>43</v>
      </c>
      <c r="O267" s="9" t="str">
        <f aca="false">IF(AND(L267&lt;=$C$4,M267&lt;=$E$4),"&lt;=150pc &amp; &lt;=10kg",IF(N267="","TANPA TGL",IF(N267&lt;=5,"&lt;= 5 HARI",IF(N267&lt;=7,"&lt;= 7 HARI",IF(N267&lt;=14,"&lt;= 14 HARI","&gt; 14 HARI")))))</f>
        <v>&gt; 14 HARI</v>
      </c>
      <c r="P267" s="9" t="s">
        <v>64</v>
      </c>
      <c r="Q267" s="9" t="s">
        <v>133</v>
      </c>
      <c r="R267" s="9" t="s">
        <v>134</v>
      </c>
    </row>
    <row r="268" customFormat="false" ht="15" hidden="false" customHeight="false" outlineLevel="0" collapsed="false">
      <c r="A268" s="9" t="n">
        <v>263</v>
      </c>
      <c r="B268" s="9" t="s">
        <v>1162</v>
      </c>
      <c r="C268" s="9" t="s">
        <v>1175</v>
      </c>
      <c r="D268" s="9" t="s">
        <v>1164</v>
      </c>
      <c r="E268" s="10" t="n">
        <v>0.31179</v>
      </c>
      <c r="F268" s="9" t="s">
        <v>1176</v>
      </c>
      <c r="G268" s="9" t="s">
        <v>1177</v>
      </c>
      <c r="H268" s="11" t="n">
        <v>46225</v>
      </c>
      <c r="I268" s="12" t="n">
        <v>34000</v>
      </c>
      <c r="J268" s="12" t="n">
        <v>1300</v>
      </c>
      <c r="K268" s="13" t="n">
        <v>405.327</v>
      </c>
      <c r="L268" s="12" t="n">
        <v>1300</v>
      </c>
      <c r="M268" s="13" t="n">
        <v>405.327</v>
      </c>
      <c r="N268" s="12" t="n">
        <f aca="false">IF(H268="","",$C$3-H268)</f>
        <v>12</v>
      </c>
      <c r="O268" s="9" t="str">
        <f aca="false">IF(AND(L268&lt;=$C$4,M268&lt;=$E$4),"&lt;=150pc &amp; &lt;=10kg",IF(N268="","TANPA TGL",IF(N268&lt;=5,"&lt;= 5 HARI",IF(N268&lt;=7,"&lt;= 7 HARI",IF(N268&lt;=14,"&lt;= 14 HARI","&gt; 14 HARI")))))</f>
        <v>&lt;= 14 HARI</v>
      </c>
      <c r="P268" s="9"/>
      <c r="Q268" s="9" t="s">
        <v>133</v>
      </c>
      <c r="R268" s="9" t="s">
        <v>134</v>
      </c>
    </row>
    <row r="269" customFormat="false" ht="15" hidden="false" customHeight="false" outlineLevel="0" collapsed="false">
      <c r="A269" s="9" t="n">
        <v>264</v>
      </c>
      <c r="B269" s="9" t="s">
        <v>1162</v>
      </c>
      <c r="C269" s="9" t="s">
        <v>1178</v>
      </c>
      <c r="D269" s="9" t="s">
        <v>1179</v>
      </c>
      <c r="E269" s="10" t="n">
        <v>0.40825</v>
      </c>
      <c r="F269" s="9" t="s">
        <v>1180</v>
      </c>
      <c r="G269" s="9" t="s">
        <v>1181</v>
      </c>
      <c r="H269" s="11" t="n">
        <v>46196</v>
      </c>
      <c r="I269" s="12" t="n">
        <v>2000</v>
      </c>
      <c r="J269" s="12" t="n">
        <v>980</v>
      </c>
      <c r="K269" s="13" t="n">
        <v>400.085</v>
      </c>
      <c r="L269" s="12" t="n">
        <v>980</v>
      </c>
      <c r="M269" s="13" t="n">
        <v>400.085</v>
      </c>
      <c r="N269" s="12" t="n">
        <f aca="false">IF(H269="","",$C$3-H269)</f>
        <v>41</v>
      </c>
      <c r="O269" s="9" t="str">
        <f aca="false">IF(AND(L269&lt;=$C$4,M269&lt;=$E$4),"&lt;=150pc &amp; &lt;=10kg",IF(N269="","TANPA TGL",IF(N269&lt;=5,"&lt;= 5 HARI",IF(N269&lt;=7,"&lt;= 7 HARI",IF(N269&lt;=14,"&lt;= 14 HARI","&gt; 14 HARI")))))</f>
        <v>&gt; 14 HARI</v>
      </c>
      <c r="P269" s="9" t="s">
        <v>64</v>
      </c>
      <c r="Q269" s="9" t="s">
        <v>133</v>
      </c>
      <c r="R269" s="9" t="s">
        <v>134</v>
      </c>
    </row>
    <row r="270" customFormat="false" ht="15" hidden="false" customHeight="false" outlineLevel="0" collapsed="false">
      <c r="A270" s="9" t="n">
        <v>265</v>
      </c>
      <c r="B270" s="9" t="s">
        <v>1162</v>
      </c>
      <c r="C270" s="9" t="s">
        <v>1182</v>
      </c>
      <c r="D270" s="9" t="s">
        <v>1168</v>
      </c>
      <c r="E270" s="10" t="n">
        <v>0.0618</v>
      </c>
      <c r="F270" s="9" t="s">
        <v>1183</v>
      </c>
      <c r="G270" s="9" t="s">
        <v>1184</v>
      </c>
      <c r="H270" s="11" t="n">
        <v>46204</v>
      </c>
      <c r="I270" s="12" t="n">
        <v>13200</v>
      </c>
      <c r="J270" s="12" t="n">
        <v>1500</v>
      </c>
      <c r="K270" s="13" t="n">
        <v>92.7</v>
      </c>
      <c r="L270" s="12" t="n">
        <v>1500</v>
      </c>
      <c r="M270" s="13" t="n">
        <v>92.7</v>
      </c>
      <c r="N270" s="12" t="n">
        <f aca="false">IF(H270="","",$C$3-H270)</f>
        <v>33</v>
      </c>
      <c r="O270" s="9" t="str">
        <f aca="false">IF(AND(L270&lt;=$C$4,M270&lt;=$E$4),"&lt;=150pc &amp; &lt;=10kg",IF(N270="","TANPA TGL",IF(N270&lt;=5,"&lt;= 5 HARI",IF(N270&lt;=7,"&lt;= 7 HARI",IF(N270&lt;=14,"&lt;= 14 HARI","&gt; 14 HARI")))))</f>
        <v>&gt; 14 HARI</v>
      </c>
      <c r="P270" s="9" t="s">
        <v>64</v>
      </c>
      <c r="Q270" s="9" t="s">
        <v>133</v>
      </c>
      <c r="R270" s="9" t="s">
        <v>134</v>
      </c>
    </row>
    <row r="271" customFormat="false" ht="15" hidden="false" customHeight="false" outlineLevel="0" collapsed="false">
      <c r="A271" s="9" t="n">
        <v>266</v>
      </c>
      <c r="B271" s="9" t="s">
        <v>1162</v>
      </c>
      <c r="C271" s="9" t="s">
        <v>1185</v>
      </c>
      <c r="D271" s="9" t="s">
        <v>1186</v>
      </c>
      <c r="E271" s="10" t="n">
        <v>0.30343</v>
      </c>
      <c r="F271" s="9" t="s">
        <v>1187</v>
      </c>
      <c r="G271" s="9" t="s">
        <v>1188</v>
      </c>
      <c r="H271" s="11" t="n">
        <v>46198</v>
      </c>
      <c r="I271" s="12" t="n">
        <v>2000</v>
      </c>
      <c r="J271" s="12" t="n">
        <v>2000</v>
      </c>
      <c r="K271" s="13" t="n">
        <v>606.86</v>
      </c>
      <c r="L271" s="12" t="n">
        <v>2000</v>
      </c>
      <c r="M271" s="13" t="n">
        <v>606.86</v>
      </c>
      <c r="N271" s="12" t="n">
        <f aca="false">IF(H271="","",$C$3-H271)</f>
        <v>39</v>
      </c>
      <c r="O271" s="9" t="str">
        <f aca="false">IF(AND(L271&lt;=$C$4,M271&lt;=$E$4),"&lt;=150pc &amp; &lt;=10kg",IF(N271="","TANPA TGL",IF(N271&lt;=5,"&lt;= 5 HARI",IF(N271&lt;=7,"&lt;= 7 HARI",IF(N271&lt;=14,"&lt;= 14 HARI","&gt; 14 HARI")))))</f>
        <v>&gt; 14 HARI</v>
      </c>
      <c r="P271" s="9" t="s">
        <v>64</v>
      </c>
      <c r="Q271" s="9" t="s">
        <v>1189</v>
      </c>
      <c r="R271" s="9" t="s">
        <v>134</v>
      </c>
    </row>
    <row r="272" customFormat="false" ht="15" hidden="false" customHeight="false" outlineLevel="0" collapsed="false">
      <c r="A272" s="9" t="n">
        <v>267</v>
      </c>
      <c r="B272" s="9" t="s">
        <v>1162</v>
      </c>
      <c r="C272" s="9" t="s">
        <v>1190</v>
      </c>
      <c r="D272" s="9" t="s">
        <v>1191</v>
      </c>
      <c r="E272" s="10" t="n">
        <v>0.28727</v>
      </c>
      <c r="F272" s="9" t="s">
        <v>1192</v>
      </c>
      <c r="G272" s="9" t="s">
        <v>1193</v>
      </c>
      <c r="H272" s="11" t="n">
        <v>46204</v>
      </c>
      <c r="I272" s="12" t="n">
        <v>3900</v>
      </c>
      <c r="J272" s="12" t="n">
        <v>2000</v>
      </c>
      <c r="K272" s="13" t="n">
        <v>574.54</v>
      </c>
      <c r="L272" s="12" t="n">
        <v>2000</v>
      </c>
      <c r="M272" s="13" t="n">
        <v>574.54</v>
      </c>
      <c r="N272" s="12" t="n">
        <f aca="false">IF(H272="","",$C$3-H272)</f>
        <v>33</v>
      </c>
      <c r="O272" s="9" t="str">
        <f aca="false">IF(AND(L272&lt;=$C$4,M272&lt;=$E$4),"&lt;=150pc &amp; &lt;=10kg",IF(N272="","TANPA TGL",IF(N272&lt;=5,"&lt;= 5 HARI",IF(N272&lt;=7,"&lt;= 7 HARI",IF(N272&lt;=14,"&lt;= 14 HARI","&gt; 14 HARI")))))</f>
        <v>&gt; 14 HARI</v>
      </c>
      <c r="P272" s="9" t="s">
        <v>64</v>
      </c>
      <c r="Q272" s="9" t="s">
        <v>133</v>
      </c>
      <c r="R272" s="9" t="s">
        <v>134</v>
      </c>
    </row>
    <row r="273" customFormat="false" ht="15" hidden="false" customHeight="false" outlineLevel="0" collapsed="false">
      <c r="A273" s="9" t="n">
        <v>268</v>
      </c>
      <c r="B273" s="9" t="s">
        <v>1162</v>
      </c>
      <c r="C273" s="9" t="s">
        <v>1194</v>
      </c>
      <c r="D273" s="9" t="s">
        <v>1195</v>
      </c>
      <c r="E273" s="10" t="n">
        <v>0.28279</v>
      </c>
      <c r="F273" s="9" t="n">
        <v>24776</v>
      </c>
      <c r="G273" s="9" t="s">
        <v>1196</v>
      </c>
      <c r="H273" s="11" t="n">
        <v>46234</v>
      </c>
      <c r="I273" s="12" t="n">
        <v>3900</v>
      </c>
      <c r="J273" s="12" t="n">
        <v>5900</v>
      </c>
      <c r="K273" s="13" t="n">
        <v>1668.461</v>
      </c>
      <c r="L273" s="12" t="n">
        <v>2000</v>
      </c>
      <c r="M273" s="13" t="n">
        <v>565.58</v>
      </c>
      <c r="N273" s="12" t="n">
        <f aca="false">IF(H273="","",$C$3-H273)</f>
        <v>3</v>
      </c>
      <c r="O273" s="9" t="str">
        <f aca="false">IF(AND(L273&lt;=$C$4,M273&lt;=$E$4),"&lt;=150pc &amp; &lt;=10kg",IF(N273="","TANPA TGL",IF(N273&lt;=5,"&lt;= 5 HARI",IF(N273&lt;=7,"&lt;= 7 HARI",IF(N273&lt;=14,"&lt;= 14 HARI","&gt; 14 HARI")))))</f>
        <v>&lt;= 5 HARI</v>
      </c>
      <c r="P273" s="9"/>
      <c r="Q273" s="9" t="s">
        <v>133</v>
      </c>
      <c r="R273" s="9" t="s">
        <v>134</v>
      </c>
    </row>
    <row r="274" customFormat="false" ht="15" hidden="false" customHeight="false" outlineLevel="0" collapsed="false">
      <c r="A274" s="9" t="n">
        <v>269</v>
      </c>
      <c r="B274" s="9" t="s">
        <v>1162</v>
      </c>
      <c r="C274" s="9" t="s">
        <v>1197</v>
      </c>
      <c r="D274" s="9" t="s">
        <v>1198</v>
      </c>
      <c r="E274" s="10" t="n">
        <v>0.38379</v>
      </c>
      <c r="F274" s="9" t="s">
        <v>1199</v>
      </c>
      <c r="G274" s="9" t="s">
        <v>1200</v>
      </c>
      <c r="H274" s="11" t="n">
        <v>46234</v>
      </c>
      <c r="I274" s="12" t="n">
        <v>4000</v>
      </c>
      <c r="J274" s="12" t="n">
        <v>4000</v>
      </c>
      <c r="K274" s="13" t="n">
        <v>1535.16</v>
      </c>
      <c r="L274" s="12" t="n">
        <v>2000</v>
      </c>
      <c r="M274" s="13" t="n">
        <v>767.58</v>
      </c>
      <c r="N274" s="12" t="n">
        <f aca="false">IF(H274="","",$C$3-H274)</f>
        <v>3</v>
      </c>
      <c r="O274" s="9" t="str">
        <f aca="false">IF(AND(L274&lt;=$C$4,M274&lt;=$E$4),"&lt;=150pc &amp; &lt;=10kg",IF(N274="","TANPA TGL",IF(N274&lt;=5,"&lt;= 5 HARI",IF(N274&lt;=7,"&lt;= 7 HARI",IF(N274&lt;=14,"&lt;= 14 HARI","&gt; 14 HARI")))))</f>
        <v>&lt;= 5 HARI</v>
      </c>
      <c r="P274" s="9"/>
      <c r="Q274" s="9" t="s">
        <v>133</v>
      </c>
      <c r="R274" s="9" t="s">
        <v>134</v>
      </c>
    </row>
    <row r="275" customFormat="false" ht="15" hidden="false" customHeight="false" outlineLevel="0" collapsed="false">
      <c r="A275" s="9" t="n">
        <v>270</v>
      </c>
      <c r="B275" s="9" t="s">
        <v>1201</v>
      </c>
      <c r="C275" s="9" t="s">
        <v>1202</v>
      </c>
      <c r="D275" s="9" t="s">
        <v>1203</v>
      </c>
      <c r="E275" s="10" t="n">
        <v>0.54378</v>
      </c>
      <c r="F275" s="9" t="s">
        <v>1204</v>
      </c>
      <c r="G275" s="9" t="s">
        <v>1205</v>
      </c>
      <c r="H275" s="11" t="n">
        <v>46232</v>
      </c>
      <c r="I275" s="12" t="n">
        <v>50000</v>
      </c>
      <c r="J275" s="12" t="n">
        <v>4150</v>
      </c>
      <c r="K275" s="13" t="n">
        <v>2256.687</v>
      </c>
      <c r="L275" s="12" t="n">
        <v>4150</v>
      </c>
      <c r="M275" s="13" t="n">
        <v>2256.687</v>
      </c>
      <c r="N275" s="12" t="n">
        <f aca="false">IF(H275="","",$C$3-H275)</f>
        <v>5</v>
      </c>
      <c r="O275" s="9" t="str">
        <f aca="false">IF(AND(L275&lt;=$C$4,M275&lt;=$E$4),"&lt;=150pc &amp; &lt;=10kg",IF(N275="","TANPA TGL",IF(N275&lt;=5,"&lt;= 5 HARI",IF(N275&lt;=7,"&lt;= 7 HARI",IF(N275&lt;=14,"&lt;= 14 HARI","&gt; 14 HARI")))))</f>
        <v>&lt;= 5 HARI</v>
      </c>
      <c r="P275" s="9" t="s">
        <v>64</v>
      </c>
      <c r="Q275" s="9" t="s">
        <v>238</v>
      </c>
      <c r="R275" s="9" t="s">
        <v>45</v>
      </c>
    </row>
    <row r="276" customFormat="false" ht="15" hidden="false" customHeight="false" outlineLevel="0" collapsed="false">
      <c r="A276" s="9" t="n">
        <v>271</v>
      </c>
      <c r="B276" s="9" t="s">
        <v>1206</v>
      </c>
      <c r="C276" s="9" t="s">
        <v>1207</v>
      </c>
      <c r="D276" s="9" t="s">
        <v>85</v>
      </c>
      <c r="E276" s="10" t="n">
        <v>0.25744</v>
      </c>
      <c r="F276" s="9" t="s">
        <v>1208</v>
      </c>
      <c r="G276" s="9" t="s">
        <v>1209</v>
      </c>
      <c r="H276" s="11" t="n">
        <v>46216</v>
      </c>
      <c r="I276" s="12" t="n">
        <v>15000</v>
      </c>
      <c r="J276" s="12" t="n">
        <v>1460</v>
      </c>
      <c r="K276" s="13" t="n">
        <v>375.8624</v>
      </c>
      <c r="L276" s="12" t="n">
        <v>1460</v>
      </c>
      <c r="M276" s="13" t="n">
        <v>375.8624</v>
      </c>
      <c r="N276" s="12" t="n">
        <f aca="false">IF(H276="","",$C$3-H276)</f>
        <v>21</v>
      </c>
      <c r="O276" s="9" t="str">
        <f aca="false">IF(AND(L276&lt;=$C$4,M276&lt;=$E$4),"&lt;=150pc &amp; &lt;=10kg",IF(N276="","TANPA TGL",IF(N276&lt;=5,"&lt;= 5 HARI",IF(N276&lt;=7,"&lt;= 7 HARI",IF(N276&lt;=14,"&lt;= 14 HARI","&gt; 14 HARI")))))</f>
        <v>&gt; 14 HARI</v>
      </c>
      <c r="P276" s="9"/>
      <c r="Q276" s="9" t="s">
        <v>238</v>
      </c>
      <c r="R276" s="9" t="s">
        <v>338</v>
      </c>
    </row>
    <row r="277" customFormat="false" ht="15" hidden="false" customHeight="false" outlineLevel="0" collapsed="false">
      <c r="A277" s="9" t="n">
        <v>272</v>
      </c>
      <c r="B277" s="9" t="s">
        <v>1210</v>
      </c>
      <c r="C277" s="9" t="s">
        <v>1211</v>
      </c>
      <c r="D277" s="9" t="s">
        <v>1212</v>
      </c>
      <c r="E277" s="10" t="n">
        <v>0.17325</v>
      </c>
      <c r="F277" s="9" t="s">
        <v>1213</v>
      </c>
      <c r="G277" s="9" t="s">
        <v>1214</v>
      </c>
      <c r="H277" s="11" t="n">
        <v>46233</v>
      </c>
      <c r="I277" s="12" t="n">
        <v>3000</v>
      </c>
      <c r="J277" s="12" t="n">
        <v>3150</v>
      </c>
      <c r="K277" s="13" t="n">
        <v>545.7375</v>
      </c>
      <c r="L277" s="12" t="n">
        <v>3150</v>
      </c>
      <c r="M277" s="13" t="n">
        <v>545.7375</v>
      </c>
      <c r="N277" s="12" t="n">
        <f aca="false">IF(H277="","",$C$3-H277)</f>
        <v>4</v>
      </c>
      <c r="O277" s="9" t="str">
        <f aca="false">IF(AND(L277&lt;=$C$4,M277&lt;=$E$4),"&lt;=150pc &amp; &lt;=10kg",IF(N277="","TANPA TGL",IF(N277&lt;=5,"&lt;= 5 HARI",IF(N277&lt;=7,"&lt;= 7 HARI",IF(N277&lt;=14,"&lt;= 14 HARI","&gt; 14 HARI")))))</f>
        <v>&lt;= 5 HARI</v>
      </c>
      <c r="P277" s="9"/>
      <c r="Q277" s="9" t="s">
        <v>65</v>
      </c>
      <c r="R277" s="9" t="s">
        <v>122</v>
      </c>
    </row>
    <row r="278" customFormat="false" ht="15" hidden="false" customHeight="false" outlineLevel="0" collapsed="false">
      <c r="A278" s="9" t="n">
        <v>273</v>
      </c>
      <c r="B278" s="9" t="s">
        <v>1215</v>
      </c>
      <c r="C278" s="9" t="s">
        <v>1216</v>
      </c>
      <c r="D278" s="9" t="s">
        <v>1217</v>
      </c>
      <c r="E278" s="10" t="n">
        <v>0.92187</v>
      </c>
      <c r="F278" s="9" t="s">
        <v>1218</v>
      </c>
      <c r="G278" s="9" t="s">
        <v>1219</v>
      </c>
      <c r="H278" s="11" t="n">
        <v>46233</v>
      </c>
      <c r="I278" s="12" t="n">
        <v>500</v>
      </c>
      <c r="J278" s="12" t="n">
        <v>525</v>
      </c>
      <c r="K278" s="13" t="n">
        <v>483.98175</v>
      </c>
      <c r="L278" s="12" t="n">
        <v>0</v>
      </c>
      <c r="M278" s="13" t="n">
        <v>0</v>
      </c>
      <c r="N278" s="12" t="n">
        <f aca="false">IF(H278="","",$C$3-H278)</f>
        <v>4</v>
      </c>
      <c r="O278" s="9" t="str">
        <f aca="false">IF(AND(L278&lt;=$C$4,M278&lt;=$E$4),"&lt;=150pc &amp; &lt;=10kg",IF(N278="","TANPA TGL",IF(N278&lt;=5,"&lt;= 5 HARI",IF(N278&lt;=7,"&lt;= 7 HARI",IF(N278&lt;=14,"&lt;= 14 HARI","&gt; 14 HARI")))))</f>
        <v>&lt;=150pc &amp; &lt;=10kg</v>
      </c>
      <c r="P278" s="9"/>
      <c r="Q278" s="9" t="s">
        <v>57</v>
      </c>
      <c r="R278" s="9" t="s">
        <v>58</v>
      </c>
    </row>
    <row r="279" customFormat="false" ht="15" hidden="false" customHeight="false" outlineLevel="0" collapsed="false">
      <c r="A279" s="9" t="n">
        <v>274</v>
      </c>
      <c r="B279" s="9" t="s">
        <v>1220</v>
      </c>
      <c r="C279" s="9" t="s">
        <v>1221</v>
      </c>
      <c r="D279" s="9" t="s">
        <v>1222</v>
      </c>
      <c r="E279" s="10" t="n">
        <v>0.64907</v>
      </c>
      <c r="F279" s="9" t="s">
        <v>1223</v>
      </c>
      <c r="G279" s="9" t="s">
        <v>1224</v>
      </c>
      <c r="H279" s="11" t="n">
        <v>46215</v>
      </c>
      <c r="I279" s="12" t="n">
        <v>1500</v>
      </c>
      <c r="J279" s="12" t="n">
        <v>350</v>
      </c>
      <c r="K279" s="13" t="n">
        <v>227.1745</v>
      </c>
      <c r="L279" s="12" t="n">
        <v>350</v>
      </c>
      <c r="M279" s="13" t="n">
        <v>227.1745</v>
      </c>
      <c r="N279" s="12" t="n">
        <f aca="false">IF(H279="","",$C$3-H279)</f>
        <v>22</v>
      </c>
      <c r="O279" s="9" t="str">
        <f aca="false">IF(AND(L279&lt;=$C$4,M279&lt;=$E$4),"&lt;=150pc &amp; &lt;=10kg",IF(N279="","TANPA TGL",IF(N279&lt;=5,"&lt;= 5 HARI",IF(N279&lt;=7,"&lt;= 7 HARI",IF(N279&lt;=14,"&lt;= 14 HARI","&gt; 14 HARI")))))</f>
        <v>&gt; 14 HARI</v>
      </c>
      <c r="P279" s="9"/>
      <c r="Q279" s="9" t="s">
        <v>238</v>
      </c>
      <c r="R279" s="9" t="s">
        <v>338</v>
      </c>
    </row>
    <row r="280" customFormat="false" ht="15" hidden="false" customHeight="false" outlineLevel="0" collapsed="false">
      <c r="A280" s="9" t="n">
        <v>275</v>
      </c>
      <c r="B280" s="9" t="s">
        <v>1225</v>
      </c>
      <c r="C280" s="9" t="s">
        <v>1226</v>
      </c>
      <c r="D280" s="9" t="s">
        <v>1227</v>
      </c>
      <c r="E280" s="10" t="n">
        <v>0.21869</v>
      </c>
      <c r="F280" s="9" t="s">
        <v>1228</v>
      </c>
      <c r="G280" s="9" t="s">
        <v>1229</v>
      </c>
      <c r="H280" s="11" t="n">
        <v>46201</v>
      </c>
      <c r="I280" s="12" t="n">
        <v>19300</v>
      </c>
      <c r="J280" s="12" t="n">
        <v>1080</v>
      </c>
      <c r="K280" s="13" t="n">
        <v>236.1852</v>
      </c>
      <c r="L280" s="12" t="n">
        <v>1080</v>
      </c>
      <c r="M280" s="13" t="n">
        <v>236.1852</v>
      </c>
      <c r="N280" s="12" t="n">
        <f aca="false">IF(H280="","",$C$3-H280)</f>
        <v>36</v>
      </c>
      <c r="O280" s="9" t="str">
        <f aca="false">IF(AND(L280&lt;=$C$4,M280&lt;=$E$4),"&lt;=150pc &amp; &lt;=10kg",IF(N280="","TANPA TGL",IF(N280&lt;=5,"&lt;= 5 HARI",IF(N280&lt;=7,"&lt;= 7 HARI",IF(N280&lt;=14,"&lt;= 14 HARI","&gt; 14 HARI")))))</f>
        <v>&gt; 14 HARI</v>
      </c>
      <c r="P280" s="9" t="s">
        <v>51</v>
      </c>
      <c r="Q280" s="9" t="s">
        <v>65</v>
      </c>
      <c r="R280" s="9" t="s">
        <v>78</v>
      </c>
    </row>
    <row r="281" customFormat="false" ht="15" hidden="false" customHeight="false" outlineLevel="0" collapsed="false">
      <c r="A281" s="9" t="n">
        <v>276</v>
      </c>
      <c r="B281" s="9" t="s">
        <v>1230</v>
      </c>
      <c r="C281" s="9" t="s">
        <v>1231</v>
      </c>
      <c r="D281" s="9" t="s">
        <v>1232</v>
      </c>
      <c r="E281" s="10" t="n">
        <v>0.28462</v>
      </c>
      <c r="F281" s="9" t="s">
        <v>1233</v>
      </c>
      <c r="G281" s="9" t="s">
        <v>1234</v>
      </c>
      <c r="H281" s="11" t="n">
        <v>46232</v>
      </c>
      <c r="I281" s="12" t="n">
        <v>35000</v>
      </c>
      <c r="J281" s="12" t="n">
        <v>840</v>
      </c>
      <c r="K281" s="13" t="n">
        <v>239.0808</v>
      </c>
      <c r="L281" s="12" t="n">
        <v>840</v>
      </c>
      <c r="M281" s="13" t="n">
        <v>239.0808</v>
      </c>
      <c r="N281" s="12" t="n">
        <f aca="false">IF(H281="","",$C$3-H281)</f>
        <v>5</v>
      </c>
      <c r="O281" s="9" t="str">
        <f aca="false">IF(AND(L281&lt;=$C$4,M281&lt;=$E$4),"&lt;=150pc &amp; &lt;=10kg",IF(N281="","TANPA TGL",IF(N281&lt;=5,"&lt;= 5 HARI",IF(N281&lt;=7,"&lt;= 7 HARI",IF(N281&lt;=14,"&lt;= 14 HARI","&gt; 14 HARI")))))</f>
        <v>&lt;= 5 HARI</v>
      </c>
      <c r="P281" s="9"/>
      <c r="Q281" s="9" t="s">
        <v>30</v>
      </c>
      <c r="R281" s="9" t="s">
        <v>440</v>
      </c>
    </row>
    <row r="282" customFormat="false" ht="15" hidden="false" customHeight="false" outlineLevel="0" collapsed="false">
      <c r="A282" s="9" t="n">
        <v>277</v>
      </c>
      <c r="B282" s="9" t="s">
        <v>1235</v>
      </c>
      <c r="C282" s="9" t="s">
        <v>1236</v>
      </c>
      <c r="D282" s="9" t="s">
        <v>1237</v>
      </c>
      <c r="E282" s="10" t="n">
        <v>1.03193</v>
      </c>
      <c r="F282" s="9" t="s">
        <v>1238</v>
      </c>
      <c r="G282" s="9" t="s">
        <v>1239</v>
      </c>
      <c r="H282" s="11" t="n">
        <v>46229</v>
      </c>
      <c r="I282" s="12" t="n">
        <v>50000</v>
      </c>
      <c r="J282" s="12" t="n">
        <v>60</v>
      </c>
      <c r="K282" s="13" t="n">
        <v>61.9158</v>
      </c>
      <c r="L282" s="12" t="n">
        <v>60</v>
      </c>
      <c r="M282" s="13" t="n">
        <v>61.9158</v>
      </c>
      <c r="N282" s="12" t="n">
        <f aca="false">IF(H282="","",$C$3-H282)</f>
        <v>8</v>
      </c>
      <c r="O282" s="9" t="str">
        <f aca="false">IF(AND(L282&lt;=$C$4,M282&lt;=$E$4),"&lt;=150pc &amp; &lt;=10kg",IF(N282="","TANPA TGL",IF(N282&lt;=5,"&lt;= 5 HARI",IF(N282&lt;=7,"&lt;= 7 HARI",IF(N282&lt;=14,"&lt;= 14 HARI","&gt; 14 HARI")))))</f>
        <v>&lt;= 14 HARI</v>
      </c>
      <c r="P282" s="9"/>
      <c r="Q282" s="9" t="s">
        <v>65</v>
      </c>
      <c r="R282" s="9" t="s">
        <v>66</v>
      </c>
    </row>
    <row r="283" customFormat="false" ht="15" hidden="false" customHeight="false" outlineLevel="0" collapsed="false">
      <c r="A283" s="9" t="n">
        <v>278</v>
      </c>
      <c r="B283" s="9" t="s">
        <v>1235</v>
      </c>
      <c r="C283" s="9" t="s">
        <v>1240</v>
      </c>
      <c r="D283" s="9" t="s">
        <v>1241</v>
      </c>
      <c r="E283" s="10" t="n">
        <v>0.90281</v>
      </c>
      <c r="F283" s="9" t="s">
        <v>1242</v>
      </c>
      <c r="G283" s="9" t="s">
        <v>1243</v>
      </c>
      <c r="H283" s="11" t="n">
        <v>46223</v>
      </c>
      <c r="I283" s="12" t="n">
        <v>20000</v>
      </c>
      <c r="J283" s="12" t="n">
        <v>130</v>
      </c>
      <c r="K283" s="13" t="n">
        <v>117.3653</v>
      </c>
      <c r="L283" s="12" t="n">
        <v>130</v>
      </c>
      <c r="M283" s="13" t="n">
        <v>117.3653</v>
      </c>
      <c r="N283" s="12" t="n">
        <f aca="false">IF(H283="","",$C$3-H283)</f>
        <v>14</v>
      </c>
      <c r="O283" s="9" t="str">
        <f aca="false">IF(AND(L283&lt;=$C$4,M283&lt;=$E$4),"&lt;=150pc &amp; &lt;=10kg",IF(N283="","TANPA TGL",IF(N283&lt;=5,"&lt;= 5 HARI",IF(N283&lt;=7,"&lt;= 7 HARI",IF(N283&lt;=14,"&lt;= 14 HARI","&gt; 14 HARI")))))</f>
        <v>&lt;= 14 HARI</v>
      </c>
      <c r="P283" s="9"/>
      <c r="Q283" s="9" t="s">
        <v>65</v>
      </c>
      <c r="R283" s="9" t="s">
        <v>66</v>
      </c>
    </row>
    <row r="284" customFormat="false" ht="15" hidden="false" customHeight="false" outlineLevel="0" collapsed="false">
      <c r="A284" s="9" t="n">
        <v>279</v>
      </c>
      <c r="B284" s="9" t="s">
        <v>1235</v>
      </c>
      <c r="C284" s="9" t="s">
        <v>1244</v>
      </c>
      <c r="D284" s="9" t="s">
        <v>1245</v>
      </c>
      <c r="E284" s="10" t="n">
        <v>0.98064</v>
      </c>
      <c r="F284" s="9" t="s">
        <v>1246</v>
      </c>
      <c r="G284" s="9" t="s">
        <v>1247</v>
      </c>
      <c r="H284" s="11" t="n">
        <v>46233</v>
      </c>
      <c r="I284" s="12" t="n">
        <v>23000</v>
      </c>
      <c r="J284" s="12" t="n">
        <v>1620</v>
      </c>
      <c r="K284" s="13" t="n">
        <v>1588.6368</v>
      </c>
      <c r="L284" s="12" t="n">
        <v>0</v>
      </c>
      <c r="M284" s="13" t="n">
        <v>0</v>
      </c>
      <c r="N284" s="12" t="n">
        <f aca="false">IF(H284="","",$C$3-H284)</f>
        <v>4</v>
      </c>
      <c r="O284" s="9" t="str">
        <f aca="false">IF(AND(L284&lt;=$C$4,M284&lt;=$E$4),"&lt;=150pc &amp; &lt;=10kg",IF(N284="","TANPA TGL",IF(N284&lt;=5,"&lt;= 5 HARI",IF(N284&lt;=7,"&lt;= 7 HARI",IF(N284&lt;=14,"&lt;= 14 HARI","&gt; 14 HARI")))))</f>
        <v>&lt;=150pc &amp; &lt;=10kg</v>
      </c>
      <c r="P284" s="9" t="s">
        <v>144</v>
      </c>
      <c r="Q284" s="9" t="s">
        <v>65</v>
      </c>
      <c r="R284" s="9" t="s">
        <v>66</v>
      </c>
    </row>
    <row r="285" customFormat="false" ht="15" hidden="false" customHeight="false" outlineLevel="0" collapsed="false">
      <c r="A285" s="9" t="n">
        <v>280</v>
      </c>
      <c r="B285" s="9" t="s">
        <v>1235</v>
      </c>
      <c r="C285" s="9" t="s">
        <v>1248</v>
      </c>
      <c r="D285" s="9" t="s">
        <v>1249</v>
      </c>
      <c r="E285" s="10" t="n">
        <v>0.88567</v>
      </c>
      <c r="F285" s="9" t="s">
        <v>1250</v>
      </c>
      <c r="G285" s="9" t="s">
        <v>1251</v>
      </c>
      <c r="H285" s="11" t="n">
        <v>46233</v>
      </c>
      <c r="I285" s="12" t="n">
        <v>20000</v>
      </c>
      <c r="J285" s="12" t="n">
        <v>40</v>
      </c>
      <c r="K285" s="13" t="n">
        <v>35.4268</v>
      </c>
      <c r="L285" s="12" t="n">
        <v>40</v>
      </c>
      <c r="M285" s="13" t="n">
        <v>35.4268</v>
      </c>
      <c r="N285" s="12" t="n">
        <f aca="false">IF(H285="","",$C$3-H285)</f>
        <v>4</v>
      </c>
      <c r="O285" s="9" t="str">
        <f aca="false">IF(AND(L285&lt;=$C$4,M285&lt;=$E$4),"&lt;=150pc &amp; &lt;=10kg",IF(N285="","TANPA TGL",IF(N285&lt;=5,"&lt;= 5 HARI",IF(N285&lt;=7,"&lt;= 7 HARI",IF(N285&lt;=14,"&lt;= 14 HARI","&gt; 14 HARI")))))</f>
        <v>&lt;= 5 HARI</v>
      </c>
      <c r="P285" s="9"/>
      <c r="Q285" s="9" t="s">
        <v>65</v>
      </c>
      <c r="R285" s="9" t="s">
        <v>66</v>
      </c>
    </row>
    <row r="286" customFormat="false" ht="15" hidden="false" customHeight="false" outlineLevel="0" collapsed="false">
      <c r="A286" s="9" t="n">
        <v>281</v>
      </c>
      <c r="B286" s="9" t="s">
        <v>1235</v>
      </c>
      <c r="C286" s="9" t="s">
        <v>1252</v>
      </c>
      <c r="D286" s="9" t="s">
        <v>1253</v>
      </c>
      <c r="E286" s="10" t="n">
        <v>0.89513</v>
      </c>
      <c r="F286" s="9" t="s">
        <v>1254</v>
      </c>
      <c r="G286" s="9" t="s">
        <v>1255</v>
      </c>
      <c r="H286" s="11" t="n">
        <v>46235</v>
      </c>
      <c r="I286" s="12" t="n">
        <v>10000</v>
      </c>
      <c r="J286" s="12" t="n">
        <v>0</v>
      </c>
      <c r="K286" s="13" t="n">
        <v>0</v>
      </c>
      <c r="L286" s="12" t="n">
        <v>5050</v>
      </c>
      <c r="M286" s="13" t="n">
        <v>4520.4065</v>
      </c>
      <c r="N286" s="12" t="n">
        <f aca="false">IF(H286="","",$C$3-H286)</f>
        <v>2</v>
      </c>
      <c r="O286" s="9" t="str">
        <f aca="false">IF(AND(L286&lt;=$C$4,M286&lt;=$E$4),"&lt;=150pc &amp; &lt;=10kg",IF(N286="","TANPA TGL",IF(N286&lt;=5,"&lt;= 5 HARI",IF(N286&lt;=7,"&lt;= 7 HARI",IF(N286&lt;=14,"&lt;= 14 HARI","&gt; 14 HARI")))))</f>
        <v>&lt;= 5 HARI</v>
      </c>
      <c r="P286" s="9"/>
      <c r="Q286" s="9" t="s">
        <v>65</v>
      </c>
      <c r="R286" s="9" t="s">
        <v>66</v>
      </c>
    </row>
    <row r="287" customFormat="false" ht="15" hidden="false" customHeight="false" outlineLevel="0" collapsed="false">
      <c r="A287" s="9" t="n">
        <v>282</v>
      </c>
      <c r="B287" s="9" t="s">
        <v>1256</v>
      </c>
      <c r="C287" s="9" t="s">
        <v>1257</v>
      </c>
      <c r="D287" s="9" t="s">
        <v>1258</v>
      </c>
      <c r="E287" s="10" t="n">
        <v>0.35056</v>
      </c>
      <c r="F287" s="9" t="s">
        <v>1259</v>
      </c>
      <c r="G287" s="9" t="s">
        <v>1260</v>
      </c>
      <c r="H287" s="11" t="n">
        <v>46198</v>
      </c>
      <c r="I287" s="12" t="n">
        <v>20000</v>
      </c>
      <c r="J287" s="12" t="n">
        <v>90</v>
      </c>
      <c r="K287" s="13" t="n">
        <v>31.5504</v>
      </c>
      <c r="L287" s="12" t="n">
        <v>90</v>
      </c>
      <c r="M287" s="13" t="n">
        <v>31.5504</v>
      </c>
      <c r="N287" s="12" t="n">
        <f aca="false">IF(H287="","",$C$3-H287)</f>
        <v>39</v>
      </c>
      <c r="O287" s="9" t="str">
        <f aca="false">IF(AND(L287&lt;=$C$4,M287&lt;=$E$4),"&lt;=150pc &amp; &lt;=10kg",IF(N287="","TANPA TGL",IF(N287&lt;=5,"&lt;= 5 HARI",IF(N287&lt;=7,"&lt;= 7 HARI",IF(N287&lt;=14,"&lt;= 14 HARI","&gt; 14 HARI")))))</f>
        <v>&gt; 14 HARI</v>
      </c>
      <c r="P287" s="9"/>
      <c r="Q287" s="9" t="s">
        <v>37</v>
      </c>
      <c r="R287" s="9" t="s">
        <v>38</v>
      </c>
    </row>
    <row r="288" customFormat="false" ht="15" hidden="false" customHeight="false" outlineLevel="0" collapsed="false">
      <c r="A288" s="9" t="n">
        <v>283</v>
      </c>
      <c r="B288" s="9" t="s">
        <v>1261</v>
      </c>
      <c r="C288" s="9" t="s">
        <v>1262</v>
      </c>
      <c r="D288" s="9" t="s">
        <v>1263</v>
      </c>
      <c r="E288" s="10" t="n">
        <v>0.4903</v>
      </c>
      <c r="F288" s="9" t="s">
        <v>1264</v>
      </c>
      <c r="G288" s="9" t="s">
        <v>1265</v>
      </c>
      <c r="H288" s="11" t="n">
        <v>46231</v>
      </c>
      <c r="I288" s="12" t="n">
        <v>5400</v>
      </c>
      <c r="J288" s="12" t="n">
        <v>100</v>
      </c>
      <c r="K288" s="13" t="n">
        <v>49.03</v>
      </c>
      <c r="L288" s="12" t="n">
        <v>100</v>
      </c>
      <c r="M288" s="13" t="n">
        <v>49.03</v>
      </c>
      <c r="N288" s="12" t="n">
        <f aca="false">IF(H288="","",$C$3-H288)</f>
        <v>6</v>
      </c>
      <c r="O288" s="9" t="str">
        <f aca="false">IF(AND(L288&lt;=$C$4,M288&lt;=$E$4),"&lt;=150pc &amp; &lt;=10kg",IF(N288="","TANPA TGL",IF(N288&lt;=5,"&lt;= 5 HARI",IF(N288&lt;=7,"&lt;= 7 HARI",IF(N288&lt;=14,"&lt;= 14 HARI","&gt; 14 HARI")))))</f>
        <v>&lt;= 7 HARI</v>
      </c>
      <c r="P288" s="9" t="s">
        <v>161</v>
      </c>
      <c r="Q288" s="9" t="s">
        <v>238</v>
      </c>
      <c r="R288" s="9" t="s">
        <v>239</v>
      </c>
    </row>
    <row r="289" customFormat="false" ht="15" hidden="false" customHeight="false" outlineLevel="0" collapsed="false">
      <c r="A289" s="9" t="n">
        <v>284</v>
      </c>
      <c r="B289" s="9" t="s">
        <v>1266</v>
      </c>
      <c r="C289" s="9" t="s">
        <v>1267</v>
      </c>
      <c r="D289" s="9" t="s">
        <v>1268</v>
      </c>
      <c r="E289" s="10" t="n">
        <v>0.38228</v>
      </c>
      <c r="F289" s="9" t="s">
        <v>1269</v>
      </c>
      <c r="G289" s="9" t="s">
        <v>1270</v>
      </c>
      <c r="H289" s="11" t="n">
        <v>46235</v>
      </c>
      <c r="I289" s="12" t="n">
        <v>7000</v>
      </c>
      <c r="J289" s="12" t="n">
        <v>7440</v>
      </c>
      <c r="K289" s="13" t="n">
        <v>2844.1632</v>
      </c>
      <c r="L289" s="12" t="n">
        <v>0</v>
      </c>
      <c r="M289" s="13" t="n">
        <v>0</v>
      </c>
      <c r="N289" s="12" t="n">
        <f aca="false">IF(H289="","",$C$3-H289)</f>
        <v>2</v>
      </c>
      <c r="O289" s="9" t="str">
        <f aca="false">IF(AND(L289&lt;=$C$4,M289&lt;=$E$4),"&lt;=150pc &amp; &lt;=10kg",IF(N289="","TANPA TGL",IF(N289&lt;=5,"&lt;= 5 HARI",IF(N289&lt;=7,"&lt;= 7 HARI",IF(N289&lt;=14,"&lt;= 14 HARI","&gt; 14 HARI")))))</f>
        <v>&lt;=150pc &amp; &lt;=10kg</v>
      </c>
      <c r="P289" s="9" t="s">
        <v>64</v>
      </c>
      <c r="Q289" s="9" t="s">
        <v>238</v>
      </c>
      <c r="R289" s="9" t="s">
        <v>338</v>
      </c>
    </row>
    <row r="290" customFormat="false" ht="15" hidden="false" customHeight="false" outlineLevel="0" collapsed="false">
      <c r="A290" s="9" t="n">
        <v>285</v>
      </c>
      <c r="B290" s="9" t="s">
        <v>1271</v>
      </c>
      <c r="C290" s="9" t="s">
        <v>1272</v>
      </c>
      <c r="D290" s="9" t="s">
        <v>1273</v>
      </c>
      <c r="E290" s="10" t="n">
        <v>0.92483</v>
      </c>
      <c r="F290" s="9" t="s">
        <v>1274</v>
      </c>
      <c r="G290" s="9" t="s">
        <v>1275</v>
      </c>
      <c r="H290" s="11" t="n">
        <v>46231</v>
      </c>
      <c r="I290" s="12" t="n">
        <v>2500</v>
      </c>
      <c r="J290" s="12" t="n">
        <v>2040</v>
      </c>
      <c r="K290" s="13" t="n">
        <v>1886.6532</v>
      </c>
      <c r="L290" s="12" t="n">
        <v>2040</v>
      </c>
      <c r="M290" s="13" t="n">
        <v>1886.6532</v>
      </c>
      <c r="N290" s="12" t="n">
        <f aca="false">IF(H290="","",$C$3-H290)</f>
        <v>6</v>
      </c>
      <c r="O290" s="9" t="str">
        <f aca="false">IF(AND(L290&lt;=$C$4,M290&lt;=$E$4),"&lt;=150pc &amp; &lt;=10kg",IF(N290="","TANPA TGL",IF(N290&lt;=5,"&lt;= 5 HARI",IF(N290&lt;=7,"&lt;= 7 HARI",IF(N290&lt;=14,"&lt;= 14 HARI","&gt; 14 HARI")))))</f>
        <v>&lt;= 7 HARI</v>
      </c>
      <c r="P290" s="9" t="s">
        <v>51</v>
      </c>
      <c r="Q290" s="9" t="s">
        <v>37</v>
      </c>
      <c r="R290" s="9" t="s">
        <v>38</v>
      </c>
    </row>
    <row r="291" customFormat="false" ht="15" hidden="false" customHeight="false" outlineLevel="0" collapsed="false">
      <c r="A291" s="9" t="n">
        <v>286</v>
      </c>
      <c r="B291" s="9" t="s">
        <v>1271</v>
      </c>
      <c r="C291" s="9" t="s">
        <v>1276</v>
      </c>
      <c r="D291" s="9" t="s">
        <v>1277</v>
      </c>
      <c r="E291" s="10" t="n">
        <v>0.08685</v>
      </c>
      <c r="F291" s="9" t="s">
        <v>1278</v>
      </c>
      <c r="G291" s="9" t="s">
        <v>1279</v>
      </c>
      <c r="H291" s="11" t="n">
        <v>46231</v>
      </c>
      <c r="I291" s="12" t="n">
        <v>30000</v>
      </c>
      <c r="J291" s="12" t="n">
        <v>4320</v>
      </c>
      <c r="K291" s="13" t="n">
        <v>375.192</v>
      </c>
      <c r="L291" s="12" t="n">
        <v>4320</v>
      </c>
      <c r="M291" s="13" t="n">
        <v>375.192</v>
      </c>
      <c r="N291" s="12" t="n">
        <f aca="false">IF(H291="","",$C$3-H291)</f>
        <v>6</v>
      </c>
      <c r="O291" s="9" t="str">
        <f aca="false">IF(AND(L291&lt;=$C$4,M291&lt;=$E$4),"&lt;=150pc &amp; &lt;=10kg",IF(N291="","TANPA TGL",IF(N291&lt;=5,"&lt;= 5 HARI",IF(N291&lt;=7,"&lt;= 7 HARI",IF(N291&lt;=14,"&lt;= 14 HARI","&gt; 14 HARI")))))</f>
        <v>&lt;= 7 HARI</v>
      </c>
      <c r="P291" s="9" t="s">
        <v>51</v>
      </c>
      <c r="Q291" s="9" t="s">
        <v>37</v>
      </c>
      <c r="R291" s="9" t="s">
        <v>38</v>
      </c>
    </row>
    <row r="292" customFormat="false" ht="15" hidden="false" customHeight="false" outlineLevel="0" collapsed="false">
      <c r="A292" s="9" t="n">
        <v>287</v>
      </c>
      <c r="B292" s="9" t="s">
        <v>1280</v>
      </c>
      <c r="C292" s="9" t="s">
        <v>1281</v>
      </c>
      <c r="D292" s="9" t="s">
        <v>1282</v>
      </c>
      <c r="E292" s="10" t="n">
        <v>0.28107</v>
      </c>
      <c r="F292" s="9" t="s">
        <v>1283</v>
      </c>
      <c r="G292" s="9" t="s">
        <v>1284</v>
      </c>
      <c r="H292" s="11" t="n">
        <v>46233</v>
      </c>
      <c r="I292" s="12" t="n">
        <v>25000</v>
      </c>
      <c r="J292" s="12" t="n">
        <v>275</v>
      </c>
      <c r="K292" s="13" t="n">
        <v>77.29425</v>
      </c>
      <c r="L292" s="12" t="n">
        <v>275</v>
      </c>
      <c r="M292" s="13" t="n">
        <v>77.29425</v>
      </c>
      <c r="N292" s="12" t="n">
        <f aca="false">IF(H292="","",$C$3-H292)</f>
        <v>4</v>
      </c>
      <c r="O292" s="9" t="str">
        <f aca="false">IF(AND(L292&lt;=$C$4,M292&lt;=$E$4),"&lt;=150pc &amp; &lt;=10kg",IF(N292="","TANPA TGL",IF(N292&lt;=5,"&lt;= 5 HARI",IF(N292&lt;=7,"&lt;= 7 HARI",IF(N292&lt;=14,"&lt;= 14 HARI","&gt; 14 HARI")))))</f>
        <v>&lt;= 5 HARI</v>
      </c>
      <c r="P292" s="9"/>
      <c r="Q292" s="9" t="s">
        <v>44</v>
      </c>
      <c r="R292" s="9" t="s">
        <v>45</v>
      </c>
    </row>
    <row r="293" customFormat="false" ht="15" hidden="false" customHeight="false" outlineLevel="0" collapsed="false">
      <c r="A293" s="9" t="n">
        <v>288</v>
      </c>
      <c r="B293" s="9" t="s">
        <v>1285</v>
      </c>
      <c r="C293" s="9" t="s">
        <v>1286</v>
      </c>
      <c r="D293" s="9" t="s">
        <v>242</v>
      </c>
      <c r="E293" s="10" t="n">
        <v>0.2162</v>
      </c>
      <c r="F293" s="9" t="s">
        <v>1287</v>
      </c>
      <c r="G293" s="9" t="s">
        <v>1288</v>
      </c>
      <c r="H293" s="11" t="n">
        <v>46210</v>
      </c>
      <c r="I293" s="12" t="n">
        <v>45000</v>
      </c>
      <c r="J293" s="12" t="n">
        <v>5340</v>
      </c>
      <c r="K293" s="13" t="n">
        <v>1154.508</v>
      </c>
      <c r="L293" s="12" t="n">
        <v>5340</v>
      </c>
      <c r="M293" s="13" t="n">
        <v>1154.508</v>
      </c>
      <c r="N293" s="12" t="n">
        <f aca="false">IF(H293="","",$C$3-H293)</f>
        <v>27</v>
      </c>
      <c r="O293" s="9" t="str">
        <f aca="false">IF(AND(L293&lt;=$C$4,M293&lt;=$E$4),"&lt;=150pc &amp; &lt;=10kg",IF(N293="","TANPA TGL",IF(N293&lt;=5,"&lt;= 5 HARI",IF(N293&lt;=7,"&lt;= 7 HARI",IF(N293&lt;=14,"&lt;= 14 HARI","&gt; 14 HARI")))))</f>
        <v>&gt; 14 HARI</v>
      </c>
      <c r="P293" s="9" t="s">
        <v>51</v>
      </c>
      <c r="Q293" s="9" t="s">
        <v>44</v>
      </c>
      <c r="R293" s="9" t="s">
        <v>45</v>
      </c>
    </row>
    <row r="294" customFormat="false" ht="15" hidden="false" customHeight="false" outlineLevel="0" collapsed="false">
      <c r="A294" s="9" t="n">
        <v>289</v>
      </c>
      <c r="B294" s="9" t="s">
        <v>1289</v>
      </c>
      <c r="C294" s="9" t="s">
        <v>1290</v>
      </c>
      <c r="D294" s="9" t="s">
        <v>1291</v>
      </c>
      <c r="E294" s="10" t="n">
        <v>0.64155</v>
      </c>
      <c r="F294" s="9" t="s">
        <v>1292</v>
      </c>
      <c r="G294" s="9" t="s">
        <v>1293</v>
      </c>
      <c r="H294" s="11" t="n">
        <v>46202</v>
      </c>
      <c r="I294" s="12" t="n">
        <v>2943</v>
      </c>
      <c r="J294" s="12" t="n">
        <v>120</v>
      </c>
      <c r="K294" s="13" t="n">
        <v>76.986</v>
      </c>
      <c r="L294" s="12" t="n">
        <v>120</v>
      </c>
      <c r="M294" s="13" t="n">
        <v>76.986</v>
      </c>
      <c r="N294" s="12" t="n">
        <f aca="false">IF(H294="","",$C$3-H294)</f>
        <v>35</v>
      </c>
      <c r="O294" s="9" t="str">
        <f aca="false">IF(AND(L294&lt;=$C$4,M294&lt;=$E$4),"&lt;=150pc &amp; &lt;=10kg",IF(N294="","TANPA TGL",IF(N294&lt;=5,"&lt;= 5 HARI",IF(N294&lt;=7,"&lt;= 7 HARI",IF(N294&lt;=14,"&lt;= 14 HARI","&gt; 14 HARI")))))</f>
        <v>&gt; 14 HARI</v>
      </c>
      <c r="P294" s="9"/>
      <c r="Q294" s="9" t="s">
        <v>57</v>
      </c>
      <c r="R294" s="9" t="s">
        <v>58</v>
      </c>
    </row>
    <row r="295" customFormat="false" ht="15" hidden="false" customHeight="false" outlineLevel="0" collapsed="false">
      <c r="A295" s="9" t="n">
        <v>290</v>
      </c>
      <c r="B295" s="9" t="s">
        <v>1289</v>
      </c>
      <c r="C295" s="9" t="s">
        <v>1294</v>
      </c>
      <c r="D295" s="9" t="s">
        <v>1295</v>
      </c>
      <c r="E295" s="10" t="n">
        <v>0.7098</v>
      </c>
      <c r="F295" s="9" t="s">
        <v>1296</v>
      </c>
      <c r="G295" s="9" t="s">
        <v>1297</v>
      </c>
      <c r="H295" s="11" t="n">
        <v>46227</v>
      </c>
      <c r="I295" s="12" t="n">
        <v>12190</v>
      </c>
      <c r="J295" s="12" t="n">
        <v>100</v>
      </c>
      <c r="K295" s="13" t="n">
        <v>70.98</v>
      </c>
      <c r="L295" s="12" t="n">
        <v>100</v>
      </c>
      <c r="M295" s="13" t="n">
        <v>70.98</v>
      </c>
      <c r="N295" s="12" t="n">
        <f aca="false">IF(H295="","",$C$3-H295)</f>
        <v>10</v>
      </c>
      <c r="O295" s="9" t="str">
        <f aca="false">IF(AND(L295&lt;=$C$4,M295&lt;=$E$4),"&lt;=150pc &amp; &lt;=10kg",IF(N295="","TANPA TGL",IF(N295&lt;=5,"&lt;= 5 HARI",IF(N295&lt;=7,"&lt;= 7 HARI",IF(N295&lt;=14,"&lt;= 14 HARI","&gt; 14 HARI")))))</f>
        <v>&lt;= 14 HARI</v>
      </c>
      <c r="P295" s="9"/>
      <c r="Q295" s="9" t="s">
        <v>57</v>
      </c>
      <c r="R295" s="9" t="s">
        <v>58</v>
      </c>
    </row>
    <row r="296" customFormat="false" ht="15" hidden="false" customHeight="false" outlineLevel="0" collapsed="false">
      <c r="A296" s="9" t="n">
        <v>291</v>
      </c>
      <c r="B296" s="9" t="s">
        <v>1298</v>
      </c>
      <c r="C296" s="9" t="s">
        <v>1299</v>
      </c>
      <c r="D296" s="9" t="s">
        <v>1300</v>
      </c>
      <c r="E296" s="10" t="n">
        <v>0.18304</v>
      </c>
      <c r="F296" s="9" t="s">
        <v>1301</v>
      </c>
      <c r="G296" s="9" t="s">
        <v>1302</v>
      </c>
      <c r="H296" s="11" t="n">
        <v>46233</v>
      </c>
      <c r="I296" s="12" t="n">
        <v>3000</v>
      </c>
      <c r="J296" s="12" t="n">
        <v>340</v>
      </c>
      <c r="K296" s="13" t="n">
        <v>62.2336</v>
      </c>
      <c r="L296" s="12" t="n">
        <v>340</v>
      </c>
      <c r="M296" s="13" t="n">
        <v>62.2336</v>
      </c>
      <c r="N296" s="12" t="n">
        <f aca="false">IF(H296="","",$C$3-H296)</f>
        <v>4</v>
      </c>
      <c r="O296" s="9" t="str">
        <f aca="false">IF(AND(L296&lt;=$C$4,M296&lt;=$E$4),"&lt;=150pc &amp; &lt;=10kg",IF(N296="","TANPA TGL",IF(N296&lt;=5,"&lt;= 5 HARI",IF(N296&lt;=7,"&lt;= 7 HARI",IF(N296&lt;=14,"&lt;= 14 HARI","&gt; 14 HARI")))))</f>
        <v>&lt;= 5 HARI</v>
      </c>
      <c r="P296" s="9"/>
      <c r="Q296" s="9" t="s">
        <v>44</v>
      </c>
      <c r="R296" s="9" t="s">
        <v>45</v>
      </c>
    </row>
    <row r="297" customFormat="false" ht="15" hidden="false" customHeight="false" outlineLevel="0" collapsed="false">
      <c r="A297" s="9" t="n">
        <v>292</v>
      </c>
      <c r="B297" s="9" t="s">
        <v>1303</v>
      </c>
      <c r="C297" s="9" t="s">
        <v>1304</v>
      </c>
      <c r="D297" s="9" t="s">
        <v>85</v>
      </c>
      <c r="E297" s="10" t="n">
        <v>0.25744</v>
      </c>
      <c r="F297" s="9" t="s">
        <v>1305</v>
      </c>
      <c r="G297" s="9" t="s">
        <v>1306</v>
      </c>
      <c r="H297" s="11" t="n">
        <v>46207</v>
      </c>
      <c r="I297" s="12" t="n">
        <v>30000</v>
      </c>
      <c r="J297" s="12" t="n">
        <v>120</v>
      </c>
      <c r="K297" s="13" t="n">
        <v>30.8928</v>
      </c>
      <c r="L297" s="12" t="n">
        <v>120</v>
      </c>
      <c r="M297" s="13" t="n">
        <v>30.8928</v>
      </c>
      <c r="N297" s="12" t="n">
        <f aca="false">IF(H297="","",$C$3-H297)</f>
        <v>30</v>
      </c>
      <c r="O297" s="9" t="str">
        <f aca="false">IF(AND(L297&lt;=$C$4,M297&lt;=$E$4),"&lt;=150pc &amp; &lt;=10kg",IF(N297="","TANPA TGL",IF(N297&lt;=5,"&lt;= 5 HARI",IF(N297&lt;=7,"&lt;= 7 HARI",IF(N297&lt;=14,"&lt;= 14 HARI","&gt; 14 HARI")))))</f>
        <v>&gt; 14 HARI</v>
      </c>
      <c r="P297" s="9" t="s">
        <v>64</v>
      </c>
      <c r="Q297" s="9" t="s">
        <v>57</v>
      </c>
      <c r="R297" s="9" t="s">
        <v>58</v>
      </c>
    </row>
    <row r="298" customFormat="false" ht="15" hidden="false" customHeight="false" outlineLevel="0" collapsed="false">
      <c r="A298" s="9" t="n">
        <v>293</v>
      </c>
      <c r="B298" s="9" t="s">
        <v>1307</v>
      </c>
      <c r="C298" s="9" t="s">
        <v>1308</v>
      </c>
      <c r="D298" s="9" t="s">
        <v>1309</v>
      </c>
      <c r="E298" s="10" t="n">
        <v>0.24764</v>
      </c>
      <c r="F298" s="9" t="s">
        <v>1310</v>
      </c>
      <c r="G298" s="9" t="s">
        <v>1311</v>
      </c>
      <c r="H298" s="11" t="n">
        <v>46207</v>
      </c>
      <c r="I298" s="12" t="n">
        <v>180000</v>
      </c>
      <c r="J298" s="12" t="n">
        <v>2620</v>
      </c>
      <c r="K298" s="13" t="n">
        <v>648.8168</v>
      </c>
      <c r="L298" s="12" t="n">
        <v>2620</v>
      </c>
      <c r="M298" s="13" t="n">
        <v>648.8168</v>
      </c>
      <c r="N298" s="12" t="n">
        <f aca="false">IF(H298="","",$C$3-H298)</f>
        <v>30</v>
      </c>
      <c r="O298" s="9" t="str">
        <f aca="false">IF(AND(L298&lt;=$C$4,M298&lt;=$E$4),"&lt;=150pc &amp; &lt;=10kg",IF(N298="","TANPA TGL",IF(N298&lt;=5,"&lt;= 5 HARI",IF(N298&lt;=7,"&lt;= 7 HARI",IF(N298&lt;=14,"&lt;= 14 HARI","&gt; 14 HARI")))))</f>
        <v>&gt; 14 HARI</v>
      </c>
      <c r="P298" s="9" t="s">
        <v>51</v>
      </c>
      <c r="Q298" s="9" t="s">
        <v>238</v>
      </c>
      <c r="R298" s="9" t="s">
        <v>58</v>
      </c>
    </row>
    <row r="299" customFormat="false" ht="15" hidden="false" customHeight="false" outlineLevel="0" collapsed="false">
      <c r="A299" s="9" t="n">
        <v>294</v>
      </c>
      <c r="B299" s="9" t="s">
        <v>1312</v>
      </c>
      <c r="C299" s="9" t="s">
        <v>1313</v>
      </c>
      <c r="D299" s="9" t="s">
        <v>1314</v>
      </c>
      <c r="E299" s="10" t="n">
        <v>0.37884</v>
      </c>
      <c r="F299" s="9" t="s">
        <v>1315</v>
      </c>
      <c r="G299" s="9" t="s">
        <v>1316</v>
      </c>
      <c r="H299" s="11" t="n">
        <v>46234</v>
      </c>
      <c r="I299" s="12" t="n">
        <v>434000</v>
      </c>
      <c r="J299" s="12" t="n">
        <v>11000</v>
      </c>
      <c r="K299" s="13" t="n">
        <v>4167.24</v>
      </c>
      <c r="L299" s="12" t="n">
        <v>11000</v>
      </c>
      <c r="M299" s="13" t="n">
        <v>4167.24</v>
      </c>
      <c r="N299" s="12" t="n">
        <f aca="false">IF(H299="","",$C$3-H299)</f>
        <v>3</v>
      </c>
      <c r="O299" s="9" t="str">
        <f aca="false">IF(AND(L299&lt;=$C$4,M299&lt;=$E$4),"&lt;=150pc &amp; &lt;=10kg",IF(N299="","TANPA TGL",IF(N299&lt;=5,"&lt;= 5 HARI",IF(N299&lt;=7,"&lt;= 7 HARI",IF(N299&lt;=14,"&lt;= 14 HARI","&gt; 14 HARI")))))</f>
        <v>&lt;= 5 HARI</v>
      </c>
      <c r="P299" s="9"/>
      <c r="Q299" s="9" t="s">
        <v>37</v>
      </c>
      <c r="R299" s="9" t="s">
        <v>38</v>
      </c>
    </row>
    <row r="300" customFormat="false" ht="15" hidden="false" customHeight="false" outlineLevel="0" collapsed="false">
      <c r="A300" s="9" t="n">
        <v>295</v>
      </c>
      <c r="B300" s="9" t="s">
        <v>1312</v>
      </c>
      <c r="C300" s="9" t="s">
        <v>1317</v>
      </c>
      <c r="D300" s="9" t="s">
        <v>1318</v>
      </c>
      <c r="E300" s="10" t="n">
        <v>0.43135</v>
      </c>
      <c r="F300" s="9" t="s">
        <v>1319</v>
      </c>
      <c r="G300" s="9" t="s">
        <v>1320</v>
      </c>
      <c r="H300" s="11" t="n">
        <v>46232</v>
      </c>
      <c r="I300" s="12" t="n">
        <v>165902</v>
      </c>
      <c r="J300" s="12" t="n">
        <v>2880</v>
      </c>
      <c r="K300" s="13" t="n">
        <v>1242.288</v>
      </c>
      <c r="L300" s="12" t="n">
        <v>2880</v>
      </c>
      <c r="M300" s="13" t="n">
        <v>1242.288</v>
      </c>
      <c r="N300" s="12" t="n">
        <f aca="false">IF(H300="","",$C$3-H300)</f>
        <v>5</v>
      </c>
      <c r="O300" s="9" t="str">
        <f aca="false">IF(AND(L300&lt;=$C$4,M300&lt;=$E$4),"&lt;=150pc &amp; &lt;=10kg",IF(N300="","TANPA TGL",IF(N300&lt;=5,"&lt;= 5 HARI",IF(N300&lt;=7,"&lt;= 7 HARI",IF(N300&lt;=14,"&lt;= 14 HARI","&gt; 14 HARI")))))</f>
        <v>&lt;= 5 HARI</v>
      </c>
      <c r="P300" s="9"/>
      <c r="Q300" s="9" t="s">
        <v>37</v>
      </c>
      <c r="R300" s="9" t="s">
        <v>38</v>
      </c>
    </row>
    <row r="301" customFormat="false" ht="15" hidden="false" customHeight="false" outlineLevel="0" collapsed="false">
      <c r="A301" s="9" t="n">
        <v>296</v>
      </c>
      <c r="B301" s="9" t="s">
        <v>1321</v>
      </c>
      <c r="C301" s="9" t="s">
        <v>1322</v>
      </c>
      <c r="D301" s="9" t="s">
        <v>1323</v>
      </c>
      <c r="E301" s="10" t="n">
        <v>0.20826</v>
      </c>
      <c r="F301" s="9" t="s">
        <v>1324</v>
      </c>
      <c r="G301" s="9" t="s">
        <v>1325</v>
      </c>
      <c r="H301" s="11" t="n">
        <v>46194</v>
      </c>
      <c r="I301" s="12" t="n">
        <v>25000</v>
      </c>
      <c r="J301" s="12" t="n">
        <v>2320</v>
      </c>
      <c r="K301" s="13" t="n">
        <v>483.1632</v>
      </c>
      <c r="L301" s="12" t="n">
        <v>2320</v>
      </c>
      <c r="M301" s="13" t="n">
        <v>483.1632</v>
      </c>
      <c r="N301" s="12" t="n">
        <f aca="false">IF(H301="","",$C$3-H301)</f>
        <v>43</v>
      </c>
      <c r="O301" s="9" t="str">
        <f aca="false">IF(AND(L301&lt;=$C$4,M301&lt;=$E$4),"&lt;=150pc &amp; &lt;=10kg",IF(N301="","TANPA TGL",IF(N301&lt;=5,"&lt;= 5 HARI",IF(N301&lt;=7,"&lt;= 7 HARI",IF(N301&lt;=14,"&lt;= 14 HARI","&gt; 14 HARI")))))</f>
        <v>&gt; 14 HARI</v>
      </c>
      <c r="P301" s="9" t="s">
        <v>51</v>
      </c>
      <c r="Q301" s="9" t="s">
        <v>238</v>
      </c>
      <c r="R301" s="9" t="s">
        <v>45</v>
      </c>
    </row>
    <row r="302" customFormat="false" ht="15" hidden="false" customHeight="false" outlineLevel="0" collapsed="false">
      <c r="A302" s="9" t="n">
        <v>297</v>
      </c>
      <c r="B302" s="9" t="s">
        <v>1326</v>
      </c>
      <c r="C302" s="9" t="s">
        <v>1327</v>
      </c>
      <c r="D302" s="9" t="s">
        <v>1328</v>
      </c>
      <c r="E302" s="10" t="n">
        <v>0.49578</v>
      </c>
      <c r="F302" s="9" t="s">
        <v>1329</v>
      </c>
      <c r="G302" s="9" t="s">
        <v>1330</v>
      </c>
      <c r="H302" s="11" t="n">
        <v>46234</v>
      </c>
      <c r="I302" s="12" t="n">
        <v>5000</v>
      </c>
      <c r="J302" s="12" t="n">
        <v>560</v>
      </c>
      <c r="K302" s="13" t="n">
        <v>277.6368</v>
      </c>
      <c r="L302" s="12" t="n">
        <v>0</v>
      </c>
      <c r="M302" s="13" t="n">
        <v>0</v>
      </c>
      <c r="N302" s="12" t="n">
        <f aca="false">IF(H302="","",$C$3-H302)</f>
        <v>3</v>
      </c>
      <c r="O302" s="9" t="str">
        <f aca="false">IF(AND(L302&lt;=$C$4,M302&lt;=$E$4),"&lt;=150pc &amp; &lt;=10kg",IF(N302="","TANPA TGL",IF(N302&lt;=5,"&lt;= 5 HARI",IF(N302&lt;=7,"&lt;= 7 HARI",IF(N302&lt;=14,"&lt;= 14 HARI","&gt; 14 HARI")))))</f>
        <v>&lt;=150pc &amp; &lt;=10kg</v>
      </c>
      <c r="P302" s="9" t="s">
        <v>64</v>
      </c>
      <c r="Q302" s="9" t="s">
        <v>44</v>
      </c>
      <c r="R302" s="9" t="s">
        <v>45</v>
      </c>
    </row>
    <row r="303" customFormat="false" ht="15" hidden="false" customHeight="false" outlineLevel="0" collapsed="false">
      <c r="A303" s="14"/>
      <c r="B303" s="14" t="s">
        <v>1331</v>
      </c>
      <c r="C303" s="14"/>
      <c r="D303" s="14"/>
      <c r="E303" s="15"/>
      <c r="F303" s="14"/>
      <c r="G303" s="14"/>
      <c r="H303" s="16"/>
      <c r="I303" s="17"/>
      <c r="J303" s="17" t="n">
        <f aca="false">SUM(J6:J302)</f>
        <v>758966</v>
      </c>
      <c r="K303" s="18" t="n">
        <f aca="false">SUM(K6:K302)</f>
        <v>240491.44189</v>
      </c>
      <c r="L303" s="17" t="n">
        <f aca="false">SUM(L6:L302)</f>
        <v>776500</v>
      </c>
      <c r="M303" s="18" t="n">
        <f aca="false">SUM(M6:M302)</f>
        <v>238658.73433</v>
      </c>
      <c r="N303" s="17"/>
      <c r="O303" s="14"/>
      <c r="P303" s="14"/>
      <c r="Q303" s="14"/>
      <c r="R303" s="14"/>
    </row>
  </sheetData>
  <autoFilter ref="A5:R3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19" t="s">
        <v>1332</v>
      </c>
    </row>
    <row r="2" customFormat="false" ht="15" hidden="false" customHeight="false" outlineLevel="0" collapsed="false">
      <c r="A2" s="2" t="s">
        <v>1333</v>
      </c>
    </row>
    <row r="4" customFormat="false" ht="23.85" hidden="false" customHeight="false" outlineLevel="0" collapsed="false">
      <c r="A4" s="8" t="s">
        <v>7</v>
      </c>
      <c r="B4" s="8" t="s">
        <v>1334</v>
      </c>
      <c r="C4" s="8" t="s">
        <v>8</v>
      </c>
      <c r="D4" s="8" t="s">
        <v>9</v>
      </c>
      <c r="E4" s="8" t="s">
        <v>14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22</v>
      </c>
    </row>
    <row r="5" customFormat="false" ht="15" hidden="false" customHeight="false" outlineLevel="0" collapsed="false">
      <c r="A5" s="9" t="n">
        <v>1</v>
      </c>
      <c r="B5" s="9" t="s">
        <v>1166</v>
      </c>
      <c r="C5" s="9" t="s">
        <v>1162</v>
      </c>
      <c r="D5" s="9" t="s">
        <v>1163</v>
      </c>
      <c r="E5" s="11" t="n">
        <v>46225</v>
      </c>
      <c r="F5" s="12" t="n">
        <v>2100</v>
      </c>
      <c r="G5" s="13" t="n">
        <v>654.759</v>
      </c>
      <c r="H5" s="12" t="n">
        <v>2100</v>
      </c>
      <c r="I5" s="13" t="n">
        <v>654.759</v>
      </c>
      <c r="J5" s="9"/>
    </row>
    <row r="6" customFormat="false" ht="15" hidden="false" customHeight="false" outlineLevel="0" collapsed="false">
      <c r="A6" s="9" t="n">
        <v>2</v>
      </c>
      <c r="B6" s="9" t="s">
        <v>445</v>
      </c>
      <c r="C6" s="9" t="s">
        <v>441</v>
      </c>
      <c r="D6" s="9" t="s">
        <v>442</v>
      </c>
      <c r="E6" s="11" t="n">
        <v>46188</v>
      </c>
      <c r="F6" s="12" t="n">
        <v>400</v>
      </c>
      <c r="G6" s="13" t="n">
        <v>33.816</v>
      </c>
      <c r="H6" s="12" t="n">
        <v>400</v>
      </c>
      <c r="I6" s="13" t="n">
        <v>33.816</v>
      </c>
      <c r="J6" s="9"/>
    </row>
    <row r="7" customFormat="false" ht="15" hidden="false" customHeight="false" outlineLevel="0" collapsed="false">
      <c r="A7" s="9" t="n">
        <v>3</v>
      </c>
      <c r="B7" s="9" t="s">
        <v>598</v>
      </c>
      <c r="C7" s="9" t="s">
        <v>594</v>
      </c>
      <c r="D7" s="9" t="s">
        <v>595</v>
      </c>
      <c r="E7" s="11" t="n">
        <v>46074</v>
      </c>
      <c r="F7" s="12" t="n">
        <v>1600</v>
      </c>
      <c r="G7" s="13" t="n">
        <v>308.528</v>
      </c>
      <c r="H7" s="12" t="n">
        <v>1600</v>
      </c>
      <c r="I7" s="13" t="n">
        <v>308.528</v>
      </c>
      <c r="J7" s="9" t="s">
        <v>396</v>
      </c>
    </row>
    <row r="8" customFormat="false" ht="15" hidden="false" customHeight="false" outlineLevel="0" collapsed="false">
      <c r="A8" s="9" t="n">
        <v>4</v>
      </c>
      <c r="B8" s="9" t="s">
        <v>209</v>
      </c>
      <c r="C8" s="9" t="s">
        <v>205</v>
      </c>
      <c r="D8" s="9" t="s">
        <v>206</v>
      </c>
      <c r="E8" s="11" t="n">
        <v>46156</v>
      </c>
      <c r="F8" s="12" t="n">
        <v>454</v>
      </c>
      <c r="G8" s="13" t="n">
        <v>113.82827</v>
      </c>
      <c r="H8" s="12" t="n">
        <v>454</v>
      </c>
      <c r="I8" s="13" t="n">
        <v>113.82827</v>
      </c>
      <c r="J8" s="9" t="s">
        <v>64</v>
      </c>
    </row>
    <row r="9" customFormat="false" ht="15" hidden="false" customHeight="false" outlineLevel="0" collapsed="false">
      <c r="A9" s="9" t="n">
        <v>5</v>
      </c>
      <c r="B9" s="9" t="s">
        <v>777</v>
      </c>
      <c r="C9" s="9" t="s">
        <v>773</v>
      </c>
      <c r="D9" s="9" t="s">
        <v>774</v>
      </c>
      <c r="E9" s="11" t="n">
        <v>46063</v>
      </c>
      <c r="F9" s="12" t="n">
        <v>2120</v>
      </c>
      <c r="G9" s="13" t="n">
        <v>758.1544</v>
      </c>
      <c r="H9" s="12" t="n">
        <v>2120</v>
      </c>
      <c r="I9" s="13" t="n">
        <v>758.1544</v>
      </c>
      <c r="J9" s="9" t="s">
        <v>51</v>
      </c>
    </row>
    <row r="10" customFormat="false" ht="15" hidden="false" customHeight="false" outlineLevel="0" collapsed="false">
      <c r="A10" s="9" t="n">
        <v>6</v>
      </c>
      <c r="B10" s="9" t="s">
        <v>468</v>
      </c>
      <c r="C10" s="9" t="s">
        <v>464</v>
      </c>
      <c r="D10" s="9" t="s">
        <v>465</v>
      </c>
      <c r="E10" s="11" t="n">
        <v>46223</v>
      </c>
      <c r="F10" s="12" t="n">
        <v>280</v>
      </c>
      <c r="G10" s="13" t="n">
        <v>250.4488</v>
      </c>
      <c r="H10" s="12" t="n">
        <v>280</v>
      </c>
      <c r="I10" s="13" t="n">
        <v>250.4488</v>
      </c>
      <c r="J10" s="9" t="s">
        <v>64</v>
      </c>
    </row>
    <row r="11" customFormat="false" ht="15" hidden="false" customHeight="false" outlineLevel="0" collapsed="false">
      <c r="A11" s="9" t="n">
        <v>7</v>
      </c>
      <c r="B11" s="9" t="s">
        <v>472</v>
      </c>
      <c r="C11" s="9" t="s">
        <v>464</v>
      </c>
      <c r="D11" s="9" t="s">
        <v>469</v>
      </c>
      <c r="E11" s="11" t="n">
        <v>46176</v>
      </c>
      <c r="F11" s="12" t="n">
        <v>2800</v>
      </c>
      <c r="G11" s="13" t="n">
        <v>2577.736</v>
      </c>
      <c r="H11" s="12" t="n">
        <v>2800</v>
      </c>
      <c r="I11" s="13" t="n">
        <v>2577.736</v>
      </c>
      <c r="J11" s="9" t="s">
        <v>64</v>
      </c>
    </row>
    <row r="12" customFormat="false" ht="15" hidden="false" customHeight="false" outlineLevel="0" collapsed="false">
      <c r="A12" s="9" t="n">
        <v>8</v>
      </c>
      <c r="B12" s="9" t="s">
        <v>244</v>
      </c>
      <c r="C12" s="9" t="s">
        <v>240</v>
      </c>
      <c r="D12" s="9" t="s">
        <v>241</v>
      </c>
      <c r="E12" s="11" t="n">
        <v>46080</v>
      </c>
      <c r="F12" s="12" t="n">
        <v>1980</v>
      </c>
      <c r="G12" s="13" t="n">
        <v>428.076</v>
      </c>
      <c r="H12" s="12" t="n">
        <v>1980</v>
      </c>
      <c r="I12" s="13" t="n">
        <v>428.076</v>
      </c>
      <c r="J12" s="9" t="s">
        <v>51</v>
      </c>
    </row>
    <row r="13" customFormat="false" ht="15" hidden="false" customHeight="false" outlineLevel="0" collapsed="false">
      <c r="A13" s="9" t="n">
        <v>9</v>
      </c>
      <c r="B13" s="9" t="s">
        <v>166</v>
      </c>
      <c r="C13" s="9" t="s">
        <v>162</v>
      </c>
      <c r="D13" s="9" t="s">
        <v>163</v>
      </c>
      <c r="E13" s="11" t="n">
        <v>46221</v>
      </c>
      <c r="F13" s="12" t="n">
        <v>880</v>
      </c>
      <c r="G13" s="13" t="n">
        <v>192.5968</v>
      </c>
      <c r="H13" s="12" t="n">
        <v>880</v>
      </c>
      <c r="I13" s="13" t="n">
        <v>192.5968</v>
      </c>
      <c r="J13" s="9" t="s">
        <v>51</v>
      </c>
    </row>
    <row r="14" customFormat="false" ht="15" hidden="false" customHeight="false" outlineLevel="0" collapsed="false">
      <c r="A14" s="9" t="n">
        <v>10</v>
      </c>
      <c r="B14" s="9" t="s">
        <v>804</v>
      </c>
      <c r="C14" s="9" t="s">
        <v>800</v>
      </c>
      <c r="D14" s="9" t="s">
        <v>801</v>
      </c>
      <c r="E14" s="11" t="n">
        <v>46138</v>
      </c>
      <c r="F14" s="12" t="n">
        <v>1040</v>
      </c>
      <c r="G14" s="13" t="n">
        <v>243.1832</v>
      </c>
      <c r="H14" s="12" t="n">
        <v>1040</v>
      </c>
      <c r="I14" s="13" t="n">
        <v>243.1832</v>
      </c>
      <c r="J14" s="9"/>
    </row>
    <row r="15" customFormat="false" ht="15" hidden="false" customHeight="false" outlineLevel="0" collapsed="false">
      <c r="A15" s="9" t="n">
        <v>11</v>
      </c>
      <c r="B15" s="9" t="s">
        <v>808</v>
      </c>
      <c r="C15" s="9" t="s">
        <v>800</v>
      </c>
      <c r="D15" s="9" t="s">
        <v>805</v>
      </c>
      <c r="E15" s="11" t="n">
        <v>46209</v>
      </c>
      <c r="F15" s="12" t="n">
        <v>2300</v>
      </c>
      <c r="G15" s="13" t="n">
        <v>542.432</v>
      </c>
      <c r="H15" s="12" t="n">
        <v>2300</v>
      </c>
      <c r="I15" s="13" t="n">
        <v>542.432</v>
      </c>
      <c r="J15" s="9"/>
    </row>
    <row r="16" customFormat="false" ht="15" hidden="false" customHeight="false" outlineLevel="0" collapsed="false">
      <c r="A16" s="9" t="n">
        <v>12</v>
      </c>
      <c r="B16" s="9" t="s">
        <v>710</v>
      </c>
      <c r="C16" s="9" t="s">
        <v>706</v>
      </c>
      <c r="D16" s="9" t="s">
        <v>707</v>
      </c>
      <c r="E16" s="11" t="n">
        <v>46147</v>
      </c>
      <c r="F16" s="12" t="n">
        <v>150</v>
      </c>
      <c r="G16" s="13" t="n">
        <v>195.429</v>
      </c>
      <c r="H16" s="12" t="n">
        <v>150</v>
      </c>
      <c r="I16" s="13" t="n">
        <v>195.429</v>
      </c>
      <c r="J16" s="9" t="s">
        <v>64</v>
      </c>
    </row>
    <row r="17" customFormat="false" ht="15" hidden="false" customHeight="false" outlineLevel="0" collapsed="false">
      <c r="A17" s="9" t="n">
        <v>13</v>
      </c>
      <c r="B17" s="9" t="s">
        <v>261</v>
      </c>
      <c r="C17" s="9" t="s">
        <v>257</v>
      </c>
      <c r="D17" s="9" t="s">
        <v>258</v>
      </c>
      <c r="E17" s="11" t="n">
        <v>46163</v>
      </c>
      <c r="F17" s="12" t="n">
        <v>120</v>
      </c>
      <c r="G17" s="13" t="n">
        <v>46.8708</v>
      </c>
      <c r="H17" s="12" t="n">
        <v>120</v>
      </c>
      <c r="I17" s="13" t="n">
        <v>46.8708</v>
      </c>
      <c r="J17" s="9" t="s">
        <v>144</v>
      </c>
    </row>
    <row r="18" customFormat="false" ht="15" hidden="false" customHeight="false" outlineLevel="0" collapsed="false">
      <c r="A18" s="9" t="n">
        <v>14</v>
      </c>
      <c r="B18" s="9" t="s">
        <v>602</v>
      </c>
      <c r="C18" s="9" t="s">
        <v>594</v>
      </c>
      <c r="D18" s="9" t="s">
        <v>599</v>
      </c>
      <c r="E18" s="11" t="n">
        <v>46165</v>
      </c>
      <c r="F18" s="12" t="n">
        <v>1500</v>
      </c>
      <c r="G18" s="13" t="n">
        <v>234.795</v>
      </c>
      <c r="H18" s="12" t="n">
        <v>1500</v>
      </c>
      <c r="I18" s="13" t="n">
        <v>234.795</v>
      </c>
      <c r="J18" s="9" t="s">
        <v>396</v>
      </c>
    </row>
    <row r="19" customFormat="false" ht="15" hidden="false" customHeight="false" outlineLevel="0" collapsed="false">
      <c r="A19" s="9" t="n">
        <v>15</v>
      </c>
      <c r="B19" s="9" t="s">
        <v>216</v>
      </c>
      <c r="C19" s="9" t="s">
        <v>205</v>
      </c>
      <c r="D19" s="9" t="s">
        <v>213</v>
      </c>
      <c r="E19" s="11" t="n">
        <v>46134</v>
      </c>
      <c r="F19" s="12" t="n">
        <v>504</v>
      </c>
      <c r="G19" s="13" t="n">
        <v>83.19024</v>
      </c>
      <c r="H19" s="12" t="n">
        <v>504</v>
      </c>
      <c r="I19" s="13" t="n">
        <v>83.19024</v>
      </c>
      <c r="J19" s="9" t="s">
        <v>64</v>
      </c>
    </row>
    <row r="20" customFormat="false" ht="15" hidden="false" customHeight="false" outlineLevel="0" collapsed="false">
      <c r="A20" s="9" t="n">
        <v>16</v>
      </c>
      <c r="B20" s="9" t="s">
        <v>390</v>
      </c>
      <c r="C20" s="9" t="s">
        <v>386</v>
      </c>
      <c r="D20" s="9" t="s">
        <v>387</v>
      </c>
      <c r="E20" s="11" t="n">
        <v>46131</v>
      </c>
      <c r="F20" s="12" t="n">
        <v>4460</v>
      </c>
      <c r="G20" s="13" t="n">
        <v>950.426</v>
      </c>
      <c r="H20" s="12" t="n">
        <v>4460</v>
      </c>
      <c r="I20" s="13" t="n">
        <v>950.426</v>
      </c>
      <c r="J20" s="9" t="s">
        <v>51</v>
      </c>
    </row>
    <row r="21" customFormat="false" ht="15" hidden="false" customHeight="false" outlineLevel="0" collapsed="false">
      <c r="A21" s="9" t="n">
        <v>17</v>
      </c>
      <c r="B21" s="9" t="s">
        <v>1311</v>
      </c>
      <c r="C21" s="9" t="s">
        <v>1307</v>
      </c>
      <c r="D21" s="9" t="s">
        <v>1308</v>
      </c>
      <c r="E21" s="11" t="n">
        <v>46207</v>
      </c>
      <c r="F21" s="12" t="n">
        <v>2620</v>
      </c>
      <c r="G21" s="13" t="n">
        <v>648.8168</v>
      </c>
      <c r="H21" s="12" t="n">
        <v>2620</v>
      </c>
      <c r="I21" s="13" t="n">
        <v>648.8168</v>
      </c>
      <c r="J21" s="9" t="s">
        <v>51</v>
      </c>
    </row>
    <row r="22" customFormat="false" ht="15" hidden="false" customHeight="false" outlineLevel="0" collapsed="false">
      <c r="A22" s="9" t="n">
        <v>18</v>
      </c>
      <c r="B22" s="9" t="s">
        <v>454</v>
      </c>
      <c r="C22" s="9" t="s">
        <v>450</v>
      </c>
      <c r="D22" s="9" t="s">
        <v>451</v>
      </c>
      <c r="E22" s="11" t="n">
        <v>46181</v>
      </c>
      <c r="F22" s="12" t="n">
        <v>150</v>
      </c>
      <c r="G22" s="13" t="n">
        <v>163.0185</v>
      </c>
      <c r="H22" s="12" t="n">
        <v>150</v>
      </c>
      <c r="I22" s="13" t="n">
        <v>163.0185</v>
      </c>
      <c r="J22" s="9"/>
    </row>
    <row r="23" customFormat="false" ht="15" hidden="false" customHeight="false" outlineLevel="0" collapsed="false">
      <c r="A23" s="9" t="n">
        <v>19</v>
      </c>
      <c r="B23" s="9" t="s">
        <v>558</v>
      </c>
      <c r="C23" s="9" t="s">
        <v>554</v>
      </c>
      <c r="D23" s="9" t="s">
        <v>555</v>
      </c>
      <c r="E23" s="11" t="n">
        <v>46203</v>
      </c>
      <c r="F23" s="12" t="n">
        <v>4020</v>
      </c>
      <c r="G23" s="13" t="n">
        <v>791.8596</v>
      </c>
      <c r="H23" s="12" t="n">
        <v>4020</v>
      </c>
      <c r="I23" s="13" t="n">
        <v>791.8596</v>
      </c>
      <c r="J23" s="9" t="s">
        <v>51</v>
      </c>
    </row>
    <row r="24" customFormat="false" ht="15" hidden="false" customHeight="false" outlineLevel="0" collapsed="false">
      <c r="A24" s="9" t="n">
        <v>20</v>
      </c>
      <c r="B24" s="9" t="s">
        <v>364</v>
      </c>
      <c r="C24" s="9" t="s">
        <v>361</v>
      </c>
      <c r="D24" s="9" t="s">
        <v>362</v>
      </c>
      <c r="E24" s="11" t="n">
        <v>46141</v>
      </c>
      <c r="F24" s="12" t="n">
        <v>460</v>
      </c>
      <c r="G24" s="13" t="n">
        <v>134.5684</v>
      </c>
      <c r="H24" s="12" t="n">
        <v>460</v>
      </c>
      <c r="I24" s="13" t="n">
        <v>134.5684</v>
      </c>
      <c r="J24" s="9" t="s">
        <v>51</v>
      </c>
    </row>
    <row r="25" customFormat="false" ht="15" hidden="false" customHeight="false" outlineLevel="0" collapsed="false">
      <c r="A25" s="9" t="n">
        <v>21</v>
      </c>
      <c r="B25" s="9" t="s">
        <v>1041</v>
      </c>
      <c r="C25" s="9" t="s">
        <v>1037</v>
      </c>
      <c r="D25" s="9" t="s">
        <v>1038</v>
      </c>
      <c r="E25" s="11" t="n">
        <v>46233</v>
      </c>
      <c r="F25" s="12" t="n">
        <v>760</v>
      </c>
      <c r="G25" s="13" t="n">
        <v>127.1708</v>
      </c>
      <c r="H25" s="12" t="n">
        <v>760</v>
      </c>
      <c r="I25" s="13" t="n">
        <v>127.1708</v>
      </c>
      <c r="J25" s="9" t="s">
        <v>77</v>
      </c>
    </row>
    <row r="26" customFormat="false" ht="15" hidden="false" customHeight="false" outlineLevel="0" collapsed="false">
      <c r="A26" s="9" t="n">
        <v>22</v>
      </c>
      <c r="B26" s="9" t="s">
        <v>627</v>
      </c>
      <c r="C26" s="9" t="s">
        <v>623</v>
      </c>
      <c r="D26" s="9" t="s">
        <v>624</v>
      </c>
      <c r="E26" s="11" t="n">
        <v>46223</v>
      </c>
      <c r="F26" s="12" t="n">
        <v>650</v>
      </c>
      <c r="G26" s="13" t="n">
        <v>74.9645</v>
      </c>
      <c r="H26" s="12" t="n">
        <v>650</v>
      </c>
      <c r="I26" s="13" t="n">
        <v>74.9645</v>
      </c>
      <c r="J26" s="9"/>
    </row>
    <row r="27" customFormat="false" ht="15" hidden="false" customHeight="false" outlineLevel="0" collapsed="false">
      <c r="A27" s="9" t="n">
        <v>23</v>
      </c>
      <c r="B27" s="9" t="s">
        <v>412</v>
      </c>
      <c r="C27" s="9" t="s">
        <v>408</v>
      </c>
      <c r="D27" s="9" t="s">
        <v>409</v>
      </c>
      <c r="E27" s="11" t="n">
        <v>46169</v>
      </c>
      <c r="F27" s="12" t="n">
        <v>197</v>
      </c>
      <c r="G27" s="13" t="n">
        <v>117.63855</v>
      </c>
      <c r="H27" s="12" t="n">
        <v>197</v>
      </c>
      <c r="I27" s="13" t="n">
        <v>117.63855</v>
      </c>
      <c r="J27" s="9" t="s">
        <v>155</v>
      </c>
    </row>
    <row r="28" customFormat="false" ht="15" hidden="false" customHeight="false" outlineLevel="0" collapsed="false">
      <c r="A28" s="9" t="n">
        <v>24</v>
      </c>
      <c r="B28" s="9" t="s">
        <v>782</v>
      </c>
      <c r="C28" s="9" t="s">
        <v>778</v>
      </c>
      <c r="D28" s="9" t="s">
        <v>779</v>
      </c>
      <c r="E28" s="11" t="n">
        <v>46226</v>
      </c>
      <c r="F28" s="12" t="n">
        <v>980</v>
      </c>
      <c r="G28" s="13" t="n">
        <v>648.809</v>
      </c>
      <c r="H28" s="12" t="n">
        <v>980</v>
      </c>
      <c r="I28" s="13" t="n">
        <v>648.809</v>
      </c>
      <c r="J28" s="9" t="s">
        <v>51</v>
      </c>
    </row>
    <row r="29" customFormat="false" ht="15" hidden="false" customHeight="false" outlineLevel="0" collapsed="false">
      <c r="A29" s="9" t="n">
        <v>25</v>
      </c>
      <c r="B29" s="9" t="s">
        <v>727</v>
      </c>
      <c r="C29" s="9" t="s">
        <v>723</v>
      </c>
      <c r="D29" s="9" t="s">
        <v>724</v>
      </c>
      <c r="E29" s="11" t="n">
        <v>46231</v>
      </c>
      <c r="F29" s="12" t="n">
        <v>1870</v>
      </c>
      <c r="G29" s="13" t="n">
        <v>803.8569</v>
      </c>
      <c r="H29" s="12" t="n">
        <v>1870</v>
      </c>
      <c r="I29" s="13" t="n">
        <v>803.8569</v>
      </c>
      <c r="J29" s="9"/>
    </row>
    <row r="30" customFormat="false" ht="15" hidden="false" customHeight="false" outlineLevel="0" collapsed="false">
      <c r="A30" s="9" t="n">
        <v>26</v>
      </c>
      <c r="B30" s="9" t="s">
        <v>439</v>
      </c>
      <c r="C30" s="9" t="s">
        <v>435</v>
      </c>
      <c r="D30" s="9" t="s">
        <v>436</v>
      </c>
      <c r="E30" s="11" t="n">
        <v>46194</v>
      </c>
      <c r="F30" s="12" t="n">
        <v>240</v>
      </c>
      <c r="G30" s="13" t="n">
        <v>13.068</v>
      </c>
      <c r="H30" s="12" t="n">
        <v>240</v>
      </c>
      <c r="I30" s="13" t="n">
        <v>13.068</v>
      </c>
      <c r="J30" s="9" t="s">
        <v>161</v>
      </c>
    </row>
    <row r="31" customFormat="false" ht="15" hidden="false" customHeight="false" outlineLevel="0" collapsed="false">
      <c r="A31" s="9" t="n">
        <v>27</v>
      </c>
      <c r="B31" s="9" t="s">
        <v>476</v>
      </c>
      <c r="C31" s="9" t="s">
        <v>464</v>
      </c>
      <c r="D31" s="9" t="s">
        <v>473</v>
      </c>
      <c r="E31" s="11" t="n">
        <v>46204</v>
      </c>
      <c r="F31" s="12" t="n">
        <v>840</v>
      </c>
      <c r="G31" s="13" t="n">
        <v>677.9052</v>
      </c>
      <c r="H31" s="12" t="n">
        <v>840</v>
      </c>
      <c r="I31" s="13" t="n">
        <v>677.9052</v>
      </c>
      <c r="J31" s="9" t="s">
        <v>64</v>
      </c>
    </row>
    <row r="32" customFormat="false" ht="15" hidden="false" customHeight="false" outlineLevel="0" collapsed="false">
      <c r="A32" s="9" t="n">
        <v>28</v>
      </c>
      <c r="B32" s="9" t="s">
        <v>849</v>
      </c>
      <c r="C32" s="9" t="s">
        <v>845</v>
      </c>
      <c r="D32" s="9" t="s">
        <v>846</v>
      </c>
      <c r="E32" s="11" t="n">
        <v>46160</v>
      </c>
      <c r="F32" s="12" t="n">
        <v>630</v>
      </c>
      <c r="G32" s="13" t="n">
        <v>314.0298</v>
      </c>
      <c r="H32" s="12" t="n">
        <v>630</v>
      </c>
      <c r="I32" s="13" t="n">
        <v>314.0298</v>
      </c>
      <c r="J32" s="9" t="s">
        <v>64</v>
      </c>
    </row>
    <row r="33" customFormat="false" ht="15" hidden="false" customHeight="false" outlineLevel="0" collapsed="false">
      <c r="A33" s="9" t="n">
        <v>29</v>
      </c>
      <c r="B33" s="9" t="s">
        <v>947</v>
      </c>
      <c r="C33" s="9" t="s">
        <v>943</v>
      </c>
      <c r="D33" s="9" t="s">
        <v>944</v>
      </c>
      <c r="E33" s="11" t="n">
        <v>46200</v>
      </c>
      <c r="F33" s="12" t="n">
        <v>550</v>
      </c>
      <c r="G33" s="13" t="n">
        <v>141.3115</v>
      </c>
      <c r="H33" s="12" t="n">
        <v>550</v>
      </c>
      <c r="I33" s="13" t="n">
        <v>141.3115</v>
      </c>
      <c r="J33" s="9"/>
    </row>
    <row r="34" customFormat="false" ht="15" hidden="false" customHeight="false" outlineLevel="0" collapsed="false">
      <c r="A34" s="9" t="n">
        <v>30</v>
      </c>
      <c r="B34" s="9" t="s">
        <v>951</v>
      </c>
      <c r="C34" s="9" t="s">
        <v>943</v>
      </c>
      <c r="D34" s="9" t="s">
        <v>948</v>
      </c>
      <c r="E34" s="11" t="n">
        <v>46235</v>
      </c>
      <c r="F34" s="12" t="n">
        <v>0</v>
      </c>
      <c r="G34" s="13" t="n">
        <v>0</v>
      </c>
      <c r="H34" s="12" t="n">
        <v>12200</v>
      </c>
      <c r="I34" s="13" t="n">
        <v>1025.41</v>
      </c>
      <c r="J34" s="9"/>
    </row>
    <row r="35" customFormat="false" ht="15" hidden="false" customHeight="false" outlineLevel="0" collapsed="false">
      <c r="A35" s="9" t="n">
        <v>31</v>
      </c>
      <c r="B35" s="9" t="s">
        <v>955</v>
      </c>
      <c r="C35" s="9" t="s">
        <v>943</v>
      </c>
      <c r="D35" s="9" t="s">
        <v>952</v>
      </c>
      <c r="E35" s="11" t="n">
        <v>46215</v>
      </c>
      <c r="F35" s="12" t="n">
        <v>375</v>
      </c>
      <c r="G35" s="13" t="n">
        <v>221.23125</v>
      </c>
      <c r="H35" s="12" t="n">
        <v>375</v>
      </c>
      <c r="I35" s="13" t="n">
        <v>221.23125</v>
      </c>
      <c r="J35" s="9"/>
    </row>
    <row r="36" customFormat="false" ht="15" hidden="false" customHeight="false" outlineLevel="0" collapsed="false">
      <c r="A36" s="9" t="n">
        <v>32</v>
      </c>
      <c r="B36" s="9" t="s">
        <v>836</v>
      </c>
      <c r="C36" s="9" t="s">
        <v>832</v>
      </c>
      <c r="D36" s="9" t="s">
        <v>833</v>
      </c>
      <c r="E36" s="11" t="n">
        <v>46218</v>
      </c>
      <c r="F36" s="12" t="n">
        <v>8940</v>
      </c>
      <c r="G36" s="13" t="n">
        <v>1768.6896</v>
      </c>
      <c r="H36" s="12" t="n">
        <v>8940</v>
      </c>
      <c r="I36" s="13" t="n">
        <v>1768.6896</v>
      </c>
      <c r="J36" s="9" t="s">
        <v>64</v>
      </c>
    </row>
    <row r="37" customFormat="false" ht="15" hidden="false" customHeight="false" outlineLevel="0" collapsed="false">
      <c r="A37" s="9" t="n">
        <v>33</v>
      </c>
      <c r="B37" s="9" t="s">
        <v>853</v>
      </c>
      <c r="C37" s="9" t="s">
        <v>845</v>
      </c>
      <c r="D37" s="9" t="s">
        <v>850</v>
      </c>
      <c r="E37" s="11" t="n">
        <v>46211</v>
      </c>
      <c r="F37" s="12" t="n">
        <v>600</v>
      </c>
      <c r="G37" s="13" t="n">
        <v>623.358</v>
      </c>
      <c r="H37" s="12" t="n">
        <v>600</v>
      </c>
      <c r="I37" s="13" t="n">
        <v>623.358</v>
      </c>
      <c r="J37" s="9" t="s">
        <v>64</v>
      </c>
    </row>
    <row r="38" customFormat="false" ht="15" hidden="false" customHeight="false" outlineLevel="0" collapsed="false">
      <c r="A38" s="9" t="n">
        <v>34</v>
      </c>
      <c r="B38" s="9" t="s">
        <v>857</v>
      </c>
      <c r="C38" s="9" t="s">
        <v>845</v>
      </c>
      <c r="D38" s="9" t="s">
        <v>854</v>
      </c>
      <c r="E38" s="11" t="n">
        <v>46219</v>
      </c>
      <c r="F38" s="12" t="n">
        <v>880</v>
      </c>
      <c r="G38" s="13" t="n">
        <v>469.2864</v>
      </c>
      <c r="H38" s="12" t="n">
        <v>880</v>
      </c>
      <c r="I38" s="13" t="n">
        <v>469.2864</v>
      </c>
      <c r="J38" s="9" t="s">
        <v>64</v>
      </c>
    </row>
    <row r="39" customFormat="false" ht="15" hidden="false" customHeight="false" outlineLevel="0" collapsed="false">
      <c r="A39" s="9" t="n">
        <v>35</v>
      </c>
      <c r="B39" s="9" t="s">
        <v>659</v>
      </c>
      <c r="C39" s="9" t="s">
        <v>655</v>
      </c>
      <c r="D39" s="9" t="s">
        <v>656</v>
      </c>
      <c r="E39" s="11" t="n">
        <v>46178</v>
      </c>
      <c r="F39" s="12" t="n">
        <v>1500</v>
      </c>
      <c r="G39" s="13" t="n">
        <v>99</v>
      </c>
      <c r="H39" s="12" t="n">
        <v>1500</v>
      </c>
      <c r="I39" s="13" t="n">
        <v>99</v>
      </c>
      <c r="J39" s="9" t="s">
        <v>64</v>
      </c>
    </row>
    <row r="40" customFormat="false" ht="15" hidden="false" customHeight="false" outlineLevel="0" collapsed="false">
      <c r="A40" s="9" t="n">
        <v>36</v>
      </c>
      <c r="B40" s="9" t="s">
        <v>663</v>
      </c>
      <c r="C40" s="9" t="s">
        <v>655</v>
      </c>
      <c r="D40" s="9" t="s">
        <v>660</v>
      </c>
      <c r="E40" s="11" t="n">
        <v>46179</v>
      </c>
      <c r="F40" s="12" t="n">
        <v>180</v>
      </c>
      <c r="G40" s="13" t="n">
        <v>152.5122</v>
      </c>
      <c r="H40" s="12" t="n">
        <v>180</v>
      </c>
      <c r="I40" s="13" t="n">
        <v>152.5122</v>
      </c>
      <c r="J40" s="9" t="s">
        <v>64</v>
      </c>
    </row>
    <row r="41" customFormat="false" ht="15" hidden="false" customHeight="false" outlineLevel="0" collapsed="false">
      <c r="A41" s="9" t="n">
        <v>37</v>
      </c>
      <c r="B41" s="9" t="s">
        <v>667</v>
      </c>
      <c r="C41" s="9" t="s">
        <v>655</v>
      </c>
      <c r="D41" s="9" t="s">
        <v>664</v>
      </c>
      <c r="E41" s="11" t="n">
        <v>46161</v>
      </c>
      <c r="F41" s="12" t="n">
        <v>2000</v>
      </c>
      <c r="G41" s="13" t="n">
        <v>172.82</v>
      </c>
      <c r="H41" s="12" t="n">
        <v>2000</v>
      </c>
      <c r="I41" s="13" t="n">
        <v>172.82</v>
      </c>
      <c r="J41" s="9" t="s">
        <v>64</v>
      </c>
    </row>
    <row r="42" customFormat="false" ht="15" hidden="false" customHeight="false" outlineLevel="0" collapsed="false">
      <c r="A42" s="9" t="n">
        <v>38</v>
      </c>
      <c r="B42" s="9" t="s">
        <v>50</v>
      </c>
      <c r="C42" s="9" t="s">
        <v>46</v>
      </c>
      <c r="D42" s="9" t="s">
        <v>47</v>
      </c>
      <c r="E42" s="11" t="n">
        <v>46221</v>
      </c>
      <c r="F42" s="12" t="n">
        <v>4260</v>
      </c>
      <c r="G42" s="13" t="n">
        <v>979.587</v>
      </c>
      <c r="H42" s="12" t="n">
        <v>4260</v>
      </c>
      <c r="I42" s="13" t="n">
        <v>979.587</v>
      </c>
      <c r="J42" s="9" t="s">
        <v>51</v>
      </c>
    </row>
    <row r="43" customFormat="false" ht="15" hidden="false" customHeight="false" outlineLevel="0" collapsed="false">
      <c r="A43" s="9" t="n">
        <v>39</v>
      </c>
      <c r="B43" s="9" t="s">
        <v>610</v>
      </c>
      <c r="C43" s="9" t="s">
        <v>606</v>
      </c>
      <c r="D43" s="9" t="s">
        <v>607</v>
      </c>
      <c r="E43" s="11" t="n">
        <v>46209</v>
      </c>
      <c r="F43" s="12" t="n">
        <v>1240</v>
      </c>
      <c r="G43" s="13" t="n">
        <v>262.5328</v>
      </c>
      <c r="H43" s="12" t="n">
        <v>1240</v>
      </c>
      <c r="I43" s="13" t="n">
        <v>262.5328</v>
      </c>
      <c r="J43" s="9" t="s">
        <v>51</v>
      </c>
    </row>
    <row r="44" customFormat="false" ht="15" hidden="false" customHeight="false" outlineLevel="0" collapsed="false">
      <c r="A44" s="9" t="n">
        <v>40</v>
      </c>
      <c r="B44" s="9" t="s">
        <v>761</v>
      </c>
      <c r="C44" s="9" t="s">
        <v>757</v>
      </c>
      <c r="D44" s="9" t="s">
        <v>758</v>
      </c>
      <c r="E44" s="11" t="n">
        <v>46172</v>
      </c>
      <c r="F44" s="12" t="n">
        <v>100</v>
      </c>
      <c r="G44" s="13" t="n">
        <v>18.048</v>
      </c>
      <c r="H44" s="12" t="n">
        <v>100</v>
      </c>
      <c r="I44" s="13" t="n">
        <v>18.048</v>
      </c>
      <c r="J44" s="9" t="s">
        <v>155</v>
      </c>
    </row>
    <row r="45" customFormat="false" ht="15" hidden="false" customHeight="false" outlineLevel="0" collapsed="false">
      <c r="A45" s="9" t="n">
        <v>41</v>
      </c>
      <c r="B45" s="9" t="s">
        <v>751</v>
      </c>
      <c r="C45" s="9" t="s">
        <v>747</v>
      </c>
      <c r="D45" s="9" t="s">
        <v>748</v>
      </c>
      <c r="E45" s="11" t="n">
        <v>46204</v>
      </c>
      <c r="F45" s="12" t="n">
        <v>750</v>
      </c>
      <c r="G45" s="13" t="n">
        <v>77.1375</v>
      </c>
      <c r="H45" s="12" t="n">
        <v>750</v>
      </c>
      <c r="I45" s="13" t="n">
        <v>77.1375</v>
      </c>
      <c r="J45" s="9" t="s">
        <v>64</v>
      </c>
    </row>
    <row r="46" customFormat="false" ht="15" hidden="false" customHeight="false" outlineLevel="0" collapsed="false">
      <c r="A46" s="9" t="n">
        <v>42</v>
      </c>
      <c r="B46" s="9" t="s">
        <v>288</v>
      </c>
      <c r="C46" s="9" t="s">
        <v>284</v>
      </c>
      <c r="D46" s="9" t="s">
        <v>285</v>
      </c>
      <c r="E46" s="11" t="n">
        <v>46199</v>
      </c>
      <c r="F46" s="12" t="n">
        <v>1000</v>
      </c>
      <c r="G46" s="13" t="n">
        <v>732.78</v>
      </c>
      <c r="H46" s="12" t="n">
        <v>1000</v>
      </c>
      <c r="I46" s="13" t="n">
        <v>732.78</v>
      </c>
      <c r="J46" s="9" t="s">
        <v>64</v>
      </c>
    </row>
    <row r="47" customFormat="false" ht="15" hidden="false" customHeight="false" outlineLevel="0" collapsed="false">
      <c r="A47" s="9" t="n">
        <v>43</v>
      </c>
      <c r="B47" s="9" t="s">
        <v>917</v>
      </c>
      <c r="C47" s="9" t="s">
        <v>913</v>
      </c>
      <c r="D47" s="9" t="s">
        <v>914</v>
      </c>
      <c r="E47" s="11" t="n">
        <v>46234</v>
      </c>
      <c r="F47" s="12" t="n">
        <v>4800</v>
      </c>
      <c r="G47" s="13" t="n">
        <v>539.664</v>
      </c>
      <c r="H47" s="12" t="n">
        <v>4800</v>
      </c>
      <c r="I47" s="13" t="n">
        <v>539.664</v>
      </c>
      <c r="J47" s="9"/>
    </row>
    <row r="48" customFormat="false" ht="15" hidden="false" customHeight="false" outlineLevel="0" collapsed="false">
      <c r="A48" s="9" t="n">
        <v>44</v>
      </c>
      <c r="B48" s="9" t="s">
        <v>1032</v>
      </c>
      <c r="C48" s="9" t="s">
        <v>1028</v>
      </c>
      <c r="D48" s="9" t="s">
        <v>1029</v>
      </c>
      <c r="E48" s="11" t="n">
        <v>46171</v>
      </c>
      <c r="F48" s="12" t="n">
        <v>110</v>
      </c>
      <c r="G48" s="13" t="n">
        <v>61.4064</v>
      </c>
      <c r="H48" s="12" t="n">
        <v>110</v>
      </c>
      <c r="I48" s="13" t="n">
        <v>61.4064</v>
      </c>
      <c r="J48" s="9"/>
    </row>
    <row r="49" customFormat="false" ht="15" hidden="false" customHeight="false" outlineLevel="0" collapsed="false">
      <c r="A49" s="9" t="n">
        <v>45</v>
      </c>
      <c r="B49" s="9" t="s">
        <v>220</v>
      </c>
      <c r="C49" s="9" t="s">
        <v>205</v>
      </c>
      <c r="D49" s="9" t="s">
        <v>217</v>
      </c>
      <c r="E49" s="11" t="n">
        <v>46221</v>
      </c>
      <c r="F49" s="12" t="n">
        <v>3311</v>
      </c>
      <c r="G49" s="13" t="n">
        <v>824.40168</v>
      </c>
      <c r="H49" s="12" t="n">
        <v>511</v>
      </c>
      <c r="I49" s="13" t="n">
        <v>133.24968</v>
      </c>
      <c r="J49" s="9" t="s">
        <v>64</v>
      </c>
    </row>
    <row r="50" customFormat="false" ht="15" hidden="false" customHeight="false" outlineLevel="0" collapsed="false">
      <c r="A50" s="9" t="n">
        <v>46</v>
      </c>
      <c r="B50" s="9" t="s">
        <v>572</v>
      </c>
      <c r="C50" s="9" t="s">
        <v>568</v>
      </c>
      <c r="D50" s="9" t="s">
        <v>569</v>
      </c>
      <c r="E50" s="11" t="n">
        <v>46234</v>
      </c>
      <c r="F50" s="12" t="n">
        <v>9600</v>
      </c>
      <c r="G50" s="13" t="n">
        <v>264.864</v>
      </c>
      <c r="H50" s="12" t="n">
        <v>0</v>
      </c>
      <c r="I50" s="13" t="n">
        <v>0</v>
      </c>
      <c r="J50" s="9"/>
    </row>
    <row r="51" customFormat="false" ht="15" hidden="false" customHeight="false" outlineLevel="0" collapsed="false">
      <c r="A51" s="9" t="n">
        <v>47</v>
      </c>
      <c r="B51" s="9" t="s">
        <v>875</v>
      </c>
      <c r="C51" s="9" t="s">
        <v>871</v>
      </c>
      <c r="D51" s="9" t="s">
        <v>872</v>
      </c>
      <c r="E51" s="11" t="n">
        <v>46184</v>
      </c>
      <c r="F51" s="12" t="n">
        <v>600</v>
      </c>
      <c r="G51" s="13" t="n">
        <v>164.268</v>
      </c>
      <c r="H51" s="12" t="n">
        <v>600</v>
      </c>
      <c r="I51" s="13" t="n">
        <v>164.268</v>
      </c>
      <c r="J51" s="9" t="s">
        <v>64</v>
      </c>
    </row>
    <row r="52" customFormat="false" ht="15" hidden="false" customHeight="false" outlineLevel="0" collapsed="false">
      <c r="A52" s="9" t="n">
        <v>48</v>
      </c>
      <c r="B52" s="9" t="s">
        <v>812</v>
      </c>
      <c r="C52" s="9" t="s">
        <v>800</v>
      </c>
      <c r="D52" s="9" t="s">
        <v>809</v>
      </c>
      <c r="E52" s="11" t="n">
        <v>46218</v>
      </c>
      <c r="F52" s="12" t="n">
        <v>3000</v>
      </c>
      <c r="G52" s="13" t="n">
        <v>219.3</v>
      </c>
      <c r="H52" s="12" t="n">
        <v>3000</v>
      </c>
      <c r="I52" s="13" t="n">
        <v>219.3</v>
      </c>
      <c r="J52" s="9" t="s">
        <v>64</v>
      </c>
    </row>
    <row r="53" customFormat="false" ht="15" hidden="false" customHeight="false" outlineLevel="0" collapsed="false">
      <c r="A53" s="9" t="n">
        <v>49</v>
      </c>
      <c r="B53" s="9" t="s">
        <v>816</v>
      </c>
      <c r="C53" s="9" t="s">
        <v>800</v>
      </c>
      <c r="D53" s="9" t="s">
        <v>813</v>
      </c>
      <c r="E53" s="11" t="n">
        <v>46214</v>
      </c>
      <c r="F53" s="12" t="n">
        <v>450</v>
      </c>
      <c r="G53" s="13" t="n">
        <v>105.237</v>
      </c>
      <c r="H53" s="12" t="n">
        <v>450</v>
      </c>
      <c r="I53" s="13" t="n">
        <v>105.237</v>
      </c>
      <c r="J53" s="9" t="s">
        <v>64</v>
      </c>
    </row>
    <row r="54" customFormat="false" ht="15" hidden="false" customHeight="false" outlineLevel="0" collapsed="false">
      <c r="A54" s="9" t="n">
        <v>50</v>
      </c>
      <c r="B54" s="9" t="s">
        <v>820</v>
      </c>
      <c r="C54" s="9" t="s">
        <v>800</v>
      </c>
      <c r="D54" s="9" t="s">
        <v>817</v>
      </c>
      <c r="E54" s="11" t="n">
        <v>46209</v>
      </c>
      <c r="F54" s="12" t="n">
        <v>3220</v>
      </c>
      <c r="G54" s="13" t="n">
        <v>762.013</v>
      </c>
      <c r="H54" s="12" t="n">
        <v>3220</v>
      </c>
      <c r="I54" s="13" t="n">
        <v>762.013</v>
      </c>
      <c r="J54" s="9"/>
    </row>
    <row r="55" customFormat="false" ht="15" hidden="false" customHeight="false" outlineLevel="0" collapsed="false">
      <c r="A55" s="9" t="n">
        <v>51</v>
      </c>
      <c r="B55" s="9" t="s">
        <v>256</v>
      </c>
      <c r="C55" s="9" t="s">
        <v>252</v>
      </c>
      <c r="D55" s="9" t="s">
        <v>253</v>
      </c>
      <c r="E55" s="11" t="n">
        <v>46217</v>
      </c>
      <c r="F55" s="12" t="n">
        <v>360</v>
      </c>
      <c r="G55" s="13" t="n">
        <v>227.6532</v>
      </c>
      <c r="H55" s="12" t="n">
        <v>360</v>
      </c>
      <c r="I55" s="13" t="n">
        <v>227.6532</v>
      </c>
      <c r="J55" s="9" t="s">
        <v>77</v>
      </c>
    </row>
    <row r="56" customFormat="false" ht="15" hidden="false" customHeight="false" outlineLevel="0" collapsed="false">
      <c r="A56" s="9" t="n">
        <v>52</v>
      </c>
      <c r="B56" s="9" t="s">
        <v>265</v>
      </c>
      <c r="C56" s="9" t="s">
        <v>257</v>
      </c>
      <c r="D56" s="9" t="s">
        <v>262</v>
      </c>
      <c r="E56" s="11" t="n">
        <v>46234</v>
      </c>
      <c r="F56" s="12" t="n">
        <v>5250</v>
      </c>
      <c r="G56" s="13" t="n">
        <v>2254.245</v>
      </c>
      <c r="H56" s="12" t="n">
        <v>0</v>
      </c>
      <c r="I56" s="13" t="n">
        <v>0</v>
      </c>
      <c r="J56" s="9"/>
    </row>
    <row r="57" customFormat="false" ht="15" hidden="false" customHeight="false" outlineLevel="0" collapsed="false">
      <c r="A57" s="9" t="n">
        <v>53</v>
      </c>
      <c r="B57" s="9" t="s">
        <v>269</v>
      </c>
      <c r="C57" s="9" t="s">
        <v>257</v>
      </c>
      <c r="D57" s="9" t="s">
        <v>266</v>
      </c>
      <c r="E57" s="11" t="n">
        <v>46234</v>
      </c>
      <c r="F57" s="12" t="n">
        <v>5290</v>
      </c>
      <c r="G57" s="13" t="n">
        <v>2251.0008</v>
      </c>
      <c r="H57" s="12" t="n">
        <v>0</v>
      </c>
      <c r="I57" s="13" t="n">
        <v>0</v>
      </c>
      <c r="J57" s="9"/>
    </row>
    <row r="58" customFormat="false" ht="15" hidden="false" customHeight="false" outlineLevel="0" collapsed="false">
      <c r="A58" s="9" t="n">
        <v>54</v>
      </c>
      <c r="B58" s="9" t="s">
        <v>567</v>
      </c>
      <c r="C58" s="9" t="s">
        <v>563</v>
      </c>
      <c r="D58" s="9" t="s">
        <v>564</v>
      </c>
      <c r="E58" s="11" t="n">
        <v>46191</v>
      </c>
      <c r="F58" s="12" t="n">
        <v>99</v>
      </c>
      <c r="G58" s="13" t="n">
        <v>849.67047</v>
      </c>
      <c r="H58" s="12" t="n">
        <v>99</v>
      </c>
      <c r="I58" s="13" t="n">
        <v>849.67047</v>
      </c>
      <c r="J58" s="9"/>
    </row>
    <row r="59" customFormat="false" ht="15" hidden="false" customHeight="false" outlineLevel="0" collapsed="false">
      <c r="A59" s="9" t="n">
        <v>55</v>
      </c>
      <c r="B59" s="9" t="s">
        <v>71</v>
      </c>
      <c r="C59" s="9" t="s">
        <v>67</v>
      </c>
      <c r="D59" s="9" t="s">
        <v>68</v>
      </c>
      <c r="E59" s="11" t="n">
        <v>46227</v>
      </c>
      <c r="F59" s="12" t="n">
        <v>3660</v>
      </c>
      <c r="G59" s="13" t="n">
        <v>702.537</v>
      </c>
      <c r="H59" s="12" t="n">
        <v>3660</v>
      </c>
      <c r="I59" s="13" t="n">
        <v>702.537</v>
      </c>
      <c r="J59" s="9" t="s">
        <v>51</v>
      </c>
    </row>
    <row r="60" customFormat="false" ht="15" hidden="false" customHeight="false" outlineLevel="0" collapsed="false">
      <c r="A60" s="9" t="n">
        <v>56</v>
      </c>
      <c r="B60" s="9" t="s">
        <v>1275</v>
      </c>
      <c r="C60" s="9" t="s">
        <v>1271</v>
      </c>
      <c r="D60" s="9" t="s">
        <v>1272</v>
      </c>
      <c r="E60" s="11" t="n">
        <v>46231</v>
      </c>
      <c r="F60" s="12" t="n">
        <v>2040</v>
      </c>
      <c r="G60" s="13" t="n">
        <v>1886.6532</v>
      </c>
      <c r="H60" s="12" t="n">
        <v>2040</v>
      </c>
      <c r="I60" s="13" t="n">
        <v>1886.6532</v>
      </c>
      <c r="J60" s="9" t="s">
        <v>51</v>
      </c>
    </row>
    <row r="61" customFormat="false" ht="15" hidden="false" customHeight="false" outlineLevel="0" collapsed="false">
      <c r="A61" s="9" t="n">
        <v>57</v>
      </c>
      <c r="B61" s="9" t="s">
        <v>1279</v>
      </c>
      <c r="C61" s="9" t="s">
        <v>1271</v>
      </c>
      <c r="D61" s="9" t="s">
        <v>1276</v>
      </c>
      <c r="E61" s="11" t="n">
        <v>46231</v>
      </c>
      <c r="F61" s="12" t="n">
        <v>4320</v>
      </c>
      <c r="G61" s="13" t="n">
        <v>375.192</v>
      </c>
      <c r="H61" s="12" t="n">
        <v>4320</v>
      </c>
      <c r="I61" s="13" t="n">
        <v>375.192</v>
      </c>
      <c r="J61" s="9" t="s">
        <v>51</v>
      </c>
    </row>
    <row r="62" customFormat="false" ht="15" hidden="false" customHeight="false" outlineLevel="0" collapsed="false">
      <c r="A62" s="9" t="n">
        <v>58</v>
      </c>
      <c r="B62" s="9" t="s">
        <v>697</v>
      </c>
      <c r="C62" s="9" t="s">
        <v>693</v>
      </c>
      <c r="D62" s="9" t="s">
        <v>694</v>
      </c>
      <c r="E62" s="11" t="n">
        <v>46226</v>
      </c>
      <c r="F62" s="12" t="n">
        <v>5220</v>
      </c>
      <c r="G62" s="13" t="n">
        <v>1343.8368</v>
      </c>
      <c r="H62" s="12" t="n">
        <v>5220</v>
      </c>
      <c r="I62" s="13" t="n">
        <v>1343.8368</v>
      </c>
      <c r="J62" s="9"/>
    </row>
    <row r="63" customFormat="false" ht="15" hidden="false" customHeight="false" outlineLevel="0" collapsed="false">
      <c r="A63" s="9" t="n">
        <v>59</v>
      </c>
      <c r="B63" s="9" t="s">
        <v>1170</v>
      </c>
      <c r="C63" s="9" t="s">
        <v>1162</v>
      </c>
      <c r="D63" s="9" t="s">
        <v>1167</v>
      </c>
      <c r="E63" s="11" t="n">
        <v>46203</v>
      </c>
      <c r="F63" s="12" t="n">
        <v>12000</v>
      </c>
      <c r="G63" s="13" t="n">
        <v>741.6</v>
      </c>
      <c r="H63" s="12" t="n">
        <v>12000</v>
      </c>
      <c r="I63" s="13" t="n">
        <v>741.6</v>
      </c>
      <c r="J63" s="9" t="s">
        <v>64</v>
      </c>
    </row>
    <row r="64" customFormat="false" ht="15" hidden="false" customHeight="false" outlineLevel="0" collapsed="false">
      <c r="A64" s="9" t="n">
        <v>60</v>
      </c>
      <c r="B64" s="9" t="s">
        <v>1174</v>
      </c>
      <c r="C64" s="9" t="s">
        <v>1162</v>
      </c>
      <c r="D64" s="9" t="s">
        <v>1171</v>
      </c>
      <c r="E64" s="11" t="n">
        <v>46194</v>
      </c>
      <c r="F64" s="12" t="n">
        <v>520</v>
      </c>
      <c r="G64" s="13" t="n">
        <v>140.0464</v>
      </c>
      <c r="H64" s="12" t="n">
        <v>520</v>
      </c>
      <c r="I64" s="13" t="n">
        <v>140.0464</v>
      </c>
      <c r="J64" s="9" t="s">
        <v>64</v>
      </c>
    </row>
    <row r="65" customFormat="false" ht="15" hidden="false" customHeight="false" outlineLevel="0" collapsed="false">
      <c r="A65" s="9" t="n">
        <v>61</v>
      </c>
      <c r="B65" s="9" t="s">
        <v>1045</v>
      </c>
      <c r="C65" s="9" t="s">
        <v>1037</v>
      </c>
      <c r="D65" s="9" t="s">
        <v>1042</v>
      </c>
      <c r="E65" s="11" t="n">
        <v>46203</v>
      </c>
      <c r="F65" s="12" t="n">
        <v>390</v>
      </c>
      <c r="G65" s="13" t="n">
        <v>203.6814</v>
      </c>
      <c r="H65" s="12" t="n">
        <v>390</v>
      </c>
      <c r="I65" s="13" t="n">
        <v>203.6814</v>
      </c>
      <c r="J65" s="9"/>
    </row>
    <row r="66" customFormat="false" ht="15" hidden="false" customHeight="false" outlineLevel="0" collapsed="false">
      <c r="A66" s="9" t="n">
        <v>62</v>
      </c>
      <c r="B66" s="9" t="s">
        <v>1048</v>
      </c>
      <c r="C66" s="9" t="s">
        <v>1037</v>
      </c>
      <c r="D66" s="9" t="s">
        <v>1046</v>
      </c>
      <c r="E66" s="11" t="n">
        <v>46191</v>
      </c>
      <c r="F66" s="12" t="n">
        <v>140</v>
      </c>
      <c r="G66" s="13" t="n">
        <v>73.1164</v>
      </c>
      <c r="H66" s="12" t="n">
        <v>140</v>
      </c>
      <c r="I66" s="13" t="n">
        <v>73.1164</v>
      </c>
      <c r="J66" s="9"/>
    </row>
    <row r="67" customFormat="false" ht="15" hidden="false" customHeight="false" outlineLevel="0" collapsed="false">
      <c r="A67" s="9" t="n">
        <v>63</v>
      </c>
      <c r="B67" s="9" t="s">
        <v>160</v>
      </c>
      <c r="C67" s="9" t="s">
        <v>156</v>
      </c>
      <c r="D67" s="9" t="s">
        <v>157</v>
      </c>
      <c r="E67" s="11" t="n">
        <v>46212</v>
      </c>
      <c r="F67" s="12" t="n">
        <v>125</v>
      </c>
      <c r="G67" s="13" t="n">
        <v>257.365</v>
      </c>
      <c r="H67" s="12" t="n">
        <v>125</v>
      </c>
      <c r="I67" s="13" t="n">
        <v>257.365</v>
      </c>
      <c r="J67" s="9" t="s">
        <v>161</v>
      </c>
    </row>
    <row r="68" customFormat="false" ht="15" hidden="false" customHeight="false" outlineLevel="0" collapsed="false">
      <c r="A68" s="9" t="n">
        <v>64</v>
      </c>
      <c r="B68" s="9" t="s">
        <v>921</v>
      </c>
      <c r="C68" s="9" t="s">
        <v>913</v>
      </c>
      <c r="D68" s="9" t="s">
        <v>918</v>
      </c>
      <c r="E68" s="11" t="n">
        <v>46227</v>
      </c>
      <c r="F68" s="12" t="n">
        <v>2400</v>
      </c>
      <c r="G68" s="13" t="n">
        <v>297.84</v>
      </c>
      <c r="H68" s="12" t="n">
        <v>2400</v>
      </c>
      <c r="I68" s="13" t="n">
        <v>297.84</v>
      </c>
      <c r="J68" s="9"/>
    </row>
    <row r="69" customFormat="false" ht="15" hidden="false" customHeight="false" outlineLevel="0" collapsed="false">
      <c r="A69" s="9" t="n">
        <v>65</v>
      </c>
      <c r="B69" s="9" t="s">
        <v>348</v>
      </c>
      <c r="C69" s="9" t="s">
        <v>344</v>
      </c>
      <c r="D69" s="9" t="s">
        <v>345</v>
      </c>
      <c r="E69" s="11" t="n">
        <v>46199</v>
      </c>
      <c r="F69" s="12" t="n">
        <v>777</v>
      </c>
      <c r="G69" s="13" t="n">
        <v>627.00015</v>
      </c>
      <c r="H69" s="12" t="n">
        <v>777</v>
      </c>
      <c r="I69" s="13" t="n">
        <v>627.00015</v>
      </c>
      <c r="J69" s="9" t="s">
        <v>155</v>
      </c>
    </row>
    <row r="70" customFormat="false" ht="15" hidden="false" customHeight="false" outlineLevel="0" collapsed="false">
      <c r="A70" s="9" t="n">
        <v>66</v>
      </c>
      <c r="B70" s="9" t="s">
        <v>1177</v>
      </c>
      <c r="C70" s="9" t="s">
        <v>1162</v>
      </c>
      <c r="D70" s="9" t="s">
        <v>1175</v>
      </c>
      <c r="E70" s="11" t="n">
        <v>46225</v>
      </c>
      <c r="F70" s="12" t="n">
        <v>1300</v>
      </c>
      <c r="G70" s="13" t="n">
        <v>405.327</v>
      </c>
      <c r="H70" s="12" t="n">
        <v>1300</v>
      </c>
      <c r="I70" s="13" t="n">
        <v>405.327</v>
      </c>
      <c r="J70" s="9"/>
    </row>
    <row r="71" customFormat="false" ht="15" hidden="false" customHeight="false" outlineLevel="0" collapsed="false">
      <c r="A71" s="9" t="n">
        <v>67</v>
      </c>
      <c r="B71" s="9" t="s">
        <v>824</v>
      </c>
      <c r="C71" s="9" t="s">
        <v>800</v>
      </c>
      <c r="D71" s="9" t="s">
        <v>821</v>
      </c>
      <c r="E71" s="11" t="n">
        <v>46209</v>
      </c>
      <c r="F71" s="12" t="n">
        <v>3200</v>
      </c>
      <c r="G71" s="13" t="n">
        <v>748.256</v>
      </c>
      <c r="H71" s="12" t="n">
        <v>3200</v>
      </c>
      <c r="I71" s="13" t="n">
        <v>748.256</v>
      </c>
      <c r="J71" s="9"/>
    </row>
    <row r="72" customFormat="false" ht="15" hidden="false" customHeight="false" outlineLevel="0" collapsed="false">
      <c r="A72" s="9" t="n">
        <v>68</v>
      </c>
      <c r="B72" s="9" t="s">
        <v>827</v>
      </c>
      <c r="C72" s="9" t="s">
        <v>800</v>
      </c>
      <c r="D72" s="9" t="s">
        <v>825</v>
      </c>
      <c r="E72" s="11" t="n">
        <v>46217</v>
      </c>
      <c r="F72" s="12" t="n">
        <v>320</v>
      </c>
      <c r="G72" s="13" t="n">
        <v>74.8256</v>
      </c>
      <c r="H72" s="12" t="n">
        <v>320</v>
      </c>
      <c r="I72" s="13" t="n">
        <v>74.8256</v>
      </c>
      <c r="J72" s="9" t="s">
        <v>64</v>
      </c>
    </row>
    <row r="73" customFormat="false" ht="15" hidden="false" customHeight="false" outlineLevel="0" collapsed="false">
      <c r="A73" s="9" t="n">
        <v>69</v>
      </c>
      <c r="B73" s="9" t="s">
        <v>545</v>
      </c>
      <c r="C73" s="9" t="s">
        <v>541</v>
      </c>
      <c r="D73" s="9" t="s">
        <v>542</v>
      </c>
      <c r="E73" s="11" t="n">
        <v>46195</v>
      </c>
      <c r="F73" s="12" t="n">
        <v>480</v>
      </c>
      <c r="G73" s="13" t="n">
        <v>115.7328</v>
      </c>
      <c r="H73" s="12" t="n">
        <v>480</v>
      </c>
      <c r="I73" s="13" t="n">
        <v>115.7328</v>
      </c>
      <c r="J73" s="9" t="s">
        <v>64</v>
      </c>
    </row>
    <row r="74" customFormat="false" ht="15" hidden="false" customHeight="false" outlineLevel="0" collapsed="false">
      <c r="A74" s="9" t="n">
        <v>70</v>
      </c>
      <c r="B74" s="9" t="s">
        <v>106</v>
      </c>
      <c r="C74" s="9" t="s">
        <v>102</v>
      </c>
      <c r="D74" s="9" t="s">
        <v>103</v>
      </c>
      <c r="E74" s="11" t="n">
        <v>46194</v>
      </c>
      <c r="F74" s="12" t="n">
        <v>390</v>
      </c>
      <c r="G74" s="13" t="n">
        <v>190.4487</v>
      </c>
      <c r="H74" s="12" t="n">
        <v>390</v>
      </c>
      <c r="I74" s="13" t="n">
        <v>190.4487</v>
      </c>
      <c r="J74" s="9" t="s">
        <v>64</v>
      </c>
    </row>
    <row r="75" customFormat="false" ht="15" hidden="false" customHeight="false" outlineLevel="0" collapsed="false">
      <c r="A75" s="9" t="n">
        <v>71</v>
      </c>
      <c r="B75" s="9" t="s">
        <v>671</v>
      </c>
      <c r="C75" s="9" t="s">
        <v>655</v>
      </c>
      <c r="D75" s="9" t="s">
        <v>668</v>
      </c>
      <c r="E75" s="11" t="n">
        <v>46190</v>
      </c>
      <c r="F75" s="12" t="n">
        <v>1400</v>
      </c>
      <c r="G75" s="13" t="n">
        <v>113.386</v>
      </c>
      <c r="H75" s="12" t="n">
        <v>1400</v>
      </c>
      <c r="I75" s="13" t="n">
        <v>113.386</v>
      </c>
      <c r="J75" s="9" t="s">
        <v>64</v>
      </c>
    </row>
    <row r="76" customFormat="false" ht="15" hidden="false" customHeight="false" outlineLevel="0" collapsed="false">
      <c r="A76" s="9" t="n">
        <v>72</v>
      </c>
      <c r="B76" s="9" t="s">
        <v>228</v>
      </c>
      <c r="C76" s="9" t="s">
        <v>224</v>
      </c>
      <c r="D76" s="9" t="s">
        <v>225</v>
      </c>
      <c r="E76" s="11" t="n">
        <v>46206</v>
      </c>
      <c r="F76" s="12" t="n">
        <v>1000</v>
      </c>
      <c r="G76" s="13" t="n">
        <v>1666.64</v>
      </c>
      <c r="H76" s="12" t="n">
        <v>1000</v>
      </c>
      <c r="I76" s="13" t="n">
        <v>1666.64</v>
      </c>
      <c r="J76" s="9" t="s">
        <v>64</v>
      </c>
    </row>
    <row r="77" customFormat="false" ht="15" hidden="false" customHeight="false" outlineLevel="0" collapsed="false">
      <c r="A77" s="9" t="n">
        <v>73</v>
      </c>
      <c r="B77" s="9" t="s">
        <v>481</v>
      </c>
      <c r="C77" s="9" t="s">
        <v>477</v>
      </c>
      <c r="D77" s="9" t="s">
        <v>478</v>
      </c>
      <c r="E77" s="11" t="n">
        <v>46234</v>
      </c>
      <c r="F77" s="12" t="n">
        <v>4500</v>
      </c>
      <c r="G77" s="13" t="n">
        <v>3498.66</v>
      </c>
      <c r="H77" s="12" t="n">
        <v>4500</v>
      </c>
      <c r="I77" s="13" t="n">
        <v>3498.66</v>
      </c>
      <c r="J77" s="9"/>
    </row>
    <row r="78" customFormat="false" ht="15" hidden="false" customHeight="false" outlineLevel="0" collapsed="false">
      <c r="A78" s="9" t="n">
        <v>74</v>
      </c>
      <c r="B78" s="9" t="s">
        <v>925</v>
      </c>
      <c r="C78" s="9" t="s">
        <v>913</v>
      </c>
      <c r="D78" s="9" t="s">
        <v>922</v>
      </c>
      <c r="E78" s="11" t="n">
        <v>46236</v>
      </c>
      <c r="F78" s="12" t="n">
        <v>6800</v>
      </c>
      <c r="G78" s="13" t="n">
        <v>926.772</v>
      </c>
      <c r="H78" s="12" t="n">
        <v>35600</v>
      </c>
      <c r="I78" s="13" t="n">
        <v>4851.924</v>
      </c>
      <c r="J78" s="9"/>
    </row>
    <row r="79" customFormat="false" ht="15" hidden="false" customHeight="false" outlineLevel="0" collapsed="false">
      <c r="A79" s="9" t="n">
        <v>75</v>
      </c>
      <c r="B79" s="9" t="s">
        <v>377</v>
      </c>
      <c r="C79" s="9" t="s">
        <v>373</v>
      </c>
      <c r="D79" s="9" t="s">
        <v>374</v>
      </c>
      <c r="E79" s="11" t="n">
        <v>46226</v>
      </c>
      <c r="F79" s="12" t="n">
        <v>1000</v>
      </c>
      <c r="G79" s="13" t="n">
        <v>424.95</v>
      </c>
      <c r="H79" s="12" t="n">
        <v>1000</v>
      </c>
      <c r="I79" s="13" t="n">
        <v>424.95</v>
      </c>
      <c r="J79" s="9" t="s">
        <v>64</v>
      </c>
    </row>
    <row r="80" customFormat="false" ht="15" hidden="false" customHeight="false" outlineLevel="0" collapsed="false">
      <c r="A80" s="9" t="n">
        <v>76</v>
      </c>
      <c r="B80" s="9" t="s">
        <v>343</v>
      </c>
      <c r="C80" s="9" t="s">
        <v>339</v>
      </c>
      <c r="D80" s="9" t="s">
        <v>340</v>
      </c>
      <c r="E80" s="11" t="n">
        <v>46232</v>
      </c>
      <c r="F80" s="12" t="n">
        <v>700</v>
      </c>
      <c r="G80" s="13" t="n">
        <v>177.555</v>
      </c>
      <c r="H80" s="12" t="n">
        <v>700</v>
      </c>
      <c r="I80" s="13" t="n">
        <v>177.555</v>
      </c>
      <c r="J80" s="9"/>
    </row>
    <row r="81" customFormat="false" ht="15" hidden="false" customHeight="false" outlineLevel="0" collapsed="false">
      <c r="A81" s="9" t="n">
        <v>77</v>
      </c>
      <c r="B81" s="9" t="s">
        <v>308</v>
      </c>
      <c r="C81" s="9" t="s">
        <v>304</v>
      </c>
      <c r="D81" s="9" t="s">
        <v>305</v>
      </c>
      <c r="E81" s="11" t="n">
        <v>46213</v>
      </c>
      <c r="F81" s="12" t="n">
        <v>1800</v>
      </c>
      <c r="G81" s="13" t="n">
        <v>680.76</v>
      </c>
      <c r="H81" s="12" t="n">
        <v>1800</v>
      </c>
      <c r="I81" s="13" t="n">
        <v>680.76</v>
      </c>
      <c r="J81" s="9" t="s">
        <v>64</v>
      </c>
    </row>
    <row r="82" customFormat="false" ht="15" hidden="false" customHeight="false" outlineLevel="0" collapsed="false">
      <c r="A82" s="9" t="n">
        <v>78</v>
      </c>
      <c r="B82" s="9" t="s">
        <v>357</v>
      </c>
      <c r="C82" s="9" t="s">
        <v>353</v>
      </c>
      <c r="D82" s="9" t="s">
        <v>354</v>
      </c>
      <c r="E82" s="11" t="n">
        <v>46195</v>
      </c>
      <c r="F82" s="12" t="n">
        <v>200</v>
      </c>
      <c r="G82" s="13" t="n">
        <v>51.956</v>
      </c>
      <c r="H82" s="12" t="n">
        <v>200</v>
      </c>
      <c r="I82" s="13" t="n">
        <v>51.956</v>
      </c>
      <c r="J82" s="9"/>
    </row>
    <row r="83" customFormat="false" ht="15" hidden="false" customHeight="false" outlineLevel="0" collapsed="false">
      <c r="A83" s="9" t="n">
        <v>79</v>
      </c>
      <c r="B83" s="9" t="s">
        <v>1158</v>
      </c>
      <c r="C83" s="9" t="s">
        <v>1154</v>
      </c>
      <c r="D83" s="9" t="s">
        <v>1155</v>
      </c>
      <c r="E83" s="11" t="n">
        <v>46235</v>
      </c>
      <c r="F83" s="12" t="n">
        <v>46550</v>
      </c>
      <c r="G83" s="13" t="n">
        <v>6142.738</v>
      </c>
      <c r="H83" s="12" t="n">
        <v>0</v>
      </c>
      <c r="I83" s="13" t="n">
        <v>0</v>
      </c>
      <c r="J83" s="9"/>
    </row>
    <row r="84" customFormat="false" ht="15" hidden="false" customHeight="false" outlineLevel="0" collapsed="false">
      <c r="A84" s="9" t="n">
        <v>80</v>
      </c>
      <c r="B84" s="9" t="s">
        <v>496</v>
      </c>
      <c r="C84" s="9" t="s">
        <v>492</v>
      </c>
      <c r="D84" s="9" t="s">
        <v>493</v>
      </c>
      <c r="E84" s="11" t="n">
        <v>46215</v>
      </c>
      <c r="F84" s="12" t="n">
        <v>900</v>
      </c>
      <c r="G84" s="13" t="n">
        <v>97.938</v>
      </c>
      <c r="H84" s="12" t="n">
        <v>900</v>
      </c>
      <c r="I84" s="13" t="n">
        <v>97.938</v>
      </c>
      <c r="J84" s="9" t="s">
        <v>144</v>
      </c>
    </row>
    <row r="85" customFormat="false" ht="15" hidden="false" customHeight="false" outlineLevel="0" collapsed="false">
      <c r="A85" s="9" t="n">
        <v>81</v>
      </c>
      <c r="B85" s="9" t="s">
        <v>615</v>
      </c>
      <c r="C85" s="9" t="s">
        <v>611</v>
      </c>
      <c r="D85" s="9" t="s">
        <v>612</v>
      </c>
      <c r="E85" s="11" t="n">
        <v>46192</v>
      </c>
      <c r="F85" s="12" t="n">
        <v>1480</v>
      </c>
      <c r="G85" s="13" t="n">
        <v>473.2004</v>
      </c>
      <c r="H85" s="12" t="n">
        <v>1480</v>
      </c>
      <c r="I85" s="13" t="n">
        <v>473.2004</v>
      </c>
      <c r="J85" s="9" t="s">
        <v>155</v>
      </c>
    </row>
    <row r="86" customFormat="false" ht="15" hidden="false" customHeight="false" outlineLevel="0" collapsed="false">
      <c r="A86" s="9" t="n">
        <v>82</v>
      </c>
      <c r="B86" s="9" t="s">
        <v>1013</v>
      </c>
      <c r="C86" s="9" t="s">
        <v>1009</v>
      </c>
      <c r="D86" s="9" t="s">
        <v>1010</v>
      </c>
      <c r="E86" s="11" t="n">
        <v>46234</v>
      </c>
      <c r="F86" s="12" t="n">
        <v>22151</v>
      </c>
      <c r="G86" s="13" t="n">
        <v>10563.8119</v>
      </c>
      <c r="H86" s="12" t="n">
        <v>1031</v>
      </c>
      <c r="I86" s="13" t="n">
        <v>491.6839</v>
      </c>
      <c r="J86" s="9"/>
    </row>
    <row r="87" customFormat="false" ht="15" hidden="false" customHeight="false" outlineLevel="0" collapsed="false">
      <c r="A87" s="9" t="n">
        <v>83</v>
      </c>
      <c r="B87" s="9" t="s">
        <v>1325</v>
      </c>
      <c r="C87" s="9" t="s">
        <v>1321</v>
      </c>
      <c r="D87" s="9" t="s">
        <v>1322</v>
      </c>
      <c r="E87" s="11" t="n">
        <v>46194</v>
      </c>
      <c r="F87" s="12" t="n">
        <v>2320</v>
      </c>
      <c r="G87" s="13" t="n">
        <v>483.1632</v>
      </c>
      <c r="H87" s="12" t="n">
        <v>2320</v>
      </c>
      <c r="I87" s="13" t="n">
        <v>483.1632</v>
      </c>
      <c r="J87" s="9" t="s">
        <v>51</v>
      </c>
    </row>
    <row r="88" customFormat="false" ht="15" hidden="false" customHeight="false" outlineLevel="0" collapsed="false">
      <c r="A88" s="9" t="n">
        <v>84</v>
      </c>
      <c r="B88" s="9" t="s">
        <v>1205</v>
      </c>
      <c r="C88" s="9" t="s">
        <v>1201</v>
      </c>
      <c r="D88" s="9" t="s">
        <v>1202</v>
      </c>
      <c r="E88" s="11" t="n">
        <v>46232</v>
      </c>
      <c r="F88" s="12" t="n">
        <v>4150</v>
      </c>
      <c r="G88" s="13" t="n">
        <v>2256.687</v>
      </c>
      <c r="H88" s="12" t="n">
        <v>4150</v>
      </c>
      <c r="I88" s="13" t="n">
        <v>2256.687</v>
      </c>
      <c r="J88" s="9" t="s">
        <v>64</v>
      </c>
    </row>
    <row r="89" customFormat="false" ht="15" hidden="false" customHeight="false" outlineLevel="0" collapsed="false">
      <c r="A89" s="9" t="n">
        <v>85</v>
      </c>
      <c r="B89" s="9" t="s">
        <v>303</v>
      </c>
      <c r="C89" s="9" t="s">
        <v>299</v>
      </c>
      <c r="D89" s="9" t="s">
        <v>300</v>
      </c>
      <c r="E89" s="11" t="n">
        <v>46226</v>
      </c>
      <c r="F89" s="12" t="n">
        <v>2860</v>
      </c>
      <c r="G89" s="13" t="n">
        <v>516.1728</v>
      </c>
      <c r="H89" s="12" t="n">
        <v>800</v>
      </c>
      <c r="I89" s="13" t="n">
        <v>144.384</v>
      </c>
      <c r="J89" s="9" t="s">
        <v>144</v>
      </c>
    </row>
    <row r="90" customFormat="false" ht="15" hidden="false" customHeight="false" outlineLevel="0" collapsed="false">
      <c r="A90" s="9" t="n">
        <v>86</v>
      </c>
      <c r="B90" s="9" t="s">
        <v>787</v>
      </c>
      <c r="C90" s="9" t="s">
        <v>783</v>
      </c>
      <c r="D90" s="9" t="s">
        <v>784</v>
      </c>
      <c r="E90" s="11" t="n">
        <v>46233</v>
      </c>
      <c r="F90" s="12" t="n">
        <v>600</v>
      </c>
      <c r="G90" s="13" t="n">
        <v>759.672</v>
      </c>
      <c r="H90" s="12" t="n">
        <v>600</v>
      </c>
      <c r="I90" s="13" t="n">
        <v>759.672</v>
      </c>
      <c r="J90" s="9"/>
    </row>
    <row r="91" customFormat="false" ht="15" hidden="false" customHeight="false" outlineLevel="0" collapsed="false">
      <c r="A91" s="9" t="n">
        <v>87</v>
      </c>
      <c r="B91" s="9" t="s">
        <v>791</v>
      </c>
      <c r="C91" s="9" t="s">
        <v>783</v>
      </c>
      <c r="D91" s="9" t="s">
        <v>788</v>
      </c>
      <c r="E91" s="11" t="n">
        <v>46233</v>
      </c>
      <c r="F91" s="12" t="n">
        <v>6600</v>
      </c>
      <c r="G91" s="13" t="n">
        <v>8540.928</v>
      </c>
      <c r="H91" s="12" t="n">
        <v>0</v>
      </c>
      <c r="I91" s="13" t="n">
        <v>0</v>
      </c>
      <c r="J91" s="9"/>
    </row>
    <row r="92" customFormat="false" ht="15" hidden="false" customHeight="false" outlineLevel="0" collapsed="false">
      <c r="A92" s="9" t="n">
        <v>88</v>
      </c>
      <c r="B92" s="9" t="s">
        <v>756</v>
      </c>
      <c r="C92" s="9" t="s">
        <v>752</v>
      </c>
      <c r="D92" s="9" t="s">
        <v>753</v>
      </c>
      <c r="E92" s="11" t="n">
        <v>46204</v>
      </c>
      <c r="F92" s="12" t="n">
        <v>300</v>
      </c>
      <c r="G92" s="13" t="n">
        <v>77.496</v>
      </c>
      <c r="H92" s="12" t="n">
        <v>300</v>
      </c>
      <c r="I92" s="13" t="n">
        <v>77.496</v>
      </c>
      <c r="J92" s="9" t="s">
        <v>64</v>
      </c>
    </row>
    <row r="93" customFormat="false" ht="15" hidden="false" customHeight="false" outlineLevel="0" collapsed="false">
      <c r="A93" s="9" t="n">
        <v>89</v>
      </c>
      <c r="B93" s="9" t="s">
        <v>463</v>
      </c>
      <c r="C93" s="9" t="s">
        <v>459</v>
      </c>
      <c r="D93" s="9" t="s">
        <v>460</v>
      </c>
      <c r="E93" s="11" t="n">
        <v>46223</v>
      </c>
      <c r="F93" s="12" t="n">
        <v>100</v>
      </c>
      <c r="G93" s="13" t="n">
        <v>18.566</v>
      </c>
      <c r="H93" s="12" t="n">
        <v>100</v>
      </c>
      <c r="I93" s="13" t="n">
        <v>18.566</v>
      </c>
      <c r="J93" s="9"/>
    </row>
    <row r="94" customFormat="false" ht="15" hidden="false" customHeight="false" outlineLevel="0" collapsed="false">
      <c r="A94" s="9" t="n">
        <v>90</v>
      </c>
      <c r="B94" s="9" t="s">
        <v>714</v>
      </c>
      <c r="C94" s="9" t="s">
        <v>706</v>
      </c>
      <c r="D94" s="9" t="s">
        <v>711</v>
      </c>
      <c r="E94" s="11" t="n">
        <v>46216</v>
      </c>
      <c r="F94" s="12" t="n">
        <v>255</v>
      </c>
      <c r="G94" s="13" t="n">
        <v>110.98365</v>
      </c>
      <c r="H94" s="12" t="n">
        <v>255</v>
      </c>
      <c r="I94" s="13" t="n">
        <v>110.98365</v>
      </c>
      <c r="J94" s="9" t="s">
        <v>64</v>
      </c>
    </row>
    <row r="95" customFormat="false" ht="15" hidden="false" customHeight="false" outlineLevel="0" collapsed="false">
      <c r="A95" s="9" t="n">
        <v>91</v>
      </c>
      <c r="B95" s="9" t="s">
        <v>718</v>
      </c>
      <c r="C95" s="9" t="s">
        <v>706</v>
      </c>
      <c r="D95" s="9" t="s">
        <v>715</v>
      </c>
      <c r="E95" s="11" t="n">
        <v>46231</v>
      </c>
      <c r="F95" s="12" t="n">
        <v>1598</v>
      </c>
      <c r="G95" s="13" t="n">
        <v>676.64114</v>
      </c>
      <c r="H95" s="12" t="n">
        <v>1598</v>
      </c>
      <c r="I95" s="13" t="n">
        <v>676.64114</v>
      </c>
      <c r="J95" s="9"/>
    </row>
    <row r="96" customFormat="false" ht="15" hidden="false" customHeight="false" outlineLevel="0" collapsed="false">
      <c r="A96" s="9" t="n">
        <v>92</v>
      </c>
      <c r="B96" s="9" t="s">
        <v>154</v>
      </c>
      <c r="C96" s="9" t="s">
        <v>150</v>
      </c>
      <c r="D96" s="9" t="s">
        <v>151</v>
      </c>
      <c r="E96" s="11" t="n">
        <v>46212</v>
      </c>
      <c r="F96" s="12" t="n">
        <v>150</v>
      </c>
      <c r="G96" s="13" t="n">
        <v>76.9965</v>
      </c>
      <c r="H96" s="12" t="n">
        <v>150</v>
      </c>
      <c r="I96" s="13" t="n">
        <v>76.9965</v>
      </c>
      <c r="J96" s="9" t="s">
        <v>155</v>
      </c>
    </row>
    <row r="97" customFormat="false" ht="15" hidden="false" customHeight="false" outlineLevel="0" collapsed="false">
      <c r="A97" s="9" t="n">
        <v>93</v>
      </c>
      <c r="B97" s="9" t="s">
        <v>149</v>
      </c>
      <c r="C97" s="9" t="s">
        <v>145</v>
      </c>
      <c r="D97" s="9" t="s">
        <v>146</v>
      </c>
      <c r="E97" s="11" t="n">
        <v>46199</v>
      </c>
      <c r="F97" s="12" t="n">
        <v>2000</v>
      </c>
      <c r="G97" s="13" t="n">
        <v>370.84</v>
      </c>
      <c r="H97" s="12" t="n">
        <v>2000</v>
      </c>
      <c r="I97" s="13" t="n">
        <v>370.84</v>
      </c>
      <c r="J97" s="9" t="s">
        <v>64</v>
      </c>
    </row>
    <row r="98" customFormat="false" ht="15" hidden="false" customHeight="false" outlineLevel="0" collapsed="false">
      <c r="A98" s="9" t="n">
        <v>94</v>
      </c>
      <c r="B98" s="9" t="s">
        <v>593</v>
      </c>
      <c r="C98" s="9" t="s">
        <v>589</v>
      </c>
      <c r="D98" s="9" t="s">
        <v>590</v>
      </c>
      <c r="E98" s="11" t="n">
        <v>46233</v>
      </c>
      <c r="F98" s="12" t="n">
        <v>210</v>
      </c>
      <c r="G98" s="13" t="n">
        <v>599.7873</v>
      </c>
      <c r="H98" s="12" t="n">
        <v>210</v>
      </c>
      <c r="I98" s="13" t="n">
        <v>599.7873</v>
      </c>
      <c r="J98" s="9" t="s">
        <v>77</v>
      </c>
    </row>
    <row r="99" customFormat="false" ht="15" hidden="false" customHeight="false" outlineLevel="0" collapsed="false">
      <c r="A99" s="9" t="n">
        <v>95</v>
      </c>
      <c r="B99" s="9" t="s">
        <v>1260</v>
      </c>
      <c r="C99" s="9" t="s">
        <v>1256</v>
      </c>
      <c r="D99" s="9" t="s">
        <v>1257</v>
      </c>
      <c r="E99" s="11" t="n">
        <v>46198</v>
      </c>
      <c r="F99" s="12" t="n">
        <v>90</v>
      </c>
      <c r="G99" s="13" t="n">
        <v>31.5504</v>
      </c>
      <c r="H99" s="12" t="n">
        <v>90</v>
      </c>
      <c r="I99" s="13" t="n">
        <v>31.5504</v>
      </c>
      <c r="J99" s="9"/>
    </row>
    <row r="100" customFormat="false" ht="15" hidden="false" customHeight="false" outlineLevel="0" collapsed="false">
      <c r="A100" s="9" t="n">
        <v>96</v>
      </c>
      <c r="B100" s="9" t="s">
        <v>1265</v>
      </c>
      <c r="C100" s="9" t="s">
        <v>1261</v>
      </c>
      <c r="D100" s="9" t="s">
        <v>1262</v>
      </c>
      <c r="E100" s="11" t="n">
        <v>46231</v>
      </c>
      <c r="F100" s="12" t="n">
        <v>100</v>
      </c>
      <c r="G100" s="13" t="n">
        <v>49.03</v>
      </c>
      <c r="H100" s="12" t="n">
        <v>100</v>
      </c>
      <c r="I100" s="13" t="n">
        <v>49.03</v>
      </c>
      <c r="J100" s="9" t="s">
        <v>161</v>
      </c>
    </row>
    <row r="101" customFormat="false" ht="15" hidden="false" customHeight="false" outlineLevel="0" collapsed="false">
      <c r="A101" s="9" t="n">
        <v>97</v>
      </c>
      <c r="B101" s="9" t="s">
        <v>1052</v>
      </c>
      <c r="C101" s="9" t="s">
        <v>1037</v>
      </c>
      <c r="D101" s="9" t="s">
        <v>1049</v>
      </c>
      <c r="E101" s="11" t="n">
        <v>46207</v>
      </c>
      <c r="F101" s="12" t="n">
        <v>1980</v>
      </c>
      <c r="G101" s="13" t="n">
        <v>686.5452</v>
      </c>
      <c r="H101" s="12" t="n">
        <v>1980</v>
      </c>
      <c r="I101" s="13" t="n">
        <v>686.5452</v>
      </c>
      <c r="J101" s="9"/>
    </row>
    <row r="102" customFormat="false" ht="15" hidden="false" customHeight="false" outlineLevel="0" collapsed="false">
      <c r="A102" s="9" t="n">
        <v>98</v>
      </c>
      <c r="B102" s="9" t="s">
        <v>1181</v>
      </c>
      <c r="C102" s="9" t="s">
        <v>1162</v>
      </c>
      <c r="D102" s="9" t="s">
        <v>1178</v>
      </c>
      <c r="E102" s="11" t="n">
        <v>46196</v>
      </c>
      <c r="F102" s="12" t="n">
        <v>980</v>
      </c>
      <c r="G102" s="13" t="n">
        <v>400.085</v>
      </c>
      <c r="H102" s="12" t="n">
        <v>980</v>
      </c>
      <c r="I102" s="13" t="n">
        <v>400.085</v>
      </c>
      <c r="J102" s="9" t="s">
        <v>64</v>
      </c>
    </row>
    <row r="103" customFormat="false" ht="15" hidden="false" customHeight="false" outlineLevel="0" collapsed="false">
      <c r="A103" s="9" t="n">
        <v>99</v>
      </c>
      <c r="B103" s="9" t="s">
        <v>1184</v>
      </c>
      <c r="C103" s="9" t="s">
        <v>1162</v>
      </c>
      <c r="D103" s="9" t="s">
        <v>1182</v>
      </c>
      <c r="E103" s="11" t="n">
        <v>46204</v>
      </c>
      <c r="F103" s="12" t="n">
        <v>1500</v>
      </c>
      <c r="G103" s="13" t="n">
        <v>92.7</v>
      </c>
      <c r="H103" s="12" t="n">
        <v>1500</v>
      </c>
      <c r="I103" s="13" t="n">
        <v>92.7</v>
      </c>
      <c r="J103" s="9" t="s">
        <v>64</v>
      </c>
    </row>
    <row r="104" customFormat="false" ht="15" hidden="false" customHeight="false" outlineLevel="0" collapsed="false">
      <c r="A104" s="9" t="n">
        <v>100</v>
      </c>
      <c r="B104" s="9" t="s">
        <v>1188</v>
      </c>
      <c r="C104" s="9" t="s">
        <v>1162</v>
      </c>
      <c r="D104" s="9" t="s">
        <v>1185</v>
      </c>
      <c r="E104" s="11" t="n">
        <v>46198</v>
      </c>
      <c r="F104" s="12" t="n">
        <v>2000</v>
      </c>
      <c r="G104" s="13" t="n">
        <v>606.86</v>
      </c>
      <c r="H104" s="12" t="n">
        <v>2000</v>
      </c>
      <c r="I104" s="13" t="n">
        <v>606.86</v>
      </c>
      <c r="J104" s="9" t="s">
        <v>64</v>
      </c>
    </row>
    <row r="105" customFormat="false" ht="15" hidden="false" customHeight="false" outlineLevel="0" collapsed="false">
      <c r="A105" s="9" t="n">
        <v>101</v>
      </c>
      <c r="B105" s="9" t="s">
        <v>1193</v>
      </c>
      <c r="C105" s="9" t="s">
        <v>1162</v>
      </c>
      <c r="D105" s="9" t="s">
        <v>1190</v>
      </c>
      <c r="E105" s="11" t="n">
        <v>46204</v>
      </c>
      <c r="F105" s="12" t="n">
        <v>2000</v>
      </c>
      <c r="G105" s="13" t="n">
        <v>574.54</v>
      </c>
      <c r="H105" s="12" t="n">
        <v>2000</v>
      </c>
      <c r="I105" s="13" t="n">
        <v>574.54</v>
      </c>
      <c r="J105" s="9" t="s">
        <v>64</v>
      </c>
    </row>
    <row r="106" customFormat="false" ht="15" hidden="false" customHeight="false" outlineLevel="0" collapsed="false">
      <c r="A106" s="9" t="n">
        <v>102</v>
      </c>
      <c r="B106" s="9" t="s">
        <v>562</v>
      </c>
      <c r="C106" s="9" t="s">
        <v>554</v>
      </c>
      <c r="D106" s="9" t="s">
        <v>559</v>
      </c>
      <c r="E106" s="11" t="n">
        <v>46211</v>
      </c>
      <c r="F106" s="12" t="n">
        <v>11480</v>
      </c>
      <c r="G106" s="13" t="n">
        <v>2337.2132</v>
      </c>
      <c r="H106" s="12" t="n">
        <v>11480</v>
      </c>
      <c r="I106" s="13" t="n">
        <v>2337.2132</v>
      </c>
      <c r="J106" s="9" t="s">
        <v>51</v>
      </c>
    </row>
    <row r="107" customFormat="false" ht="15" hidden="false" customHeight="false" outlineLevel="0" collapsed="false">
      <c r="A107" s="9" t="n">
        <v>103</v>
      </c>
      <c r="B107" s="9" t="s">
        <v>395</v>
      </c>
      <c r="C107" s="9" t="s">
        <v>391</v>
      </c>
      <c r="D107" s="9" t="s">
        <v>392</v>
      </c>
      <c r="E107" s="11" t="n">
        <v>46211</v>
      </c>
      <c r="F107" s="12" t="n">
        <v>1500</v>
      </c>
      <c r="G107" s="13" t="n">
        <v>446.595</v>
      </c>
      <c r="H107" s="12" t="n">
        <v>1500</v>
      </c>
      <c r="I107" s="13" t="n">
        <v>446.595</v>
      </c>
      <c r="J107" s="9" t="s">
        <v>396</v>
      </c>
    </row>
    <row r="108" customFormat="false" ht="15" hidden="false" customHeight="false" outlineLevel="0" collapsed="false">
      <c r="A108" s="9" t="n">
        <v>104</v>
      </c>
      <c r="B108" s="9" t="s">
        <v>1293</v>
      </c>
      <c r="C108" s="9" t="s">
        <v>1289</v>
      </c>
      <c r="D108" s="9" t="s">
        <v>1290</v>
      </c>
      <c r="E108" s="11" t="n">
        <v>46202</v>
      </c>
      <c r="F108" s="12" t="n">
        <v>120</v>
      </c>
      <c r="G108" s="13" t="n">
        <v>76.986</v>
      </c>
      <c r="H108" s="12" t="n">
        <v>120</v>
      </c>
      <c r="I108" s="13" t="n">
        <v>76.986</v>
      </c>
      <c r="J108" s="9"/>
    </row>
    <row r="109" customFormat="false" ht="15" hidden="false" customHeight="false" outlineLevel="0" collapsed="false">
      <c r="A109" s="9" t="n">
        <v>105</v>
      </c>
      <c r="B109" s="9" t="s">
        <v>1229</v>
      </c>
      <c r="C109" s="9" t="s">
        <v>1225</v>
      </c>
      <c r="D109" s="9" t="s">
        <v>1226</v>
      </c>
      <c r="E109" s="11" t="n">
        <v>46201</v>
      </c>
      <c r="F109" s="12" t="n">
        <v>1080</v>
      </c>
      <c r="G109" s="13" t="n">
        <v>236.1852</v>
      </c>
      <c r="H109" s="12" t="n">
        <v>1080</v>
      </c>
      <c r="I109" s="13" t="n">
        <v>236.1852</v>
      </c>
      <c r="J109" s="9" t="s">
        <v>51</v>
      </c>
    </row>
    <row r="110" customFormat="false" ht="15" hidden="false" customHeight="false" outlineLevel="0" collapsed="false">
      <c r="A110" s="9" t="n">
        <v>106</v>
      </c>
      <c r="B110" s="9" t="s">
        <v>1055</v>
      </c>
      <c r="C110" s="9" t="s">
        <v>1037</v>
      </c>
      <c r="D110" s="9" t="s">
        <v>1053</v>
      </c>
      <c r="E110" s="11" t="n">
        <v>46201</v>
      </c>
      <c r="F110" s="12" t="n">
        <v>1354</v>
      </c>
      <c r="G110" s="13" t="n">
        <v>707.14004</v>
      </c>
      <c r="H110" s="12" t="n">
        <v>1354</v>
      </c>
      <c r="I110" s="13" t="n">
        <v>707.14004</v>
      </c>
      <c r="J110" s="9"/>
    </row>
    <row r="111" customFormat="false" ht="15" hidden="false" customHeight="false" outlineLevel="0" collapsed="false">
      <c r="A111" s="9" t="n">
        <v>107</v>
      </c>
      <c r="B111" s="9" t="s">
        <v>399</v>
      </c>
      <c r="C111" s="9" t="s">
        <v>391</v>
      </c>
      <c r="D111" s="9" t="s">
        <v>397</v>
      </c>
      <c r="E111" s="11" t="n">
        <v>46206</v>
      </c>
      <c r="F111" s="12" t="n">
        <v>420</v>
      </c>
      <c r="G111" s="13" t="n">
        <v>118.4778</v>
      </c>
      <c r="H111" s="12" t="n">
        <v>420</v>
      </c>
      <c r="I111" s="13" t="n">
        <v>118.4778</v>
      </c>
      <c r="J111" s="9" t="s">
        <v>51</v>
      </c>
    </row>
    <row r="112" customFormat="false" ht="15" hidden="false" customHeight="false" outlineLevel="0" collapsed="false">
      <c r="A112" s="9" t="n">
        <v>108</v>
      </c>
      <c r="B112" s="9" t="s">
        <v>1288</v>
      </c>
      <c r="C112" s="9" t="s">
        <v>1285</v>
      </c>
      <c r="D112" s="9" t="s">
        <v>1286</v>
      </c>
      <c r="E112" s="11" t="n">
        <v>46210</v>
      </c>
      <c r="F112" s="12" t="n">
        <v>5340</v>
      </c>
      <c r="G112" s="13" t="n">
        <v>1154.508</v>
      </c>
      <c r="H112" s="12" t="n">
        <v>5340</v>
      </c>
      <c r="I112" s="13" t="n">
        <v>1154.508</v>
      </c>
      <c r="J112" s="9" t="s">
        <v>51</v>
      </c>
    </row>
    <row r="113" customFormat="false" ht="15" hidden="false" customHeight="false" outlineLevel="0" collapsed="false">
      <c r="A113" s="9" t="n">
        <v>109</v>
      </c>
      <c r="B113" s="9" t="s">
        <v>1239</v>
      </c>
      <c r="C113" s="9" t="s">
        <v>1235</v>
      </c>
      <c r="D113" s="9" t="s">
        <v>1236</v>
      </c>
      <c r="E113" s="11" t="n">
        <v>46229</v>
      </c>
      <c r="F113" s="12" t="n">
        <v>60</v>
      </c>
      <c r="G113" s="13" t="n">
        <v>61.9158</v>
      </c>
      <c r="H113" s="12" t="n">
        <v>60</v>
      </c>
      <c r="I113" s="13" t="n">
        <v>61.9158</v>
      </c>
      <c r="J113" s="9"/>
    </row>
    <row r="114" customFormat="false" ht="15" hidden="false" customHeight="false" outlineLevel="0" collapsed="false">
      <c r="A114" s="9" t="n">
        <v>110</v>
      </c>
      <c r="B114" s="9" t="s">
        <v>176</v>
      </c>
      <c r="C114" s="9" t="s">
        <v>172</v>
      </c>
      <c r="D114" s="9" t="s">
        <v>173</v>
      </c>
      <c r="E114" s="11" t="n">
        <v>46203</v>
      </c>
      <c r="F114" s="12" t="n">
        <v>123</v>
      </c>
      <c r="G114" s="13" t="n">
        <v>22.21011</v>
      </c>
      <c r="H114" s="12" t="n">
        <v>123</v>
      </c>
      <c r="I114" s="13" t="n">
        <v>22.21011</v>
      </c>
      <c r="J114" s="9" t="s">
        <v>144</v>
      </c>
    </row>
    <row r="115" customFormat="false" ht="15" hidden="false" customHeight="false" outlineLevel="0" collapsed="false">
      <c r="A115" s="9" t="n">
        <v>111</v>
      </c>
      <c r="B115" s="9" t="s">
        <v>403</v>
      </c>
      <c r="C115" s="9" t="s">
        <v>391</v>
      </c>
      <c r="D115" s="9" t="s">
        <v>400</v>
      </c>
      <c r="E115" s="11" t="n">
        <v>46211</v>
      </c>
      <c r="F115" s="12" t="n">
        <v>552</v>
      </c>
      <c r="G115" s="13" t="n">
        <v>399.99576</v>
      </c>
      <c r="H115" s="12" t="n">
        <v>552</v>
      </c>
      <c r="I115" s="13" t="n">
        <v>399.99576</v>
      </c>
      <c r="J115" s="9" t="s">
        <v>51</v>
      </c>
    </row>
    <row r="116" customFormat="false" ht="15" hidden="false" customHeight="false" outlineLevel="0" collapsed="false">
      <c r="A116" s="9" t="n">
        <v>112</v>
      </c>
      <c r="B116" s="9" t="s">
        <v>143</v>
      </c>
      <c r="C116" s="9" t="s">
        <v>139</v>
      </c>
      <c r="D116" s="9" t="s">
        <v>140</v>
      </c>
      <c r="E116" s="11" t="n">
        <v>46203</v>
      </c>
      <c r="F116" s="12" t="n">
        <v>310</v>
      </c>
      <c r="G116" s="13" t="n">
        <v>207.0397</v>
      </c>
      <c r="H116" s="12" t="n">
        <v>310</v>
      </c>
      <c r="I116" s="13" t="n">
        <v>207.0397</v>
      </c>
      <c r="J116" s="9" t="s">
        <v>144</v>
      </c>
    </row>
    <row r="117" customFormat="false" ht="15" hidden="false" customHeight="false" outlineLevel="0" collapsed="false">
      <c r="A117" s="9" t="n">
        <v>113</v>
      </c>
      <c r="B117" s="9" t="s">
        <v>426</v>
      </c>
      <c r="C117" s="9" t="s">
        <v>422</v>
      </c>
      <c r="D117" s="9" t="s">
        <v>423</v>
      </c>
      <c r="E117" s="11" t="n">
        <v>46232</v>
      </c>
      <c r="F117" s="12" t="n">
        <v>1680</v>
      </c>
      <c r="G117" s="13" t="n">
        <v>552.132</v>
      </c>
      <c r="H117" s="12" t="n">
        <v>1680</v>
      </c>
      <c r="I117" s="13" t="n">
        <v>552.132</v>
      </c>
      <c r="J117" s="9"/>
    </row>
    <row r="118" customFormat="false" ht="15" hidden="false" customHeight="false" outlineLevel="0" collapsed="false">
      <c r="A118" s="9" t="n">
        <v>114</v>
      </c>
      <c r="B118" s="9" t="s">
        <v>171</v>
      </c>
      <c r="C118" s="9" t="s">
        <v>167</v>
      </c>
      <c r="D118" s="9" t="s">
        <v>168</v>
      </c>
      <c r="E118" s="11" t="n">
        <v>46213</v>
      </c>
      <c r="F118" s="12" t="n">
        <v>75</v>
      </c>
      <c r="G118" s="13" t="n">
        <v>195.861</v>
      </c>
      <c r="H118" s="12" t="n">
        <v>75</v>
      </c>
      <c r="I118" s="13" t="n">
        <v>195.861</v>
      </c>
      <c r="J118" s="9"/>
    </row>
    <row r="119" customFormat="false" ht="15" hidden="false" customHeight="false" outlineLevel="0" collapsed="false">
      <c r="A119" s="9" t="n">
        <v>115</v>
      </c>
      <c r="B119" s="9" t="s">
        <v>1059</v>
      </c>
      <c r="C119" s="9" t="s">
        <v>1037</v>
      </c>
      <c r="D119" s="9" t="s">
        <v>1056</v>
      </c>
      <c r="E119" s="11" t="n">
        <v>46206</v>
      </c>
      <c r="F119" s="12" t="n">
        <v>140</v>
      </c>
      <c r="G119" s="13" t="n">
        <v>102.8104</v>
      </c>
      <c r="H119" s="12" t="n">
        <v>140</v>
      </c>
      <c r="I119" s="13" t="n">
        <v>102.8104</v>
      </c>
      <c r="J119" s="9"/>
    </row>
    <row r="120" customFormat="false" ht="15" hidden="false" customHeight="false" outlineLevel="0" collapsed="false">
      <c r="A120" s="9" t="n">
        <v>116</v>
      </c>
      <c r="B120" s="9" t="s">
        <v>1306</v>
      </c>
      <c r="C120" s="9" t="s">
        <v>1303</v>
      </c>
      <c r="D120" s="9" t="s">
        <v>1304</v>
      </c>
      <c r="E120" s="11" t="n">
        <v>46207</v>
      </c>
      <c r="F120" s="12" t="n">
        <v>120</v>
      </c>
      <c r="G120" s="13" t="n">
        <v>30.8928</v>
      </c>
      <c r="H120" s="12" t="n">
        <v>120</v>
      </c>
      <c r="I120" s="13" t="n">
        <v>30.8928</v>
      </c>
      <c r="J120" s="9" t="s">
        <v>64</v>
      </c>
    </row>
    <row r="121" customFormat="false" ht="15" hidden="false" customHeight="false" outlineLevel="0" collapsed="false">
      <c r="A121" s="9" t="n">
        <v>117</v>
      </c>
      <c r="B121" s="9" t="s">
        <v>1297</v>
      </c>
      <c r="C121" s="9" t="s">
        <v>1289</v>
      </c>
      <c r="D121" s="9" t="s">
        <v>1294</v>
      </c>
      <c r="E121" s="11" t="n">
        <v>46227</v>
      </c>
      <c r="F121" s="12" t="n">
        <v>100</v>
      </c>
      <c r="G121" s="13" t="n">
        <v>70.98</v>
      </c>
      <c r="H121" s="12" t="n">
        <v>100</v>
      </c>
      <c r="I121" s="13" t="n">
        <v>70.98</v>
      </c>
      <c r="J121" s="9"/>
    </row>
    <row r="122" customFormat="false" ht="15" hidden="false" customHeight="false" outlineLevel="0" collapsed="false">
      <c r="A122" s="9" t="n">
        <v>118</v>
      </c>
      <c r="B122" s="9" t="s">
        <v>768</v>
      </c>
      <c r="C122" s="9" t="s">
        <v>765</v>
      </c>
      <c r="D122" s="9" t="s">
        <v>766</v>
      </c>
      <c r="E122" s="11" t="n">
        <v>46228</v>
      </c>
      <c r="F122" s="12" t="n">
        <v>750</v>
      </c>
      <c r="G122" s="13" t="n">
        <v>132.825</v>
      </c>
      <c r="H122" s="12" t="n">
        <v>750</v>
      </c>
      <c r="I122" s="13" t="n">
        <v>132.825</v>
      </c>
      <c r="J122" s="9"/>
    </row>
    <row r="123" customFormat="false" ht="15" hidden="false" customHeight="false" outlineLevel="0" collapsed="false">
      <c r="A123" s="9" t="n">
        <v>119</v>
      </c>
      <c r="B123" s="9" t="s">
        <v>1027</v>
      </c>
      <c r="C123" s="9" t="s">
        <v>1023</v>
      </c>
      <c r="D123" s="9" t="s">
        <v>1024</v>
      </c>
      <c r="E123" s="11" t="n">
        <v>46222</v>
      </c>
      <c r="F123" s="12" t="n">
        <v>596</v>
      </c>
      <c r="G123" s="13" t="n">
        <v>333.03288</v>
      </c>
      <c r="H123" s="12" t="n">
        <v>596</v>
      </c>
      <c r="I123" s="13" t="n">
        <v>333.03288</v>
      </c>
      <c r="J123" s="9" t="s">
        <v>144</v>
      </c>
    </row>
    <row r="124" customFormat="false" ht="15" hidden="false" customHeight="false" outlineLevel="0" collapsed="false">
      <c r="A124" s="9" t="n">
        <v>120</v>
      </c>
      <c r="B124" s="9" t="s">
        <v>121</v>
      </c>
      <c r="C124" s="9" t="s">
        <v>117</v>
      </c>
      <c r="D124" s="9" t="s">
        <v>118</v>
      </c>
      <c r="E124" s="11" t="n">
        <v>46223</v>
      </c>
      <c r="F124" s="12" t="n">
        <v>5140</v>
      </c>
      <c r="G124" s="13" t="n">
        <v>2082.6766</v>
      </c>
      <c r="H124" s="12" t="n">
        <v>5140</v>
      </c>
      <c r="I124" s="13" t="n">
        <v>2082.6766</v>
      </c>
      <c r="J124" s="9"/>
    </row>
    <row r="125" customFormat="false" ht="15" hidden="false" customHeight="false" outlineLevel="0" collapsed="false">
      <c r="A125" s="9" t="n">
        <v>121</v>
      </c>
      <c r="B125" s="9" t="s">
        <v>1063</v>
      </c>
      <c r="C125" s="9" t="s">
        <v>1037</v>
      </c>
      <c r="D125" s="9" t="s">
        <v>1060</v>
      </c>
      <c r="E125" s="11" t="n">
        <v>46207</v>
      </c>
      <c r="F125" s="12" t="n">
        <v>1046</v>
      </c>
      <c r="G125" s="13" t="n">
        <v>603.50016</v>
      </c>
      <c r="H125" s="12" t="n">
        <v>1046</v>
      </c>
      <c r="I125" s="13" t="n">
        <v>603.50016</v>
      </c>
      <c r="J125" s="9"/>
    </row>
    <row r="126" customFormat="false" ht="15" hidden="false" customHeight="false" outlineLevel="0" collapsed="false">
      <c r="A126" s="9" t="n">
        <v>122</v>
      </c>
      <c r="B126" s="9" t="s">
        <v>43</v>
      </c>
      <c r="C126" s="9" t="s">
        <v>39</v>
      </c>
      <c r="D126" s="9" t="s">
        <v>40</v>
      </c>
      <c r="E126" s="11" t="n">
        <v>46233</v>
      </c>
      <c r="F126" s="12" t="n">
        <v>1010</v>
      </c>
      <c r="G126" s="13" t="n">
        <v>284.0019</v>
      </c>
      <c r="H126" s="12" t="n">
        <v>1010</v>
      </c>
      <c r="I126" s="13" t="n">
        <v>284.0019</v>
      </c>
      <c r="J126" s="9"/>
    </row>
    <row r="127" customFormat="false" ht="15" hidden="false" customHeight="false" outlineLevel="0" collapsed="false">
      <c r="A127" s="9" t="n">
        <v>123</v>
      </c>
      <c r="B127" s="9" t="s">
        <v>1224</v>
      </c>
      <c r="C127" s="9" t="s">
        <v>1220</v>
      </c>
      <c r="D127" s="9" t="s">
        <v>1221</v>
      </c>
      <c r="E127" s="11" t="n">
        <v>46215</v>
      </c>
      <c r="F127" s="12" t="n">
        <v>350</v>
      </c>
      <c r="G127" s="13" t="n">
        <v>227.1745</v>
      </c>
      <c r="H127" s="12" t="n">
        <v>350</v>
      </c>
      <c r="I127" s="13" t="n">
        <v>227.1745</v>
      </c>
      <c r="J127" s="9"/>
    </row>
    <row r="128" customFormat="false" ht="15" hidden="false" customHeight="false" outlineLevel="0" collapsed="false">
      <c r="A128" s="9" t="n">
        <v>124</v>
      </c>
      <c r="B128" s="9" t="s">
        <v>430</v>
      </c>
      <c r="C128" s="9" t="s">
        <v>422</v>
      </c>
      <c r="D128" s="9" t="s">
        <v>427</v>
      </c>
      <c r="E128" s="11" t="n">
        <v>46230</v>
      </c>
      <c r="F128" s="12" t="n">
        <v>900</v>
      </c>
      <c r="G128" s="13" t="n">
        <v>300.15</v>
      </c>
      <c r="H128" s="12" t="n">
        <v>0</v>
      </c>
      <c r="I128" s="13" t="n">
        <v>0</v>
      </c>
      <c r="J128" s="9"/>
    </row>
    <row r="129" customFormat="false" ht="15" hidden="false" customHeight="false" outlineLevel="0" collapsed="false">
      <c r="A129" s="9" t="n">
        <v>125</v>
      </c>
      <c r="B129" s="9" t="s">
        <v>675</v>
      </c>
      <c r="C129" s="9" t="s">
        <v>655</v>
      </c>
      <c r="D129" s="9" t="s">
        <v>672</v>
      </c>
      <c r="E129" s="11" t="n">
        <v>46212</v>
      </c>
      <c r="F129" s="12" t="n">
        <v>1500</v>
      </c>
      <c r="G129" s="13" t="n">
        <v>29.28</v>
      </c>
      <c r="H129" s="12" t="n">
        <v>1500</v>
      </c>
      <c r="I129" s="13" t="n">
        <v>29.28</v>
      </c>
      <c r="J129" s="9" t="s">
        <v>64</v>
      </c>
    </row>
    <row r="130" customFormat="false" ht="15" hidden="false" customHeight="false" outlineLevel="0" collapsed="false">
      <c r="A130" s="9" t="n">
        <v>126</v>
      </c>
      <c r="B130" s="9" t="s">
        <v>434</v>
      </c>
      <c r="C130" s="9" t="s">
        <v>422</v>
      </c>
      <c r="D130" s="9" t="s">
        <v>431</v>
      </c>
      <c r="E130" s="11" t="n">
        <v>46232</v>
      </c>
      <c r="F130" s="12" t="n">
        <v>4880</v>
      </c>
      <c r="G130" s="13" t="n">
        <v>1718.9312</v>
      </c>
      <c r="H130" s="12" t="n">
        <v>820</v>
      </c>
      <c r="I130" s="13" t="n">
        <v>288.8368</v>
      </c>
      <c r="J130" s="9"/>
    </row>
    <row r="131" customFormat="false" ht="15" hidden="false" customHeight="false" outlineLevel="0" collapsed="false">
      <c r="A131" s="9" t="n">
        <v>127</v>
      </c>
      <c r="B131" s="9" t="s">
        <v>878</v>
      </c>
      <c r="C131" s="9" t="s">
        <v>871</v>
      </c>
      <c r="D131" s="9" t="s">
        <v>876</v>
      </c>
      <c r="E131" s="11" t="n">
        <v>46212</v>
      </c>
      <c r="F131" s="12" t="n">
        <v>2620</v>
      </c>
      <c r="G131" s="13" t="n">
        <v>717.3036</v>
      </c>
      <c r="H131" s="12" t="n">
        <v>2620</v>
      </c>
      <c r="I131" s="13" t="n">
        <v>717.3036</v>
      </c>
      <c r="J131" s="9" t="s">
        <v>64</v>
      </c>
    </row>
    <row r="132" customFormat="false" ht="15" hidden="false" customHeight="false" outlineLevel="0" collapsed="false">
      <c r="A132" s="9" t="n">
        <v>128</v>
      </c>
      <c r="B132" s="9" t="s">
        <v>881</v>
      </c>
      <c r="C132" s="9" t="s">
        <v>871</v>
      </c>
      <c r="D132" s="9" t="s">
        <v>879</v>
      </c>
      <c r="E132" s="11" t="n">
        <v>46219</v>
      </c>
      <c r="F132" s="12" t="n">
        <v>240</v>
      </c>
      <c r="G132" s="13" t="n">
        <v>65.7072</v>
      </c>
      <c r="H132" s="12" t="n">
        <v>240</v>
      </c>
      <c r="I132" s="13" t="n">
        <v>65.7072</v>
      </c>
      <c r="J132" s="9" t="s">
        <v>64</v>
      </c>
    </row>
    <row r="133" customFormat="false" ht="15" hidden="false" customHeight="false" outlineLevel="0" collapsed="false">
      <c r="A133" s="9" t="n">
        <v>129</v>
      </c>
      <c r="B133" s="9" t="s">
        <v>764</v>
      </c>
      <c r="C133" s="9" t="s">
        <v>757</v>
      </c>
      <c r="D133" s="9" t="s">
        <v>762</v>
      </c>
      <c r="E133" s="11" t="n">
        <v>46212</v>
      </c>
      <c r="F133" s="12" t="n">
        <v>100</v>
      </c>
      <c r="G133" s="13" t="n">
        <v>18.048</v>
      </c>
      <c r="H133" s="12" t="n">
        <v>100</v>
      </c>
      <c r="I133" s="13" t="n">
        <v>18.048</v>
      </c>
      <c r="J133" s="9" t="s">
        <v>155</v>
      </c>
    </row>
    <row r="134" customFormat="false" ht="15" hidden="false" customHeight="false" outlineLevel="0" collapsed="false">
      <c r="A134" s="9" t="n">
        <v>130</v>
      </c>
      <c r="B134" s="9" t="s">
        <v>185</v>
      </c>
      <c r="C134" s="9" t="s">
        <v>181</v>
      </c>
      <c r="D134" s="9" t="s">
        <v>182</v>
      </c>
      <c r="E134" s="11" t="n">
        <v>46235</v>
      </c>
      <c r="F134" s="12" t="n">
        <v>1720</v>
      </c>
      <c r="G134" s="13" t="n">
        <v>1411.776</v>
      </c>
      <c r="H134" s="12" t="n">
        <v>1978</v>
      </c>
      <c r="I134" s="13" t="n">
        <v>1623.5424</v>
      </c>
      <c r="J134" s="9" t="s">
        <v>144</v>
      </c>
    </row>
    <row r="135" customFormat="false" ht="15" hidden="false" customHeight="false" outlineLevel="0" collapsed="false">
      <c r="A135" s="9" t="n">
        <v>131</v>
      </c>
      <c r="B135" s="9" t="s">
        <v>933</v>
      </c>
      <c r="C135" s="9" t="s">
        <v>929</v>
      </c>
      <c r="D135" s="9" t="s">
        <v>930</v>
      </c>
      <c r="E135" s="11" t="n">
        <v>46230</v>
      </c>
      <c r="F135" s="12" t="n">
        <v>350</v>
      </c>
      <c r="G135" s="13" t="n">
        <v>106.372</v>
      </c>
      <c r="H135" s="12" t="n">
        <v>350</v>
      </c>
      <c r="I135" s="13" t="n">
        <v>106.372</v>
      </c>
      <c r="J135" s="9" t="s">
        <v>64</v>
      </c>
    </row>
    <row r="136" customFormat="false" ht="15" hidden="false" customHeight="false" outlineLevel="0" collapsed="false">
      <c r="A136" s="9" t="n">
        <v>132</v>
      </c>
      <c r="B136" s="9" t="s">
        <v>937</v>
      </c>
      <c r="C136" s="9" t="s">
        <v>929</v>
      </c>
      <c r="D136" s="9" t="s">
        <v>934</v>
      </c>
      <c r="E136" s="11" t="n">
        <v>46230</v>
      </c>
      <c r="F136" s="12" t="n">
        <v>500</v>
      </c>
      <c r="G136" s="13" t="n">
        <v>94.155</v>
      </c>
      <c r="H136" s="12" t="n">
        <v>500</v>
      </c>
      <c r="I136" s="13" t="n">
        <v>94.155</v>
      </c>
      <c r="J136" s="9" t="s">
        <v>64</v>
      </c>
    </row>
    <row r="137" customFormat="false" ht="15" hidden="false" customHeight="false" outlineLevel="0" collapsed="false">
      <c r="A137" s="9" t="n">
        <v>133</v>
      </c>
      <c r="B137" s="9" t="s">
        <v>246</v>
      </c>
      <c r="C137" s="9" t="s">
        <v>240</v>
      </c>
      <c r="D137" s="9" t="s">
        <v>241</v>
      </c>
      <c r="E137" s="11" t="n">
        <v>46210</v>
      </c>
      <c r="F137" s="12" t="n">
        <v>2000</v>
      </c>
      <c r="G137" s="13" t="n">
        <v>435.3</v>
      </c>
      <c r="H137" s="12" t="n">
        <v>2000</v>
      </c>
      <c r="I137" s="13" t="n">
        <v>435.3</v>
      </c>
      <c r="J137" s="9" t="s">
        <v>51</v>
      </c>
    </row>
    <row r="138" customFormat="false" ht="15" hidden="false" customHeight="false" outlineLevel="0" collapsed="false">
      <c r="A138" s="9" t="n">
        <v>134</v>
      </c>
      <c r="B138" s="9" t="s">
        <v>385</v>
      </c>
      <c r="C138" s="9" t="s">
        <v>382</v>
      </c>
      <c r="D138" s="9" t="s">
        <v>383</v>
      </c>
      <c r="E138" s="11" t="n">
        <v>46213</v>
      </c>
      <c r="F138" s="12" t="n">
        <v>100</v>
      </c>
      <c r="G138" s="13" t="n">
        <v>52.755</v>
      </c>
      <c r="H138" s="12" t="n">
        <v>100</v>
      </c>
      <c r="I138" s="13" t="n">
        <v>52.755</v>
      </c>
      <c r="J138" s="9"/>
    </row>
    <row r="139" customFormat="false" ht="15" hidden="false" customHeight="false" outlineLevel="0" collapsed="false">
      <c r="A139" s="9" t="n">
        <v>135</v>
      </c>
      <c r="B139" s="9" t="s">
        <v>884</v>
      </c>
      <c r="C139" s="9" t="s">
        <v>871</v>
      </c>
      <c r="D139" s="9" t="s">
        <v>882</v>
      </c>
      <c r="E139" s="11" t="n">
        <v>46231</v>
      </c>
      <c r="F139" s="12" t="n">
        <v>980</v>
      </c>
      <c r="G139" s="13" t="n">
        <v>268.3044</v>
      </c>
      <c r="H139" s="12" t="n">
        <v>980</v>
      </c>
      <c r="I139" s="13" t="n">
        <v>268.3044</v>
      </c>
      <c r="J139" s="9" t="s">
        <v>64</v>
      </c>
    </row>
    <row r="140" customFormat="false" ht="15" hidden="false" customHeight="false" outlineLevel="0" collapsed="false">
      <c r="A140" s="9" t="n">
        <v>136</v>
      </c>
      <c r="B140" s="9" t="s">
        <v>888</v>
      </c>
      <c r="C140" s="9" t="s">
        <v>871</v>
      </c>
      <c r="D140" s="9" t="s">
        <v>885</v>
      </c>
      <c r="E140" s="11" t="n">
        <v>46230</v>
      </c>
      <c r="F140" s="12" t="n">
        <v>1040</v>
      </c>
      <c r="G140" s="13" t="n">
        <v>284.7312</v>
      </c>
      <c r="H140" s="12" t="n">
        <v>1040</v>
      </c>
      <c r="I140" s="13" t="n">
        <v>284.7312</v>
      </c>
      <c r="J140" s="9" t="s">
        <v>64</v>
      </c>
    </row>
    <row r="141" customFormat="false" ht="15" hidden="false" customHeight="false" outlineLevel="0" collapsed="false">
      <c r="A141" s="9" t="n">
        <v>137</v>
      </c>
      <c r="B141" s="9" t="s">
        <v>194</v>
      </c>
      <c r="C141" s="9" t="s">
        <v>190</v>
      </c>
      <c r="D141" s="9" t="s">
        <v>191</v>
      </c>
      <c r="E141" s="11" t="n">
        <v>46215</v>
      </c>
      <c r="F141" s="12" t="n">
        <v>600</v>
      </c>
      <c r="G141" s="13" t="n">
        <v>153.369</v>
      </c>
      <c r="H141" s="12" t="n">
        <v>0</v>
      </c>
      <c r="I141" s="13" t="n">
        <v>0</v>
      </c>
      <c r="J141" s="9" t="s">
        <v>64</v>
      </c>
    </row>
    <row r="142" customFormat="false" ht="15" hidden="false" customHeight="false" outlineLevel="0" collapsed="false">
      <c r="A142" s="9" t="n">
        <v>138</v>
      </c>
      <c r="B142" s="9" t="s">
        <v>201</v>
      </c>
      <c r="C142" s="9" t="s">
        <v>190</v>
      </c>
      <c r="D142" s="9" t="s">
        <v>198</v>
      </c>
      <c r="E142" s="11" t="n">
        <v>46223</v>
      </c>
      <c r="F142" s="12" t="n">
        <v>2600</v>
      </c>
      <c r="G142" s="13" t="n">
        <v>598.598</v>
      </c>
      <c r="H142" s="12" t="n">
        <v>0</v>
      </c>
      <c r="I142" s="13" t="n">
        <v>0</v>
      </c>
      <c r="J142" s="9" t="s">
        <v>64</v>
      </c>
    </row>
    <row r="143" customFormat="false" ht="15" hidden="false" customHeight="false" outlineLevel="0" collapsed="false">
      <c r="A143" s="9" t="n">
        <v>139</v>
      </c>
      <c r="B143" s="9" t="s">
        <v>381</v>
      </c>
      <c r="C143" s="9" t="s">
        <v>373</v>
      </c>
      <c r="D143" s="9" t="s">
        <v>378</v>
      </c>
      <c r="E143" s="11" t="n">
        <v>46230</v>
      </c>
      <c r="F143" s="12" t="n">
        <v>10560</v>
      </c>
      <c r="G143" s="13" t="n">
        <v>7797.3984</v>
      </c>
      <c r="H143" s="12" t="n">
        <v>5760</v>
      </c>
      <c r="I143" s="13" t="n">
        <v>4253.1264</v>
      </c>
      <c r="J143" s="9"/>
    </row>
    <row r="144" customFormat="false" ht="15" hidden="false" customHeight="false" outlineLevel="0" collapsed="false">
      <c r="A144" s="9" t="n">
        <v>140</v>
      </c>
      <c r="B144" s="9" t="s">
        <v>928</v>
      </c>
      <c r="C144" s="9" t="s">
        <v>913</v>
      </c>
      <c r="D144" s="9" t="s">
        <v>926</v>
      </c>
      <c r="E144" s="11" t="n">
        <v>46235</v>
      </c>
      <c r="F144" s="12" t="n">
        <v>7200</v>
      </c>
      <c r="G144" s="13" t="n">
        <v>981.288</v>
      </c>
      <c r="H144" s="12" t="n">
        <v>10800</v>
      </c>
      <c r="I144" s="13" t="n">
        <v>1471.932</v>
      </c>
      <c r="J144" s="9"/>
    </row>
    <row r="145" customFormat="false" ht="15" hidden="false" customHeight="false" outlineLevel="0" collapsed="false">
      <c r="A145" s="9" t="n">
        <v>141</v>
      </c>
      <c r="B145" s="9" t="s">
        <v>1209</v>
      </c>
      <c r="C145" s="9" t="s">
        <v>1206</v>
      </c>
      <c r="D145" s="9" t="s">
        <v>1207</v>
      </c>
      <c r="E145" s="11" t="n">
        <v>46216</v>
      </c>
      <c r="F145" s="12" t="n">
        <v>1460</v>
      </c>
      <c r="G145" s="13" t="n">
        <v>375.8624</v>
      </c>
      <c r="H145" s="12" t="n">
        <v>1460</v>
      </c>
      <c r="I145" s="13" t="n">
        <v>375.8624</v>
      </c>
      <c r="J145" s="9"/>
    </row>
    <row r="146" customFormat="false" ht="15" hidden="false" customHeight="false" outlineLevel="0" collapsed="false">
      <c r="A146" s="9" t="n">
        <v>142</v>
      </c>
      <c r="B146" s="9" t="s">
        <v>501</v>
      </c>
      <c r="C146" s="9" t="s">
        <v>497</v>
      </c>
      <c r="D146" s="9" t="s">
        <v>498</v>
      </c>
      <c r="E146" s="11" t="n">
        <v>46213</v>
      </c>
      <c r="F146" s="12" t="n">
        <v>105</v>
      </c>
      <c r="G146" s="13" t="n">
        <v>134.9103</v>
      </c>
      <c r="H146" s="12" t="n">
        <v>105</v>
      </c>
      <c r="I146" s="13" t="n">
        <v>134.9103</v>
      </c>
      <c r="J146" s="9" t="s">
        <v>144</v>
      </c>
    </row>
    <row r="147" customFormat="false" ht="15" hidden="false" customHeight="false" outlineLevel="0" collapsed="false">
      <c r="A147" s="9" t="n">
        <v>143</v>
      </c>
      <c r="B147" s="9" t="s">
        <v>279</v>
      </c>
      <c r="C147" s="9" t="s">
        <v>275</v>
      </c>
      <c r="D147" s="9" t="s">
        <v>276</v>
      </c>
      <c r="E147" s="11" t="n">
        <v>46230</v>
      </c>
      <c r="F147" s="12" t="n">
        <v>2300</v>
      </c>
      <c r="G147" s="13" t="n">
        <v>813.027</v>
      </c>
      <c r="H147" s="12" t="n">
        <v>2300</v>
      </c>
      <c r="I147" s="13" t="n">
        <v>813.027</v>
      </c>
      <c r="J147" s="9" t="s">
        <v>144</v>
      </c>
    </row>
    <row r="148" customFormat="false" ht="15" hidden="false" customHeight="false" outlineLevel="0" collapsed="false">
      <c r="A148" s="9" t="n">
        <v>144</v>
      </c>
      <c r="B148" s="9" t="s">
        <v>1067</v>
      </c>
      <c r="C148" s="9" t="s">
        <v>1037</v>
      </c>
      <c r="D148" s="9" t="s">
        <v>1064</v>
      </c>
      <c r="E148" s="11" t="n">
        <v>46216</v>
      </c>
      <c r="F148" s="12" t="n">
        <v>551</v>
      </c>
      <c r="G148" s="13" t="n">
        <v>205.07118</v>
      </c>
      <c r="H148" s="12" t="n">
        <v>551</v>
      </c>
      <c r="I148" s="13" t="n">
        <v>205.07118</v>
      </c>
      <c r="J148" s="9" t="s">
        <v>144</v>
      </c>
    </row>
    <row r="149" customFormat="false" ht="15" hidden="false" customHeight="false" outlineLevel="0" collapsed="false">
      <c r="A149" s="9" t="n">
        <v>145</v>
      </c>
      <c r="B149" s="9" t="s">
        <v>1071</v>
      </c>
      <c r="C149" s="9" t="s">
        <v>1037</v>
      </c>
      <c r="D149" s="9" t="s">
        <v>1068</v>
      </c>
      <c r="E149" s="11" t="n">
        <v>46217</v>
      </c>
      <c r="F149" s="12" t="n">
        <v>320</v>
      </c>
      <c r="G149" s="13" t="n">
        <v>217.696</v>
      </c>
      <c r="H149" s="12" t="n">
        <v>320</v>
      </c>
      <c r="I149" s="13" t="n">
        <v>217.696</v>
      </c>
      <c r="J149" s="9"/>
    </row>
    <row r="150" customFormat="false" ht="15" hidden="false" customHeight="false" outlineLevel="0" collapsed="false">
      <c r="A150" s="9" t="n">
        <v>146</v>
      </c>
      <c r="B150" s="9" t="s">
        <v>1000</v>
      </c>
      <c r="C150" s="9" t="s">
        <v>996</v>
      </c>
      <c r="D150" s="9" t="s">
        <v>997</v>
      </c>
      <c r="E150" s="11" t="n">
        <v>46220</v>
      </c>
      <c r="F150" s="12" t="n">
        <v>1954</v>
      </c>
      <c r="G150" s="13" t="n">
        <v>1079.60454</v>
      </c>
      <c r="H150" s="12" t="n">
        <v>1954</v>
      </c>
      <c r="I150" s="13" t="n">
        <v>1079.60454</v>
      </c>
      <c r="J150" s="9"/>
    </row>
    <row r="151" customFormat="false" ht="15" hidden="false" customHeight="false" outlineLevel="0" collapsed="false">
      <c r="A151" s="9" t="n">
        <v>147</v>
      </c>
      <c r="B151" s="9" t="s">
        <v>505</v>
      </c>
      <c r="C151" s="9" t="s">
        <v>497</v>
      </c>
      <c r="D151" s="9" t="s">
        <v>502</v>
      </c>
      <c r="E151" s="11" t="n">
        <v>46220</v>
      </c>
      <c r="F151" s="12" t="n">
        <v>77</v>
      </c>
      <c r="G151" s="13" t="n">
        <v>83.31169</v>
      </c>
      <c r="H151" s="12" t="n">
        <v>77</v>
      </c>
      <c r="I151" s="13" t="n">
        <v>83.31169</v>
      </c>
      <c r="J151" s="9" t="s">
        <v>144</v>
      </c>
    </row>
    <row r="152" customFormat="false" ht="15" hidden="false" customHeight="false" outlineLevel="0" collapsed="false">
      <c r="A152" s="9" t="n">
        <v>148</v>
      </c>
      <c r="B152" s="9" t="s">
        <v>509</v>
      </c>
      <c r="C152" s="9" t="s">
        <v>497</v>
      </c>
      <c r="D152" s="9" t="s">
        <v>506</v>
      </c>
      <c r="E152" s="11" t="n">
        <v>46225</v>
      </c>
      <c r="F152" s="12" t="n">
        <v>126</v>
      </c>
      <c r="G152" s="13" t="n">
        <v>157.69404</v>
      </c>
      <c r="H152" s="12" t="n">
        <v>126</v>
      </c>
      <c r="I152" s="13" t="n">
        <v>157.69404</v>
      </c>
      <c r="J152" s="9"/>
    </row>
    <row r="153" customFormat="false" ht="15" hidden="false" customHeight="false" outlineLevel="0" collapsed="false">
      <c r="A153" s="9" t="n">
        <v>149</v>
      </c>
      <c r="B153" s="9" t="s">
        <v>513</v>
      </c>
      <c r="C153" s="9" t="s">
        <v>497</v>
      </c>
      <c r="D153" s="9" t="s">
        <v>510</v>
      </c>
      <c r="E153" s="11" t="n">
        <v>46222</v>
      </c>
      <c r="F153" s="12" t="n">
        <v>163</v>
      </c>
      <c r="G153" s="13" t="n">
        <v>195.73203</v>
      </c>
      <c r="H153" s="12" t="n">
        <v>163</v>
      </c>
      <c r="I153" s="13" t="n">
        <v>195.73203</v>
      </c>
      <c r="J153" s="9" t="s">
        <v>144</v>
      </c>
    </row>
    <row r="154" customFormat="false" ht="15" hidden="false" customHeight="false" outlineLevel="0" collapsed="false">
      <c r="A154" s="9" t="n">
        <v>150</v>
      </c>
      <c r="B154" s="9" t="s">
        <v>517</v>
      </c>
      <c r="C154" s="9" t="s">
        <v>497</v>
      </c>
      <c r="D154" s="9" t="s">
        <v>514</v>
      </c>
      <c r="E154" s="11" t="n">
        <v>46223</v>
      </c>
      <c r="F154" s="12" t="n">
        <v>90</v>
      </c>
      <c r="G154" s="13" t="n">
        <v>46.7847</v>
      </c>
      <c r="H154" s="12" t="n">
        <v>90</v>
      </c>
      <c r="I154" s="13" t="n">
        <v>46.7847</v>
      </c>
      <c r="J154" s="9" t="s">
        <v>144</v>
      </c>
    </row>
    <row r="155" customFormat="false" ht="15" hidden="false" customHeight="false" outlineLevel="0" collapsed="false">
      <c r="A155" s="9" t="n">
        <v>151</v>
      </c>
      <c r="B155" s="9" t="s">
        <v>521</v>
      </c>
      <c r="C155" s="9" t="s">
        <v>497</v>
      </c>
      <c r="D155" s="9" t="s">
        <v>518</v>
      </c>
      <c r="E155" s="11" t="n">
        <v>46220</v>
      </c>
      <c r="F155" s="12" t="n">
        <v>80</v>
      </c>
      <c r="G155" s="13" t="n">
        <v>57.2056</v>
      </c>
      <c r="H155" s="12" t="n">
        <v>80</v>
      </c>
      <c r="I155" s="13" t="n">
        <v>57.2056</v>
      </c>
      <c r="J155" s="9" t="s">
        <v>144</v>
      </c>
    </row>
    <row r="156" customFormat="false" ht="15" hidden="false" customHeight="false" outlineLevel="0" collapsed="false">
      <c r="A156" s="9" t="n">
        <v>152</v>
      </c>
      <c r="B156" s="9" t="s">
        <v>649</v>
      </c>
      <c r="C156" s="9" t="s">
        <v>645</v>
      </c>
      <c r="D156" s="9" t="s">
        <v>646</v>
      </c>
      <c r="E156" s="11" t="n">
        <v>46222</v>
      </c>
      <c r="F156" s="12" t="n">
        <v>520</v>
      </c>
      <c r="G156" s="13" t="n">
        <v>116.7764</v>
      </c>
      <c r="H156" s="12" t="n">
        <v>520</v>
      </c>
      <c r="I156" s="13" t="n">
        <v>116.7764</v>
      </c>
      <c r="J156" s="9" t="s">
        <v>64</v>
      </c>
    </row>
    <row r="157" customFormat="false" ht="15" hidden="false" customHeight="false" outlineLevel="0" collapsed="false">
      <c r="A157" s="9" t="n">
        <v>153</v>
      </c>
      <c r="B157" s="9" t="s">
        <v>1004</v>
      </c>
      <c r="C157" s="9" t="s">
        <v>996</v>
      </c>
      <c r="D157" s="9" t="s">
        <v>1001</v>
      </c>
      <c r="E157" s="11" t="n">
        <v>46224</v>
      </c>
      <c r="F157" s="12" t="n">
        <v>8570</v>
      </c>
      <c r="G157" s="13" t="n">
        <v>2851.239</v>
      </c>
      <c r="H157" s="12" t="n">
        <v>8570</v>
      </c>
      <c r="I157" s="13" t="n">
        <v>2851.239</v>
      </c>
      <c r="J157" s="9"/>
    </row>
    <row r="158" customFormat="false" ht="15" hidden="false" customHeight="false" outlineLevel="0" collapsed="false">
      <c r="A158" s="9" t="n">
        <v>154</v>
      </c>
      <c r="B158" s="9" t="s">
        <v>1008</v>
      </c>
      <c r="C158" s="9" t="s">
        <v>996</v>
      </c>
      <c r="D158" s="9" t="s">
        <v>1005</v>
      </c>
      <c r="E158" s="11" t="n">
        <v>46221</v>
      </c>
      <c r="F158" s="12" t="n">
        <v>4540</v>
      </c>
      <c r="G158" s="13" t="n">
        <v>1110.8472</v>
      </c>
      <c r="H158" s="12" t="n">
        <v>4540</v>
      </c>
      <c r="I158" s="13" t="n">
        <v>1110.8472</v>
      </c>
      <c r="J158" s="9" t="s">
        <v>64</v>
      </c>
    </row>
    <row r="159" customFormat="false" ht="15" hidden="false" customHeight="false" outlineLevel="0" collapsed="false">
      <c r="A159" s="9" t="n">
        <v>155</v>
      </c>
      <c r="B159" s="9" t="s">
        <v>112</v>
      </c>
      <c r="C159" s="9" t="s">
        <v>102</v>
      </c>
      <c r="D159" s="9" t="s">
        <v>109</v>
      </c>
      <c r="E159" s="11" t="n">
        <v>46231</v>
      </c>
      <c r="F159" s="12" t="n">
        <v>1426</v>
      </c>
      <c r="G159" s="13" t="n">
        <v>855.35758</v>
      </c>
      <c r="H159" s="12" t="n">
        <v>1426</v>
      </c>
      <c r="I159" s="13" t="n">
        <v>855.35758</v>
      </c>
      <c r="J159" s="9" t="s">
        <v>64</v>
      </c>
    </row>
    <row r="160" customFormat="false" ht="15" hidden="false" customHeight="false" outlineLevel="0" collapsed="false">
      <c r="A160" s="9" t="n">
        <v>156</v>
      </c>
      <c r="B160" s="9" t="s">
        <v>116</v>
      </c>
      <c r="C160" s="9" t="s">
        <v>102</v>
      </c>
      <c r="D160" s="9" t="s">
        <v>113</v>
      </c>
      <c r="E160" s="11" t="n">
        <v>46231</v>
      </c>
      <c r="F160" s="12" t="n">
        <v>435</v>
      </c>
      <c r="G160" s="13" t="n">
        <v>86.44755</v>
      </c>
      <c r="H160" s="12" t="n">
        <v>435</v>
      </c>
      <c r="I160" s="13" t="n">
        <v>86.44755</v>
      </c>
      <c r="J160" s="9" t="s">
        <v>64</v>
      </c>
    </row>
    <row r="161" customFormat="false" ht="15" hidden="false" customHeight="false" outlineLevel="0" collapsed="false">
      <c r="A161" s="9" t="n">
        <v>157</v>
      </c>
      <c r="B161" s="9" t="s">
        <v>1017</v>
      </c>
      <c r="C161" s="9" t="s">
        <v>1009</v>
      </c>
      <c r="D161" s="9" t="s">
        <v>1014</v>
      </c>
      <c r="E161" s="11" t="n">
        <v>46232</v>
      </c>
      <c r="F161" s="12" t="n">
        <v>7770</v>
      </c>
      <c r="G161" s="13" t="n">
        <v>3460.758</v>
      </c>
      <c r="H161" s="12" t="n">
        <v>7770</v>
      </c>
      <c r="I161" s="13" t="n">
        <v>3460.758</v>
      </c>
      <c r="J161" s="9"/>
    </row>
    <row r="162" customFormat="false" ht="15" hidden="false" customHeight="false" outlineLevel="0" collapsed="false">
      <c r="A162" s="9" t="n">
        <v>158</v>
      </c>
      <c r="B162" s="9" t="s">
        <v>892</v>
      </c>
      <c r="C162" s="9" t="s">
        <v>871</v>
      </c>
      <c r="D162" s="9" t="s">
        <v>889</v>
      </c>
      <c r="E162" s="11" t="n">
        <v>46221</v>
      </c>
      <c r="F162" s="12" t="n">
        <v>1000</v>
      </c>
      <c r="G162" s="13" t="n">
        <v>281.41</v>
      </c>
      <c r="H162" s="12" t="n">
        <v>1000</v>
      </c>
      <c r="I162" s="13" t="n">
        <v>281.41</v>
      </c>
      <c r="J162" s="9" t="s">
        <v>64</v>
      </c>
    </row>
    <row r="163" customFormat="false" ht="15" hidden="false" customHeight="false" outlineLevel="0" collapsed="false">
      <c r="A163" s="9" t="n">
        <v>159</v>
      </c>
      <c r="B163" s="9" t="s">
        <v>895</v>
      </c>
      <c r="C163" s="9" t="s">
        <v>871</v>
      </c>
      <c r="D163" s="9" t="s">
        <v>893</v>
      </c>
      <c r="E163" s="11" t="n">
        <v>46234</v>
      </c>
      <c r="F163" s="12" t="n">
        <v>880</v>
      </c>
      <c r="G163" s="13" t="n">
        <v>240.9264</v>
      </c>
      <c r="H163" s="12" t="n">
        <v>880</v>
      </c>
      <c r="I163" s="13" t="n">
        <v>240.9264</v>
      </c>
      <c r="J163" s="9" t="s">
        <v>64</v>
      </c>
    </row>
    <row r="164" customFormat="false" ht="15" hidden="false" customHeight="false" outlineLevel="0" collapsed="false">
      <c r="A164" s="9" t="n">
        <v>160</v>
      </c>
      <c r="B164" s="9" t="s">
        <v>576</v>
      </c>
      <c r="C164" s="9" t="s">
        <v>568</v>
      </c>
      <c r="D164" s="9" t="s">
        <v>573</v>
      </c>
      <c r="E164" s="11" t="n">
        <v>46234</v>
      </c>
      <c r="F164" s="12" t="n">
        <v>1800</v>
      </c>
      <c r="G164" s="13" t="n">
        <v>501.408</v>
      </c>
      <c r="H164" s="12" t="n">
        <v>0</v>
      </c>
      <c r="I164" s="13" t="n">
        <v>0</v>
      </c>
      <c r="J164" s="9" t="s">
        <v>144</v>
      </c>
    </row>
    <row r="165" customFormat="false" ht="15" hidden="false" customHeight="false" outlineLevel="0" collapsed="false">
      <c r="A165" s="9" t="n">
        <v>161</v>
      </c>
      <c r="B165" s="9" t="s">
        <v>580</v>
      </c>
      <c r="C165" s="9" t="s">
        <v>568</v>
      </c>
      <c r="D165" s="9" t="s">
        <v>577</v>
      </c>
      <c r="E165" s="11" t="n">
        <v>46234</v>
      </c>
      <c r="F165" s="12" t="n">
        <v>10500</v>
      </c>
      <c r="G165" s="13" t="n">
        <v>8287.545</v>
      </c>
      <c r="H165" s="12" t="n">
        <v>0</v>
      </c>
      <c r="I165" s="13" t="n">
        <v>0</v>
      </c>
      <c r="J165" s="9"/>
    </row>
    <row r="166" customFormat="false" ht="15" hidden="false" customHeight="false" outlineLevel="0" collapsed="false">
      <c r="A166" s="9" t="n">
        <v>162</v>
      </c>
      <c r="B166" s="9" t="s">
        <v>584</v>
      </c>
      <c r="C166" s="9" t="s">
        <v>568</v>
      </c>
      <c r="D166" s="9" t="s">
        <v>581</v>
      </c>
      <c r="E166" s="11" t="n">
        <v>46234</v>
      </c>
      <c r="F166" s="12" t="n">
        <v>1500</v>
      </c>
      <c r="G166" s="13" t="n">
        <v>593.55</v>
      </c>
      <c r="H166" s="12" t="n">
        <v>0</v>
      </c>
      <c r="I166" s="13" t="n">
        <v>0</v>
      </c>
      <c r="J166" s="9"/>
    </row>
    <row r="167" customFormat="false" ht="15" hidden="false" customHeight="false" outlineLevel="0" collapsed="false">
      <c r="A167" s="9" t="n">
        <v>163</v>
      </c>
      <c r="B167" s="9" t="s">
        <v>619</v>
      </c>
      <c r="C167" s="9" t="s">
        <v>611</v>
      </c>
      <c r="D167" s="9" t="s">
        <v>616</v>
      </c>
      <c r="E167" s="11" t="n">
        <v>46214</v>
      </c>
      <c r="F167" s="12" t="n">
        <v>1560</v>
      </c>
      <c r="G167" s="13" t="n">
        <v>561.3348</v>
      </c>
      <c r="H167" s="12" t="n">
        <v>1560</v>
      </c>
      <c r="I167" s="13" t="n">
        <v>561.3348</v>
      </c>
      <c r="J167" s="9" t="s">
        <v>155</v>
      </c>
    </row>
    <row r="168" customFormat="false" ht="15" hidden="false" customHeight="false" outlineLevel="0" collapsed="false">
      <c r="A168" s="9" t="n">
        <v>164</v>
      </c>
      <c r="B168" s="9" t="s">
        <v>622</v>
      </c>
      <c r="C168" s="9" t="s">
        <v>611</v>
      </c>
      <c r="D168" s="9" t="s">
        <v>620</v>
      </c>
      <c r="E168" s="11" t="n">
        <v>46217</v>
      </c>
      <c r="F168" s="12" t="n">
        <v>250</v>
      </c>
      <c r="G168" s="13" t="n">
        <v>73.34</v>
      </c>
      <c r="H168" s="12" t="n">
        <v>250</v>
      </c>
      <c r="I168" s="13" t="n">
        <v>73.34</v>
      </c>
      <c r="J168" s="9" t="s">
        <v>155</v>
      </c>
    </row>
    <row r="169" customFormat="false" ht="15" hidden="false" customHeight="false" outlineLevel="0" collapsed="false">
      <c r="A169" s="9" t="n">
        <v>165</v>
      </c>
      <c r="B169" s="9" t="s">
        <v>959</v>
      </c>
      <c r="C169" s="9" t="s">
        <v>943</v>
      </c>
      <c r="D169" s="9" t="s">
        <v>956</v>
      </c>
      <c r="E169" s="11" t="n">
        <v>46217</v>
      </c>
      <c r="F169" s="12" t="n">
        <v>1450</v>
      </c>
      <c r="G169" s="13" t="n">
        <v>343.157</v>
      </c>
      <c r="H169" s="12" t="n">
        <v>1450</v>
      </c>
      <c r="I169" s="13" t="n">
        <v>343.157</v>
      </c>
      <c r="J169" s="9"/>
    </row>
    <row r="170" customFormat="false" ht="15" hidden="false" customHeight="false" outlineLevel="0" collapsed="false">
      <c r="A170" s="9" t="n">
        <v>166</v>
      </c>
      <c r="B170" s="9" t="s">
        <v>963</v>
      </c>
      <c r="C170" s="9" t="s">
        <v>943</v>
      </c>
      <c r="D170" s="9" t="s">
        <v>960</v>
      </c>
      <c r="E170" s="11" t="n">
        <v>46222</v>
      </c>
      <c r="F170" s="12" t="n">
        <v>300</v>
      </c>
      <c r="G170" s="13" t="n">
        <v>157.308</v>
      </c>
      <c r="H170" s="12" t="n">
        <v>300</v>
      </c>
      <c r="I170" s="13" t="n">
        <v>157.308</v>
      </c>
      <c r="J170" s="9"/>
    </row>
    <row r="171" customFormat="false" ht="15" hidden="false" customHeight="false" outlineLevel="0" collapsed="false">
      <c r="A171" s="9" t="n">
        <v>167</v>
      </c>
      <c r="B171" s="9" t="s">
        <v>967</v>
      </c>
      <c r="C171" s="9" t="s">
        <v>943</v>
      </c>
      <c r="D171" s="9" t="s">
        <v>964</v>
      </c>
      <c r="E171" s="11" t="n">
        <v>46233</v>
      </c>
      <c r="F171" s="12" t="n">
        <v>7600</v>
      </c>
      <c r="G171" s="13" t="n">
        <v>1007.988</v>
      </c>
      <c r="H171" s="12" t="n">
        <v>7600</v>
      </c>
      <c r="I171" s="13" t="n">
        <v>1007.988</v>
      </c>
      <c r="J171" s="9"/>
    </row>
    <row r="172" customFormat="false" ht="15" hidden="false" customHeight="false" outlineLevel="0" collapsed="false">
      <c r="A172" s="9" t="n">
        <v>168</v>
      </c>
      <c r="B172" s="9" t="s">
        <v>971</v>
      </c>
      <c r="C172" s="9" t="s">
        <v>943</v>
      </c>
      <c r="D172" s="9" t="s">
        <v>968</v>
      </c>
      <c r="E172" s="11" t="n">
        <v>46231</v>
      </c>
      <c r="F172" s="12" t="n">
        <v>4375</v>
      </c>
      <c r="G172" s="13" t="n">
        <v>1608.11875</v>
      </c>
      <c r="H172" s="12" t="n">
        <v>800</v>
      </c>
      <c r="I172" s="13" t="n">
        <v>294.056</v>
      </c>
      <c r="J172" s="9"/>
    </row>
    <row r="173" customFormat="false" ht="15" hidden="false" customHeight="false" outlineLevel="0" collapsed="false">
      <c r="A173" s="9" t="n">
        <v>169</v>
      </c>
      <c r="B173" s="9" t="s">
        <v>975</v>
      </c>
      <c r="C173" s="9" t="s">
        <v>943</v>
      </c>
      <c r="D173" s="9" t="s">
        <v>972</v>
      </c>
      <c r="E173" s="11" t="n">
        <v>46234</v>
      </c>
      <c r="F173" s="12" t="n">
        <v>11394</v>
      </c>
      <c r="G173" s="13" t="n">
        <v>1386.30798</v>
      </c>
      <c r="H173" s="12" t="n">
        <v>0</v>
      </c>
      <c r="I173" s="13" t="n">
        <v>0</v>
      </c>
      <c r="J173" s="9" t="s">
        <v>77</v>
      </c>
    </row>
    <row r="174" customFormat="false" ht="15" hidden="false" customHeight="false" outlineLevel="0" collapsed="false">
      <c r="A174" s="9" t="n">
        <v>170</v>
      </c>
      <c r="B174" s="9" t="s">
        <v>979</v>
      </c>
      <c r="C174" s="9" t="s">
        <v>943</v>
      </c>
      <c r="D174" s="9" t="s">
        <v>976</v>
      </c>
      <c r="E174" s="11" t="n">
        <v>46231</v>
      </c>
      <c r="F174" s="12" t="n">
        <v>2025</v>
      </c>
      <c r="G174" s="13" t="n">
        <v>686.25225</v>
      </c>
      <c r="H174" s="12" t="n">
        <v>2025</v>
      </c>
      <c r="I174" s="13" t="n">
        <v>686.25225</v>
      </c>
      <c r="J174" s="9" t="s">
        <v>77</v>
      </c>
    </row>
    <row r="175" customFormat="false" ht="15" hidden="false" customHeight="false" outlineLevel="0" collapsed="false">
      <c r="A175" s="9" t="n">
        <v>171</v>
      </c>
      <c r="B175" s="9" t="s">
        <v>983</v>
      </c>
      <c r="C175" s="9" t="s">
        <v>943</v>
      </c>
      <c r="D175" s="9" t="s">
        <v>980</v>
      </c>
      <c r="E175" s="11" t="n">
        <v>46233</v>
      </c>
      <c r="F175" s="12" t="n">
        <v>1400</v>
      </c>
      <c r="G175" s="13" t="n">
        <v>311.332</v>
      </c>
      <c r="H175" s="12" t="n">
        <v>1400</v>
      </c>
      <c r="I175" s="13" t="n">
        <v>311.332</v>
      </c>
      <c r="J175" s="9"/>
    </row>
    <row r="176" customFormat="false" ht="15" hidden="false" customHeight="false" outlineLevel="0" collapsed="false">
      <c r="A176" s="9" t="n">
        <v>172</v>
      </c>
      <c r="B176" s="9" t="s">
        <v>986</v>
      </c>
      <c r="C176" s="9" t="s">
        <v>943</v>
      </c>
      <c r="D176" s="9" t="s">
        <v>984</v>
      </c>
      <c r="E176" s="11" t="n">
        <v>46230</v>
      </c>
      <c r="F176" s="12" t="n">
        <v>875</v>
      </c>
      <c r="G176" s="13" t="n">
        <v>296.52875</v>
      </c>
      <c r="H176" s="12" t="n">
        <v>475</v>
      </c>
      <c r="I176" s="13" t="n">
        <v>160.97275</v>
      </c>
      <c r="J176" s="9" t="s">
        <v>77</v>
      </c>
    </row>
    <row r="177" customFormat="false" ht="15" hidden="false" customHeight="false" outlineLevel="0" collapsed="false">
      <c r="A177" s="9" t="n">
        <v>173</v>
      </c>
      <c r="B177" s="9" t="s">
        <v>989</v>
      </c>
      <c r="C177" s="9" t="s">
        <v>943</v>
      </c>
      <c r="D177" s="9" t="s">
        <v>987</v>
      </c>
      <c r="E177" s="11" t="n">
        <v>46233</v>
      </c>
      <c r="F177" s="12" t="n">
        <v>100</v>
      </c>
      <c r="G177" s="13" t="n">
        <v>22.238</v>
      </c>
      <c r="H177" s="12" t="n">
        <v>100</v>
      </c>
      <c r="I177" s="13" t="n">
        <v>22.238</v>
      </c>
      <c r="J177" s="9"/>
    </row>
    <row r="178" customFormat="false" ht="15" hidden="false" customHeight="false" outlineLevel="0" collapsed="false">
      <c r="A178" s="9" t="n">
        <v>174</v>
      </c>
      <c r="B178" s="9" t="s">
        <v>993</v>
      </c>
      <c r="C178" s="9" t="s">
        <v>943</v>
      </c>
      <c r="D178" s="9" t="s">
        <v>990</v>
      </c>
      <c r="E178" s="11" t="n">
        <v>46233</v>
      </c>
      <c r="F178" s="12" t="n">
        <v>4575</v>
      </c>
      <c r="G178" s="13" t="n">
        <v>3375.8925</v>
      </c>
      <c r="H178" s="12" t="n">
        <v>2950</v>
      </c>
      <c r="I178" s="13" t="n">
        <v>2176.805</v>
      </c>
      <c r="J178" s="9"/>
    </row>
    <row r="179" customFormat="false" ht="15" hidden="false" customHeight="false" outlineLevel="0" collapsed="false">
      <c r="A179" s="9" t="n">
        <v>175</v>
      </c>
      <c r="B179" s="9" t="s">
        <v>1219</v>
      </c>
      <c r="C179" s="9" t="s">
        <v>1215</v>
      </c>
      <c r="D179" s="9" t="s">
        <v>1216</v>
      </c>
      <c r="E179" s="11" t="n">
        <v>46233</v>
      </c>
      <c r="F179" s="12" t="n">
        <v>525</v>
      </c>
      <c r="G179" s="13" t="n">
        <v>483.98175</v>
      </c>
      <c r="H179" s="12" t="n">
        <v>0</v>
      </c>
      <c r="I179" s="13" t="n">
        <v>0</v>
      </c>
      <c r="J179" s="9"/>
    </row>
    <row r="180" customFormat="false" ht="15" hidden="false" customHeight="false" outlineLevel="0" collapsed="false">
      <c r="A180" s="9" t="n">
        <v>176</v>
      </c>
      <c r="B180" s="9" t="s">
        <v>312</v>
      </c>
      <c r="C180" s="9" t="s">
        <v>304</v>
      </c>
      <c r="D180" s="9" t="s">
        <v>309</v>
      </c>
      <c r="E180" s="11" t="n">
        <v>46234</v>
      </c>
      <c r="F180" s="12" t="n">
        <v>-20</v>
      </c>
      <c r="G180" s="13" t="n">
        <v>-9.3594</v>
      </c>
      <c r="H180" s="12" t="n">
        <v>0</v>
      </c>
      <c r="I180" s="13" t="n">
        <v>0</v>
      </c>
      <c r="J180" s="9"/>
    </row>
    <row r="181" customFormat="false" ht="15" hidden="false" customHeight="false" outlineLevel="0" collapsed="false">
      <c r="A181" s="9" t="n">
        <v>177</v>
      </c>
      <c r="B181" s="9" t="s">
        <v>550</v>
      </c>
      <c r="C181" s="9" t="s">
        <v>546</v>
      </c>
      <c r="D181" s="9" t="s">
        <v>547</v>
      </c>
      <c r="E181" s="11" t="n">
        <v>46222</v>
      </c>
      <c r="F181" s="12" t="n">
        <v>6338</v>
      </c>
      <c r="G181" s="13" t="n">
        <v>1107.43874</v>
      </c>
      <c r="H181" s="12" t="n">
        <v>6338</v>
      </c>
      <c r="I181" s="13" t="n">
        <v>1107.43874</v>
      </c>
      <c r="J181" s="9"/>
    </row>
    <row r="182" customFormat="false" ht="15" hidden="false" customHeight="false" outlineLevel="0" collapsed="false">
      <c r="A182" s="9" t="n">
        <v>178</v>
      </c>
      <c r="B182" s="9" t="s">
        <v>1036</v>
      </c>
      <c r="C182" s="9" t="s">
        <v>1028</v>
      </c>
      <c r="D182" s="9" t="s">
        <v>1033</v>
      </c>
      <c r="E182" s="11" t="n">
        <v>46232</v>
      </c>
      <c r="F182" s="12" t="n">
        <v>70</v>
      </c>
      <c r="G182" s="13" t="n">
        <v>31.1766</v>
      </c>
      <c r="H182" s="12" t="n">
        <v>70</v>
      </c>
      <c r="I182" s="13" t="n">
        <v>31.1766</v>
      </c>
      <c r="J182" s="9"/>
    </row>
    <row r="183" customFormat="false" ht="15" hidden="false" customHeight="false" outlineLevel="0" collapsed="false">
      <c r="A183" s="9" t="n">
        <v>179</v>
      </c>
      <c r="B183" s="9" t="s">
        <v>831</v>
      </c>
      <c r="C183" s="9" t="s">
        <v>800</v>
      </c>
      <c r="D183" s="9" t="s">
        <v>828</v>
      </c>
      <c r="E183" s="11" t="n">
        <v>46221</v>
      </c>
      <c r="F183" s="12" t="n">
        <v>920</v>
      </c>
      <c r="G183" s="13" t="n">
        <v>215.1236</v>
      </c>
      <c r="H183" s="12" t="n">
        <v>920</v>
      </c>
      <c r="I183" s="13" t="n">
        <v>215.1236</v>
      </c>
      <c r="J183" s="9" t="s">
        <v>64</v>
      </c>
    </row>
    <row r="184" customFormat="false" ht="15" hidden="false" customHeight="false" outlineLevel="0" collapsed="false">
      <c r="A184" s="9" t="n">
        <v>180</v>
      </c>
      <c r="B184" s="9" t="s">
        <v>525</v>
      </c>
      <c r="C184" s="9" t="s">
        <v>497</v>
      </c>
      <c r="D184" s="9" t="s">
        <v>522</v>
      </c>
      <c r="E184" s="11" t="n">
        <v>46225</v>
      </c>
      <c r="F184" s="12" t="n">
        <v>220</v>
      </c>
      <c r="G184" s="13" t="n">
        <v>134.277</v>
      </c>
      <c r="H184" s="12" t="n">
        <v>220</v>
      </c>
      <c r="I184" s="13" t="n">
        <v>134.277</v>
      </c>
      <c r="J184" s="9"/>
    </row>
    <row r="185" customFormat="false" ht="15" hidden="false" customHeight="false" outlineLevel="0" collapsed="false">
      <c r="A185" s="9" t="n">
        <v>181</v>
      </c>
      <c r="B185" s="9" t="s">
        <v>1330</v>
      </c>
      <c r="C185" s="9" t="s">
        <v>1326</v>
      </c>
      <c r="D185" s="9" t="s">
        <v>1327</v>
      </c>
      <c r="E185" s="11" t="n">
        <v>46234</v>
      </c>
      <c r="F185" s="12" t="n">
        <v>560</v>
      </c>
      <c r="G185" s="13" t="n">
        <v>277.6368</v>
      </c>
      <c r="H185" s="12" t="n">
        <v>0</v>
      </c>
      <c r="I185" s="13" t="n">
        <v>0</v>
      </c>
      <c r="J185" s="9" t="s">
        <v>64</v>
      </c>
    </row>
    <row r="186" customFormat="false" ht="15" hidden="false" customHeight="false" outlineLevel="0" collapsed="false">
      <c r="A186" s="9" t="n">
        <v>182</v>
      </c>
      <c r="B186" s="9" t="s">
        <v>605</v>
      </c>
      <c r="C186" s="9" t="s">
        <v>594</v>
      </c>
      <c r="D186" s="9" t="s">
        <v>595</v>
      </c>
      <c r="E186" s="11" t="n">
        <v>46234</v>
      </c>
      <c r="F186" s="12" t="n">
        <v>14560</v>
      </c>
      <c r="G186" s="13" t="n">
        <v>2788.0944</v>
      </c>
      <c r="H186" s="12" t="n">
        <v>1660</v>
      </c>
      <c r="I186" s="13" t="n">
        <v>317.8734</v>
      </c>
      <c r="J186" s="9" t="s">
        <v>396</v>
      </c>
    </row>
    <row r="187" customFormat="false" ht="15" hidden="false" customHeight="false" outlineLevel="0" collapsed="false">
      <c r="A187" s="9" t="n">
        <v>183</v>
      </c>
      <c r="B187" s="9" t="s">
        <v>702</v>
      </c>
      <c r="C187" s="9" t="s">
        <v>698</v>
      </c>
      <c r="D187" s="9" t="s">
        <v>699</v>
      </c>
      <c r="E187" s="11" t="n">
        <v>46235</v>
      </c>
      <c r="F187" s="12" t="n">
        <v>0</v>
      </c>
      <c r="G187" s="13" t="n">
        <v>0</v>
      </c>
      <c r="H187" s="12" t="n">
        <v>357</v>
      </c>
      <c r="I187" s="13" t="n">
        <v>902.82801</v>
      </c>
      <c r="J187" s="9"/>
    </row>
    <row r="188" customFormat="false" ht="15" hidden="false" customHeight="false" outlineLevel="0" collapsed="false">
      <c r="A188" s="9" t="n">
        <v>184</v>
      </c>
      <c r="B188" s="9" t="s">
        <v>705</v>
      </c>
      <c r="C188" s="9" t="s">
        <v>698</v>
      </c>
      <c r="D188" s="9" t="s">
        <v>703</v>
      </c>
      <c r="E188" s="11" t="n">
        <v>46235</v>
      </c>
      <c r="F188" s="12" t="n">
        <v>0</v>
      </c>
      <c r="G188" s="13" t="n">
        <v>0</v>
      </c>
      <c r="H188" s="12" t="n">
        <v>306</v>
      </c>
      <c r="I188" s="13" t="n">
        <v>997.88436</v>
      </c>
      <c r="J188" s="9"/>
    </row>
    <row r="189" customFormat="false" ht="15" hidden="false" customHeight="false" outlineLevel="0" collapsed="false">
      <c r="A189" s="9" t="n">
        <v>185</v>
      </c>
      <c r="B189" s="9" t="s">
        <v>1284</v>
      </c>
      <c r="C189" s="9" t="s">
        <v>1280</v>
      </c>
      <c r="D189" s="9" t="s">
        <v>1281</v>
      </c>
      <c r="E189" s="11" t="n">
        <v>46233</v>
      </c>
      <c r="F189" s="12" t="n">
        <v>275</v>
      </c>
      <c r="G189" s="13" t="n">
        <v>77.29425</v>
      </c>
      <c r="H189" s="12" t="n">
        <v>275</v>
      </c>
      <c r="I189" s="13" t="n">
        <v>77.29425</v>
      </c>
      <c r="J189" s="9"/>
    </row>
    <row r="190" customFormat="false" ht="15" hidden="false" customHeight="false" outlineLevel="0" collapsed="false">
      <c r="A190" s="9" t="n">
        <v>186</v>
      </c>
      <c r="B190" s="9" t="s">
        <v>76</v>
      </c>
      <c r="C190" s="9" t="s">
        <v>72</v>
      </c>
      <c r="D190" s="9" t="s">
        <v>73</v>
      </c>
      <c r="E190" s="11" t="n">
        <v>46221</v>
      </c>
      <c r="F190" s="12" t="n">
        <v>200</v>
      </c>
      <c r="G190" s="13" t="n">
        <v>61.332</v>
      </c>
      <c r="H190" s="12" t="n">
        <v>200</v>
      </c>
      <c r="I190" s="13" t="n">
        <v>61.332</v>
      </c>
      <c r="J190" s="9" t="s">
        <v>77</v>
      </c>
    </row>
    <row r="191" customFormat="false" ht="15" hidden="false" customHeight="false" outlineLevel="0" collapsed="false">
      <c r="A191" s="9" t="n">
        <v>187</v>
      </c>
      <c r="B191" s="9" t="s">
        <v>1302</v>
      </c>
      <c r="C191" s="9" t="s">
        <v>1298</v>
      </c>
      <c r="D191" s="9" t="s">
        <v>1299</v>
      </c>
      <c r="E191" s="11" t="n">
        <v>46233</v>
      </c>
      <c r="F191" s="12" t="n">
        <v>340</v>
      </c>
      <c r="G191" s="13" t="n">
        <v>62.2336</v>
      </c>
      <c r="H191" s="12" t="n">
        <v>340</v>
      </c>
      <c r="I191" s="13" t="n">
        <v>62.2336</v>
      </c>
      <c r="J191" s="9"/>
    </row>
    <row r="192" customFormat="false" ht="15" hidden="false" customHeight="false" outlineLevel="0" collapsed="false">
      <c r="A192" s="9" t="n">
        <v>188</v>
      </c>
      <c r="B192" s="9" t="s">
        <v>1153</v>
      </c>
      <c r="C192" s="9" t="s">
        <v>1149</v>
      </c>
      <c r="D192" s="9" t="s">
        <v>1150</v>
      </c>
      <c r="E192" s="11" t="n">
        <v>46234</v>
      </c>
      <c r="F192" s="12" t="n">
        <v>22050</v>
      </c>
      <c r="G192" s="13" t="n">
        <v>3422.16</v>
      </c>
      <c r="H192" s="12" t="n">
        <v>22050</v>
      </c>
      <c r="I192" s="13" t="n">
        <v>3422.16</v>
      </c>
      <c r="J192" s="9"/>
    </row>
    <row r="193" customFormat="false" ht="15" hidden="false" customHeight="false" outlineLevel="0" collapsed="false">
      <c r="A193" s="9" t="n">
        <v>189</v>
      </c>
      <c r="B193" s="9" t="s">
        <v>1161</v>
      </c>
      <c r="C193" s="9" t="s">
        <v>1154</v>
      </c>
      <c r="D193" s="9" t="s">
        <v>1159</v>
      </c>
      <c r="E193" s="11" t="n">
        <v>46234</v>
      </c>
      <c r="F193" s="12" t="n">
        <v>2450</v>
      </c>
      <c r="G193" s="13" t="n">
        <v>407.7535</v>
      </c>
      <c r="H193" s="12" t="n">
        <v>0</v>
      </c>
      <c r="I193" s="13" t="n">
        <v>0</v>
      </c>
      <c r="J193" s="9"/>
    </row>
    <row r="194" customFormat="false" ht="15" hidden="false" customHeight="false" outlineLevel="0" collapsed="false">
      <c r="A194" s="9" t="n">
        <v>190</v>
      </c>
      <c r="B194" s="9" t="s">
        <v>29</v>
      </c>
      <c r="C194" s="9" t="s">
        <v>25</v>
      </c>
      <c r="D194" s="9" t="s">
        <v>26</v>
      </c>
      <c r="E194" s="11" t="n">
        <v>46235</v>
      </c>
      <c r="F194" s="12" t="n">
        <v>0</v>
      </c>
      <c r="G194" s="13" t="n">
        <v>0</v>
      </c>
      <c r="H194" s="12" t="n">
        <v>9500</v>
      </c>
      <c r="I194" s="13" t="n">
        <v>3730.175</v>
      </c>
      <c r="J194" s="9"/>
    </row>
    <row r="195" customFormat="false" ht="15" hidden="false" customHeight="false" outlineLevel="0" collapsed="false">
      <c r="A195" s="9" t="n">
        <v>191</v>
      </c>
      <c r="B195" s="9" t="s">
        <v>1243</v>
      </c>
      <c r="C195" s="9" t="s">
        <v>1235</v>
      </c>
      <c r="D195" s="9" t="s">
        <v>1240</v>
      </c>
      <c r="E195" s="11" t="n">
        <v>46223</v>
      </c>
      <c r="F195" s="12" t="n">
        <v>130</v>
      </c>
      <c r="G195" s="13" t="n">
        <v>117.3653</v>
      </c>
      <c r="H195" s="12" t="n">
        <v>130</v>
      </c>
      <c r="I195" s="13" t="n">
        <v>117.3653</v>
      </c>
      <c r="J195" s="9"/>
    </row>
    <row r="196" customFormat="false" ht="15" hidden="false" customHeight="false" outlineLevel="0" collapsed="false">
      <c r="A196" s="9" t="n">
        <v>192</v>
      </c>
      <c r="B196" s="9" t="s">
        <v>251</v>
      </c>
      <c r="C196" s="9" t="s">
        <v>247</v>
      </c>
      <c r="D196" s="9" t="s">
        <v>248</v>
      </c>
      <c r="E196" s="11" t="n">
        <v>46234</v>
      </c>
      <c r="F196" s="12" t="n">
        <v>3000</v>
      </c>
      <c r="G196" s="13" t="n">
        <v>2623.02</v>
      </c>
      <c r="H196" s="12" t="n">
        <v>0</v>
      </c>
      <c r="I196" s="13" t="n">
        <v>0</v>
      </c>
      <c r="J196" s="9"/>
    </row>
    <row r="197" customFormat="false" ht="15" hidden="false" customHeight="false" outlineLevel="0" collapsed="false">
      <c r="A197" s="9" t="n">
        <v>193</v>
      </c>
      <c r="B197" s="9" t="s">
        <v>1247</v>
      </c>
      <c r="C197" s="9" t="s">
        <v>1235</v>
      </c>
      <c r="D197" s="9" t="s">
        <v>1244</v>
      </c>
      <c r="E197" s="11" t="n">
        <v>46233</v>
      </c>
      <c r="F197" s="12" t="n">
        <v>1620</v>
      </c>
      <c r="G197" s="13" t="n">
        <v>1588.6368</v>
      </c>
      <c r="H197" s="12" t="n">
        <v>0</v>
      </c>
      <c r="I197" s="13" t="n">
        <v>0</v>
      </c>
      <c r="J197" s="9" t="s">
        <v>144</v>
      </c>
    </row>
    <row r="198" customFormat="false" ht="15" hidden="false" customHeight="false" outlineLevel="0" collapsed="false">
      <c r="A198" s="9" t="n">
        <v>194</v>
      </c>
      <c r="B198" s="9" t="s">
        <v>795</v>
      </c>
      <c r="C198" s="9" t="s">
        <v>783</v>
      </c>
      <c r="D198" s="9" t="s">
        <v>792</v>
      </c>
      <c r="E198" s="11" t="n">
        <v>46233</v>
      </c>
      <c r="F198" s="12" t="n">
        <v>301</v>
      </c>
      <c r="G198" s="13" t="n">
        <v>2476.04406</v>
      </c>
      <c r="H198" s="12" t="n">
        <v>301</v>
      </c>
      <c r="I198" s="13" t="n">
        <v>2476.04406</v>
      </c>
      <c r="J198" s="9" t="s">
        <v>155</v>
      </c>
    </row>
    <row r="199" customFormat="false" ht="15" hidden="false" customHeight="false" outlineLevel="0" collapsed="false">
      <c r="A199" s="9" t="n">
        <v>195</v>
      </c>
      <c r="B199" s="9" t="s">
        <v>799</v>
      </c>
      <c r="C199" s="9" t="s">
        <v>783</v>
      </c>
      <c r="D199" s="9" t="s">
        <v>796</v>
      </c>
      <c r="E199" s="11" t="n">
        <v>46224</v>
      </c>
      <c r="F199" s="12" t="n">
        <v>159</v>
      </c>
      <c r="G199" s="13" t="n">
        <v>796.71243</v>
      </c>
      <c r="H199" s="12" t="n">
        <v>159</v>
      </c>
      <c r="I199" s="13" t="n">
        <v>796.71243</v>
      </c>
      <c r="J199" s="9" t="s">
        <v>64</v>
      </c>
    </row>
    <row r="200" customFormat="false" ht="15" hidden="false" customHeight="false" outlineLevel="0" collapsed="false">
      <c r="A200" s="9" t="n">
        <v>196</v>
      </c>
      <c r="B200" s="9" t="s">
        <v>132</v>
      </c>
      <c r="C200" s="9" t="s">
        <v>128</v>
      </c>
      <c r="D200" s="9" t="s">
        <v>129</v>
      </c>
      <c r="E200" s="11" t="n">
        <v>46235</v>
      </c>
      <c r="F200" s="12" t="n">
        <v>0</v>
      </c>
      <c r="G200" s="13" t="n">
        <v>0</v>
      </c>
      <c r="H200" s="12" t="n">
        <v>350</v>
      </c>
      <c r="I200" s="13" t="n">
        <v>3185.8085</v>
      </c>
      <c r="J200" s="9"/>
    </row>
    <row r="201" customFormat="false" ht="15" hidden="false" customHeight="false" outlineLevel="0" collapsed="false">
      <c r="A201" s="9" t="n">
        <v>197</v>
      </c>
      <c r="B201" s="9" t="s">
        <v>138</v>
      </c>
      <c r="C201" s="9" t="s">
        <v>128</v>
      </c>
      <c r="D201" s="9" t="s">
        <v>135</v>
      </c>
      <c r="E201" s="11" t="n">
        <v>46235</v>
      </c>
      <c r="F201" s="12" t="n">
        <v>0</v>
      </c>
      <c r="G201" s="13" t="n">
        <v>0</v>
      </c>
      <c r="H201" s="12" t="n">
        <v>1000</v>
      </c>
      <c r="I201" s="13" t="n">
        <v>1593.57</v>
      </c>
      <c r="J201" s="9" t="s">
        <v>77</v>
      </c>
    </row>
    <row r="202" customFormat="false" ht="15" hidden="false" customHeight="false" outlineLevel="0" collapsed="false">
      <c r="A202" s="9" t="n">
        <v>198</v>
      </c>
      <c r="B202" s="9" t="s">
        <v>316</v>
      </c>
      <c r="C202" s="9" t="s">
        <v>304</v>
      </c>
      <c r="D202" s="9" t="s">
        <v>313</v>
      </c>
      <c r="E202" s="11" t="n">
        <v>46234</v>
      </c>
      <c r="F202" s="12" t="n">
        <v>20</v>
      </c>
      <c r="G202" s="13" t="n">
        <v>6.4322</v>
      </c>
      <c r="H202" s="12" t="n">
        <v>0</v>
      </c>
      <c r="I202" s="13" t="n">
        <v>0</v>
      </c>
      <c r="J202" s="9"/>
    </row>
    <row r="203" customFormat="false" ht="15" hidden="false" customHeight="false" outlineLevel="0" collapsed="false">
      <c r="A203" s="9" t="n">
        <v>199</v>
      </c>
      <c r="B203" s="9" t="s">
        <v>731</v>
      </c>
      <c r="C203" s="9" t="s">
        <v>723</v>
      </c>
      <c r="D203" s="9" t="s">
        <v>728</v>
      </c>
      <c r="E203" s="11" t="n">
        <v>46233</v>
      </c>
      <c r="F203" s="12" t="n">
        <v>117</v>
      </c>
      <c r="G203" s="13" t="n">
        <v>25.88157</v>
      </c>
      <c r="H203" s="12" t="n">
        <v>117</v>
      </c>
      <c r="I203" s="13" t="n">
        <v>25.88157</v>
      </c>
      <c r="J203" s="9"/>
    </row>
    <row r="204" customFormat="false" ht="15" hidden="false" customHeight="false" outlineLevel="0" collapsed="false">
      <c r="A204" s="9" t="n">
        <v>200</v>
      </c>
      <c r="B204" s="9" t="s">
        <v>293</v>
      </c>
      <c r="C204" s="9" t="s">
        <v>289</v>
      </c>
      <c r="D204" s="9" t="s">
        <v>290</v>
      </c>
      <c r="E204" s="11" t="n">
        <v>46224</v>
      </c>
      <c r="F204" s="12" t="n">
        <v>100</v>
      </c>
      <c r="G204" s="13" t="n">
        <v>58.663</v>
      </c>
      <c r="H204" s="12" t="n">
        <v>100</v>
      </c>
      <c r="I204" s="13" t="n">
        <v>58.663</v>
      </c>
      <c r="J204" s="9"/>
    </row>
    <row r="205" customFormat="false" ht="15" hidden="false" customHeight="false" outlineLevel="0" collapsed="false">
      <c r="A205" s="9" t="n">
        <v>201</v>
      </c>
      <c r="B205" s="9" t="s">
        <v>320</v>
      </c>
      <c r="C205" s="9" t="s">
        <v>304</v>
      </c>
      <c r="D205" s="9" t="s">
        <v>317</v>
      </c>
      <c r="E205" s="11" t="n">
        <v>46225</v>
      </c>
      <c r="F205" s="12" t="n">
        <v>890</v>
      </c>
      <c r="G205" s="13" t="n">
        <v>639.999</v>
      </c>
      <c r="H205" s="12" t="n">
        <v>890</v>
      </c>
      <c r="I205" s="13" t="n">
        <v>639.999</v>
      </c>
      <c r="J205" s="9" t="s">
        <v>64</v>
      </c>
    </row>
    <row r="206" customFormat="false" ht="15" hidden="false" customHeight="false" outlineLevel="0" collapsed="false">
      <c r="A206" s="9" t="n">
        <v>202</v>
      </c>
      <c r="B206" s="9" t="s">
        <v>635</v>
      </c>
      <c r="C206" s="9" t="s">
        <v>631</v>
      </c>
      <c r="D206" s="9" t="s">
        <v>632</v>
      </c>
      <c r="E206" s="11" t="n">
        <v>46235</v>
      </c>
      <c r="F206" s="12" t="n">
        <v>0</v>
      </c>
      <c r="G206" s="13" t="n">
        <v>0</v>
      </c>
      <c r="H206" s="12" t="n">
        <v>5120</v>
      </c>
      <c r="I206" s="13" t="n">
        <v>1123.6864</v>
      </c>
      <c r="J206" s="9"/>
    </row>
    <row r="207" customFormat="false" ht="15" hidden="false" customHeight="false" outlineLevel="0" collapsed="false">
      <c r="A207" s="9" t="n">
        <v>203</v>
      </c>
      <c r="B207" s="9" t="s">
        <v>1075</v>
      </c>
      <c r="C207" s="9" t="s">
        <v>1037</v>
      </c>
      <c r="D207" s="9" t="s">
        <v>1072</v>
      </c>
      <c r="E207" s="11" t="n">
        <v>46235</v>
      </c>
      <c r="F207" s="12" t="n">
        <v>0</v>
      </c>
      <c r="G207" s="13" t="n">
        <v>0</v>
      </c>
      <c r="H207" s="12" t="n">
        <v>560</v>
      </c>
      <c r="I207" s="13" t="n">
        <v>190.1984</v>
      </c>
      <c r="J207" s="9" t="s">
        <v>77</v>
      </c>
    </row>
    <row r="208" customFormat="false" ht="15" hidden="false" customHeight="false" outlineLevel="0" collapsed="false">
      <c r="A208" s="9" t="n">
        <v>204</v>
      </c>
      <c r="B208" s="9" t="s">
        <v>1079</v>
      </c>
      <c r="C208" s="9" t="s">
        <v>1037</v>
      </c>
      <c r="D208" s="9" t="s">
        <v>1076</v>
      </c>
      <c r="E208" s="11" t="n">
        <v>46234</v>
      </c>
      <c r="F208" s="12" t="n">
        <v>10509</v>
      </c>
      <c r="G208" s="13" t="n">
        <v>4700.15025</v>
      </c>
      <c r="H208" s="12" t="n">
        <v>10509</v>
      </c>
      <c r="I208" s="13" t="n">
        <v>4700.15025</v>
      </c>
      <c r="J208" s="9"/>
    </row>
    <row r="209" customFormat="false" ht="15" hidden="false" customHeight="false" outlineLevel="0" collapsed="false">
      <c r="A209" s="9" t="n">
        <v>205</v>
      </c>
      <c r="B209" s="9" t="s">
        <v>1083</v>
      </c>
      <c r="C209" s="9" t="s">
        <v>1037</v>
      </c>
      <c r="D209" s="9" t="s">
        <v>1080</v>
      </c>
      <c r="E209" s="11" t="n">
        <v>46236</v>
      </c>
      <c r="F209" s="12" t="n">
        <v>0</v>
      </c>
      <c r="G209" s="13" t="n">
        <v>0</v>
      </c>
      <c r="H209" s="12" t="n">
        <v>3040</v>
      </c>
      <c r="I209" s="13" t="n">
        <v>967.9056</v>
      </c>
      <c r="J209" s="9" t="s">
        <v>77</v>
      </c>
    </row>
    <row r="210" customFormat="false" ht="15" hidden="false" customHeight="false" outlineLevel="0" collapsed="false">
      <c r="A210" s="9" t="n">
        <v>206</v>
      </c>
      <c r="B210" s="9" t="s">
        <v>1087</v>
      </c>
      <c r="C210" s="9" t="s">
        <v>1037</v>
      </c>
      <c r="D210" s="9" t="s">
        <v>1084</v>
      </c>
      <c r="E210" s="11" t="n">
        <v>46235</v>
      </c>
      <c r="F210" s="12" t="n">
        <v>500</v>
      </c>
      <c r="G210" s="13" t="n">
        <v>196.135</v>
      </c>
      <c r="H210" s="12" t="n">
        <v>1780</v>
      </c>
      <c r="I210" s="13" t="n">
        <v>698.2406</v>
      </c>
      <c r="J210" s="9" t="s">
        <v>144</v>
      </c>
    </row>
    <row r="211" customFormat="false" ht="15" hidden="false" customHeight="false" outlineLevel="0" collapsed="false">
      <c r="A211" s="9" t="n">
        <v>207</v>
      </c>
      <c r="B211" s="9" t="s">
        <v>1091</v>
      </c>
      <c r="C211" s="9" t="s">
        <v>1037</v>
      </c>
      <c r="D211" s="9" t="s">
        <v>1088</v>
      </c>
      <c r="E211" s="11" t="n">
        <v>46235</v>
      </c>
      <c r="F211" s="12" t="n">
        <v>0</v>
      </c>
      <c r="G211" s="13" t="n">
        <v>0</v>
      </c>
      <c r="H211" s="12" t="n">
        <v>1360</v>
      </c>
      <c r="I211" s="13" t="n">
        <v>422.3072</v>
      </c>
      <c r="J211" s="9" t="s">
        <v>144</v>
      </c>
    </row>
    <row r="212" customFormat="false" ht="15" hidden="false" customHeight="false" outlineLevel="0" collapsed="false">
      <c r="A212" s="9" t="n">
        <v>208</v>
      </c>
      <c r="B212" s="9" t="s">
        <v>1094</v>
      </c>
      <c r="C212" s="9" t="s">
        <v>1037</v>
      </c>
      <c r="D212" s="9" t="s">
        <v>1092</v>
      </c>
      <c r="E212" s="11" t="n">
        <v>46234</v>
      </c>
      <c r="F212" s="12" t="n">
        <v>620</v>
      </c>
      <c r="G212" s="13" t="n">
        <v>230.7516</v>
      </c>
      <c r="H212" s="12" t="n">
        <v>620</v>
      </c>
      <c r="I212" s="13" t="n">
        <v>230.7516</v>
      </c>
      <c r="J212" s="9" t="s">
        <v>77</v>
      </c>
    </row>
    <row r="213" customFormat="false" ht="15" hidden="false" customHeight="false" outlineLevel="0" collapsed="false">
      <c r="A213" s="9" t="n">
        <v>209</v>
      </c>
      <c r="B213" s="9" t="s">
        <v>841</v>
      </c>
      <c r="C213" s="9" t="s">
        <v>837</v>
      </c>
      <c r="D213" s="9" t="s">
        <v>838</v>
      </c>
      <c r="E213" s="11" t="n">
        <v>46228</v>
      </c>
      <c r="F213" s="12" t="n">
        <v>500</v>
      </c>
      <c r="G213" s="13" t="n">
        <v>176.13</v>
      </c>
      <c r="H213" s="12" t="n">
        <v>500</v>
      </c>
      <c r="I213" s="13" t="n">
        <v>176.13</v>
      </c>
      <c r="J213" s="9"/>
    </row>
    <row r="214" customFormat="false" ht="15" hidden="false" customHeight="false" outlineLevel="0" collapsed="false">
      <c r="A214" s="9" t="n">
        <v>210</v>
      </c>
      <c r="B214" s="9" t="s">
        <v>844</v>
      </c>
      <c r="C214" s="9" t="s">
        <v>837</v>
      </c>
      <c r="D214" s="9" t="s">
        <v>842</v>
      </c>
      <c r="E214" s="11" t="n">
        <v>46227</v>
      </c>
      <c r="F214" s="12" t="n">
        <v>520</v>
      </c>
      <c r="G214" s="13" t="n">
        <v>183.1752</v>
      </c>
      <c r="H214" s="12" t="n">
        <v>520</v>
      </c>
      <c r="I214" s="13" t="n">
        <v>183.1752</v>
      </c>
      <c r="J214" s="9"/>
    </row>
    <row r="215" customFormat="false" ht="15" hidden="false" customHeight="false" outlineLevel="0" collapsed="false">
      <c r="A215" s="9" t="n">
        <v>211</v>
      </c>
      <c r="B215" s="9" t="s">
        <v>1098</v>
      </c>
      <c r="C215" s="9" t="s">
        <v>1037</v>
      </c>
      <c r="D215" s="9" t="s">
        <v>1095</v>
      </c>
      <c r="E215" s="11" t="n">
        <v>46233</v>
      </c>
      <c r="F215" s="12" t="n">
        <v>1580</v>
      </c>
      <c r="G215" s="13" t="n">
        <v>1030.4128</v>
      </c>
      <c r="H215" s="12" t="n">
        <v>1580</v>
      </c>
      <c r="I215" s="13" t="n">
        <v>1030.4128</v>
      </c>
      <c r="J215" s="9" t="s">
        <v>144</v>
      </c>
    </row>
    <row r="216" customFormat="false" ht="15" hidden="false" customHeight="false" outlineLevel="0" collapsed="false">
      <c r="A216" s="9" t="n">
        <v>212</v>
      </c>
      <c r="B216" s="9" t="s">
        <v>685</v>
      </c>
      <c r="C216" s="9" t="s">
        <v>681</v>
      </c>
      <c r="D216" s="9" t="s">
        <v>682</v>
      </c>
      <c r="E216" s="11" t="n">
        <v>46233</v>
      </c>
      <c r="F216" s="12" t="n">
        <v>340</v>
      </c>
      <c r="G216" s="13" t="n">
        <v>53.5534</v>
      </c>
      <c r="H216" s="12" t="n">
        <v>340</v>
      </c>
      <c r="I216" s="13" t="n">
        <v>53.5534</v>
      </c>
      <c r="J216" s="9"/>
    </row>
    <row r="217" customFormat="false" ht="15" hidden="false" customHeight="false" outlineLevel="0" collapsed="false">
      <c r="A217" s="9" t="n">
        <v>213</v>
      </c>
      <c r="B217" s="9" t="s">
        <v>529</v>
      </c>
      <c r="C217" s="9" t="s">
        <v>497</v>
      </c>
      <c r="D217" s="9" t="s">
        <v>526</v>
      </c>
      <c r="E217" s="11" t="n">
        <v>46222</v>
      </c>
      <c r="F217" s="12" t="n">
        <v>464</v>
      </c>
      <c r="G217" s="13" t="n">
        <v>596.4024</v>
      </c>
      <c r="H217" s="12" t="n">
        <v>464</v>
      </c>
      <c r="I217" s="13" t="n">
        <v>596.4024</v>
      </c>
      <c r="J217" s="9" t="s">
        <v>144</v>
      </c>
    </row>
    <row r="218" customFormat="false" ht="15" hidden="false" customHeight="false" outlineLevel="0" collapsed="false">
      <c r="A218" s="9" t="n">
        <v>214</v>
      </c>
      <c r="B218" s="9" t="s">
        <v>533</v>
      </c>
      <c r="C218" s="9" t="s">
        <v>497</v>
      </c>
      <c r="D218" s="9" t="s">
        <v>530</v>
      </c>
      <c r="E218" s="11" t="n">
        <v>46223</v>
      </c>
      <c r="F218" s="12" t="n">
        <v>1066</v>
      </c>
      <c r="G218" s="13" t="n">
        <v>1324.51566</v>
      </c>
      <c r="H218" s="12" t="n">
        <v>1066</v>
      </c>
      <c r="I218" s="13" t="n">
        <v>1324.51566</v>
      </c>
      <c r="J218" s="9" t="s">
        <v>144</v>
      </c>
    </row>
    <row r="219" customFormat="false" ht="15" hidden="false" customHeight="false" outlineLevel="0" collapsed="false">
      <c r="A219" s="9" t="n">
        <v>215</v>
      </c>
      <c r="B219" s="9" t="s">
        <v>274</v>
      </c>
      <c r="C219" s="9" t="s">
        <v>270</v>
      </c>
      <c r="D219" s="9" t="s">
        <v>271</v>
      </c>
      <c r="E219" s="11" t="n">
        <v>46229</v>
      </c>
      <c r="F219" s="12" t="n">
        <v>125</v>
      </c>
      <c r="G219" s="13" t="n">
        <v>65.94375</v>
      </c>
      <c r="H219" s="12" t="n">
        <v>125</v>
      </c>
      <c r="I219" s="13" t="n">
        <v>65.94375</v>
      </c>
      <c r="J219" s="9" t="s">
        <v>144</v>
      </c>
    </row>
    <row r="220" customFormat="false" ht="15" hidden="false" customHeight="false" outlineLevel="0" collapsed="false">
      <c r="A220" s="9" t="n">
        <v>216</v>
      </c>
      <c r="B220" s="9" t="s">
        <v>232</v>
      </c>
      <c r="C220" s="9" t="s">
        <v>224</v>
      </c>
      <c r="D220" s="9" t="s">
        <v>229</v>
      </c>
      <c r="E220" s="11" t="n">
        <v>46236</v>
      </c>
      <c r="F220" s="12" t="n">
        <v>0</v>
      </c>
      <c r="G220" s="13" t="n">
        <v>0</v>
      </c>
      <c r="H220" s="12" t="n">
        <v>1024</v>
      </c>
      <c r="I220" s="13" t="n">
        <v>2328.33024</v>
      </c>
      <c r="J220" s="9"/>
    </row>
    <row r="221" customFormat="false" ht="15" hidden="false" customHeight="false" outlineLevel="0" collapsed="false">
      <c r="A221" s="9" t="n">
        <v>217</v>
      </c>
      <c r="B221" s="9" t="s">
        <v>735</v>
      </c>
      <c r="C221" s="9" t="s">
        <v>723</v>
      </c>
      <c r="D221" s="9" t="s">
        <v>732</v>
      </c>
      <c r="E221" s="11" t="n">
        <v>46234</v>
      </c>
      <c r="F221" s="12" t="n">
        <v>13200</v>
      </c>
      <c r="G221" s="13" t="n">
        <v>3335.244</v>
      </c>
      <c r="H221" s="12" t="n">
        <v>13200</v>
      </c>
      <c r="I221" s="13" t="n">
        <v>3335.244</v>
      </c>
      <c r="J221" s="9"/>
    </row>
    <row r="222" customFormat="false" ht="15" hidden="false" customHeight="false" outlineLevel="0" collapsed="false">
      <c r="A222" s="9" t="n">
        <v>218</v>
      </c>
      <c r="B222" s="9" t="s">
        <v>722</v>
      </c>
      <c r="C222" s="9" t="s">
        <v>706</v>
      </c>
      <c r="D222" s="9" t="s">
        <v>719</v>
      </c>
      <c r="E222" s="11" t="n">
        <v>46233</v>
      </c>
      <c r="F222" s="12" t="n">
        <v>3120</v>
      </c>
      <c r="G222" s="13" t="n">
        <v>1173.3384</v>
      </c>
      <c r="H222" s="12" t="n">
        <v>3120</v>
      </c>
      <c r="I222" s="13" t="n">
        <v>1173.3384</v>
      </c>
      <c r="J222" s="9"/>
    </row>
    <row r="223" customFormat="false" ht="15" hidden="false" customHeight="false" outlineLevel="0" collapsed="false">
      <c r="A223" s="9" t="n">
        <v>219</v>
      </c>
      <c r="B223" s="9" t="s">
        <v>1102</v>
      </c>
      <c r="C223" s="9" t="s">
        <v>1037</v>
      </c>
      <c r="D223" s="9" t="s">
        <v>1099</v>
      </c>
      <c r="E223" s="11" t="n">
        <v>46235</v>
      </c>
      <c r="F223" s="12" t="n">
        <v>80</v>
      </c>
      <c r="G223" s="13" t="n">
        <v>36.564</v>
      </c>
      <c r="H223" s="12" t="n">
        <v>5231</v>
      </c>
      <c r="I223" s="13" t="n">
        <v>2390.82855</v>
      </c>
      <c r="J223" s="9"/>
    </row>
    <row r="224" customFormat="false" ht="15" hidden="false" customHeight="false" outlineLevel="0" collapsed="false">
      <c r="A224" s="9" t="n">
        <v>220</v>
      </c>
      <c r="B224" s="9" t="s">
        <v>640</v>
      </c>
      <c r="C224" s="9" t="s">
        <v>636</v>
      </c>
      <c r="D224" s="9" t="s">
        <v>637</v>
      </c>
      <c r="E224" s="11" t="n">
        <v>46234</v>
      </c>
      <c r="F224" s="12" t="n">
        <v>5175</v>
      </c>
      <c r="G224" s="13" t="n">
        <v>2811.5775</v>
      </c>
      <c r="H224" s="12" t="n">
        <v>5175</v>
      </c>
      <c r="I224" s="13" t="n">
        <v>2811.5775</v>
      </c>
      <c r="J224" s="9"/>
    </row>
    <row r="225" customFormat="false" ht="15" hidden="false" customHeight="false" outlineLevel="0" collapsed="false">
      <c r="A225" s="9" t="n">
        <v>221</v>
      </c>
      <c r="B225" s="9" t="s">
        <v>644</v>
      </c>
      <c r="C225" s="9" t="s">
        <v>636</v>
      </c>
      <c r="D225" s="9" t="s">
        <v>641</v>
      </c>
      <c r="E225" s="11" t="n">
        <v>46236</v>
      </c>
      <c r="F225" s="12" t="n">
        <v>0</v>
      </c>
      <c r="G225" s="13" t="n">
        <v>0</v>
      </c>
      <c r="H225" s="12" t="n">
        <v>4700</v>
      </c>
      <c r="I225" s="13" t="n">
        <v>1809.688</v>
      </c>
      <c r="J225" s="9"/>
    </row>
    <row r="226" customFormat="false" ht="15" hidden="false" customHeight="false" outlineLevel="0" collapsed="false">
      <c r="A226" s="9" t="n">
        <v>222</v>
      </c>
      <c r="B226" s="9" t="s">
        <v>352</v>
      </c>
      <c r="C226" s="9" t="s">
        <v>344</v>
      </c>
      <c r="D226" s="9" t="s">
        <v>349</v>
      </c>
      <c r="E226" s="11" t="n">
        <v>46232</v>
      </c>
      <c r="F226" s="12" t="n">
        <v>3776</v>
      </c>
      <c r="G226" s="13" t="n">
        <v>2603.24992</v>
      </c>
      <c r="H226" s="12" t="n">
        <v>3776</v>
      </c>
      <c r="I226" s="13" t="n">
        <v>2603.24992</v>
      </c>
      <c r="J226" s="9" t="s">
        <v>144</v>
      </c>
    </row>
    <row r="227" customFormat="false" ht="15" hidden="false" customHeight="false" outlineLevel="0" collapsed="false">
      <c r="A227" s="9" t="n">
        <v>223</v>
      </c>
      <c r="B227" s="9" t="s">
        <v>1251</v>
      </c>
      <c r="C227" s="9" t="s">
        <v>1235</v>
      </c>
      <c r="D227" s="9" t="s">
        <v>1248</v>
      </c>
      <c r="E227" s="11" t="n">
        <v>46233</v>
      </c>
      <c r="F227" s="12" t="n">
        <v>40</v>
      </c>
      <c r="G227" s="13" t="n">
        <v>35.4268</v>
      </c>
      <c r="H227" s="12" t="n">
        <v>40</v>
      </c>
      <c r="I227" s="13" t="n">
        <v>35.4268</v>
      </c>
      <c r="J227" s="9"/>
    </row>
    <row r="228" customFormat="false" ht="15" hidden="false" customHeight="false" outlineLevel="0" collapsed="false">
      <c r="A228" s="9" t="n">
        <v>224</v>
      </c>
      <c r="B228" s="9" t="s">
        <v>680</v>
      </c>
      <c r="C228" s="9" t="s">
        <v>676</v>
      </c>
      <c r="D228" s="9" t="s">
        <v>677</v>
      </c>
      <c r="E228" s="11" t="n">
        <v>46231</v>
      </c>
      <c r="F228" s="12" t="n">
        <v>1680</v>
      </c>
      <c r="G228" s="13" t="n">
        <v>221.088</v>
      </c>
      <c r="H228" s="12" t="n">
        <v>1680</v>
      </c>
      <c r="I228" s="13" t="n">
        <v>221.088</v>
      </c>
      <c r="J228" s="9"/>
    </row>
    <row r="229" customFormat="false" ht="15" hidden="false" customHeight="false" outlineLevel="0" collapsed="false">
      <c r="A229" s="9" t="n">
        <v>225</v>
      </c>
      <c r="B229" s="9" t="s">
        <v>772</v>
      </c>
      <c r="C229" s="9" t="s">
        <v>765</v>
      </c>
      <c r="D229" s="9" t="s">
        <v>769</v>
      </c>
      <c r="E229" s="11" t="n">
        <v>46236</v>
      </c>
      <c r="F229" s="12" t="n">
        <v>5100</v>
      </c>
      <c r="G229" s="13" t="n">
        <v>903.21</v>
      </c>
      <c r="H229" s="12" t="n">
        <v>29675</v>
      </c>
      <c r="I229" s="13" t="n">
        <v>5255.4425</v>
      </c>
      <c r="J229" s="9"/>
    </row>
    <row r="230" customFormat="false" ht="15" hidden="false" customHeight="false" outlineLevel="0" collapsed="false">
      <c r="A230" s="9" t="n">
        <v>226</v>
      </c>
      <c r="B230" s="9" t="s">
        <v>900</v>
      </c>
      <c r="C230" s="9" t="s">
        <v>896</v>
      </c>
      <c r="D230" s="9" t="s">
        <v>897</v>
      </c>
      <c r="E230" s="11" t="n">
        <v>46226</v>
      </c>
      <c r="F230" s="12" t="n">
        <v>180</v>
      </c>
      <c r="G230" s="13" t="n">
        <v>115.3512</v>
      </c>
      <c r="H230" s="12" t="n">
        <v>180</v>
      </c>
      <c r="I230" s="13" t="n">
        <v>115.3512</v>
      </c>
      <c r="J230" s="9"/>
    </row>
    <row r="231" customFormat="false" ht="15" hidden="false" customHeight="false" outlineLevel="0" collapsed="false">
      <c r="A231" s="9" t="n">
        <v>227</v>
      </c>
      <c r="B231" s="9" t="s">
        <v>127</v>
      </c>
      <c r="C231" s="9" t="s">
        <v>123</v>
      </c>
      <c r="D231" s="9" t="s">
        <v>124</v>
      </c>
      <c r="E231" s="11" t="n">
        <v>46225</v>
      </c>
      <c r="F231" s="12" t="n">
        <v>2310</v>
      </c>
      <c r="G231" s="13" t="n">
        <v>542.9424</v>
      </c>
      <c r="H231" s="12" t="n">
        <v>2310</v>
      </c>
      <c r="I231" s="13" t="n">
        <v>542.9424</v>
      </c>
      <c r="J231" s="9" t="s">
        <v>51</v>
      </c>
    </row>
    <row r="232" customFormat="false" ht="15" hidden="false" customHeight="false" outlineLevel="0" collapsed="false">
      <c r="A232" s="9" t="n">
        <v>228</v>
      </c>
      <c r="B232" s="9" t="s">
        <v>1234</v>
      </c>
      <c r="C232" s="9" t="s">
        <v>1230</v>
      </c>
      <c r="D232" s="9" t="s">
        <v>1231</v>
      </c>
      <c r="E232" s="11" t="n">
        <v>46232</v>
      </c>
      <c r="F232" s="12" t="n">
        <v>840</v>
      </c>
      <c r="G232" s="13" t="n">
        <v>239.0808</v>
      </c>
      <c r="H232" s="12" t="n">
        <v>840</v>
      </c>
      <c r="I232" s="13" t="n">
        <v>239.0808</v>
      </c>
      <c r="J232" s="9"/>
    </row>
    <row r="233" customFormat="false" ht="15" hidden="false" customHeight="false" outlineLevel="0" collapsed="false">
      <c r="A233" s="9" t="n">
        <v>229</v>
      </c>
      <c r="B233" s="9" t="s">
        <v>1106</v>
      </c>
      <c r="C233" s="9" t="s">
        <v>1037</v>
      </c>
      <c r="D233" s="9" t="s">
        <v>1103</v>
      </c>
      <c r="E233" s="11" t="n">
        <v>46229</v>
      </c>
      <c r="F233" s="12" t="n">
        <v>137</v>
      </c>
      <c r="G233" s="13" t="n">
        <v>41.48771</v>
      </c>
      <c r="H233" s="12" t="n">
        <v>137</v>
      </c>
      <c r="I233" s="13" t="n">
        <v>41.48771</v>
      </c>
      <c r="J233" s="9"/>
    </row>
    <row r="234" customFormat="false" ht="15" hidden="false" customHeight="false" outlineLevel="0" collapsed="false">
      <c r="A234" s="9" t="n">
        <v>230</v>
      </c>
      <c r="B234" s="9" t="s">
        <v>1022</v>
      </c>
      <c r="C234" s="9" t="s">
        <v>1018</v>
      </c>
      <c r="D234" s="9" t="s">
        <v>1019</v>
      </c>
      <c r="E234" s="11" t="n">
        <v>46233</v>
      </c>
      <c r="F234" s="12" t="n">
        <v>222</v>
      </c>
      <c r="G234" s="13" t="n">
        <v>229.70784</v>
      </c>
      <c r="H234" s="12" t="n">
        <v>222</v>
      </c>
      <c r="I234" s="13" t="n">
        <v>229.70784</v>
      </c>
      <c r="J234" s="9"/>
    </row>
    <row r="235" customFormat="false" ht="15" hidden="false" customHeight="false" outlineLevel="0" collapsed="false">
      <c r="A235" s="9" t="n">
        <v>231</v>
      </c>
      <c r="B235" s="9" t="s">
        <v>367</v>
      </c>
      <c r="C235" s="9" t="s">
        <v>361</v>
      </c>
      <c r="D235" s="9" t="s">
        <v>365</v>
      </c>
      <c r="E235" s="11" t="n">
        <v>46227</v>
      </c>
      <c r="F235" s="12" t="n">
        <v>1500</v>
      </c>
      <c r="G235" s="13" t="n">
        <v>386.16</v>
      </c>
      <c r="H235" s="12" t="n">
        <v>1500</v>
      </c>
      <c r="I235" s="13" t="n">
        <v>386.16</v>
      </c>
      <c r="J235" s="9"/>
    </row>
    <row r="236" customFormat="false" ht="15" hidden="false" customHeight="false" outlineLevel="0" collapsed="false">
      <c r="A236" s="9" t="n">
        <v>232</v>
      </c>
      <c r="B236" s="9" t="s">
        <v>87</v>
      </c>
      <c r="C236" s="9" t="s">
        <v>83</v>
      </c>
      <c r="D236" s="9" t="s">
        <v>84</v>
      </c>
      <c r="E236" s="11" t="n">
        <v>46227</v>
      </c>
      <c r="F236" s="12" t="n">
        <v>3700</v>
      </c>
      <c r="G236" s="13" t="n">
        <v>1468.974</v>
      </c>
      <c r="H236" s="12" t="n">
        <v>3700</v>
      </c>
      <c r="I236" s="13" t="n">
        <v>1468.974</v>
      </c>
      <c r="J236" s="9" t="s">
        <v>64</v>
      </c>
    </row>
    <row r="237" customFormat="false" ht="15" hidden="false" customHeight="false" outlineLevel="0" collapsed="false">
      <c r="A237" s="9" t="n">
        <v>233</v>
      </c>
      <c r="B237" s="9" t="s">
        <v>905</v>
      </c>
      <c r="C237" s="9" t="s">
        <v>901</v>
      </c>
      <c r="D237" s="9" t="s">
        <v>902</v>
      </c>
      <c r="E237" s="11" t="n">
        <v>46234</v>
      </c>
      <c r="F237" s="12" t="n">
        <v>4740</v>
      </c>
      <c r="G237" s="13" t="n">
        <v>911.1702</v>
      </c>
      <c r="H237" s="12" t="n">
        <v>0</v>
      </c>
      <c r="I237" s="13" t="n">
        <v>0</v>
      </c>
      <c r="J237" s="9"/>
    </row>
    <row r="238" customFormat="false" ht="15" hidden="false" customHeight="false" outlineLevel="0" collapsed="false">
      <c r="A238" s="9" t="n">
        <v>234</v>
      </c>
      <c r="B238" s="9" t="s">
        <v>908</v>
      </c>
      <c r="C238" s="9" t="s">
        <v>901</v>
      </c>
      <c r="D238" s="9" t="s">
        <v>906</v>
      </c>
      <c r="E238" s="11" t="n">
        <v>46235</v>
      </c>
      <c r="F238" s="12" t="n">
        <v>5140</v>
      </c>
      <c r="G238" s="13" t="n">
        <v>988.0622</v>
      </c>
      <c r="H238" s="12" t="n">
        <v>0</v>
      </c>
      <c r="I238" s="13" t="n">
        <v>0</v>
      </c>
      <c r="J238" s="9"/>
    </row>
    <row r="239" customFormat="false" ht="15" hidden="false" customHeight="false" outlineLevel="0" collapsed="false">
      <c r="A239" s="9" t="n">
        <v>235</v>
      </c>
      <c r="B239" s="9" t="s">
        <v>911</v>
      </c>
      <c r="C239" s="9" t="s">
        <v>901</v>
      </c>
      <c r="D239" s="9" t="s">
        <v>909</v>
      </c>
      <c r="E239" s="11" t="n">
        <v>46234</v>
      </c>
      <c r="F239" s="12" t="n">
        <v>8160</v>
      </c>
      <c r="G239" s="13" t="n">
        <v>1568.5968</v>
      </c>
      <c r="H239" s="12" t="n">
        <v>0</v>
      </c>
      <c r="I239" s="13" t="n">
        <v>0</v>
      </c>
      <c r="J239" s="9" t="s">
        <v>64</v>
      </c>
    </row>
    <row r="240" customFormat="false" ht="15" hidden="false" customHeight="false" outlineLevel="0" collapsed="false">
      <c r="A240" s="9" t="n">
        <v>236</v>
      </c>
      <c r="B240" s="9" t="s">
        <v>180</v>
      </c>
      <c r="C240" s="9" t="s">
        <v>172</v>
      </c>
      <c r="D240" s="9" t="s">
        <v>177</v>
      </c>
      <c r="E240" s="11" t="n">
        <v>46225</v>
      </c>
      <c r="F240" s="12" t="n">
        <v>100</v>
      </c>
      <c r="G240" s="13" t="n">
        <v>19.048</v>
      </c>
      <c r="H240" s="12" t="n">
        <v>100</v>
      </c>
      <c r="I240" s="13" t="n">
        <v>19.048</v>
      </c>
      <c r="J240" s="9" t="s">
        <v>64</v>
      </c>
    </row>
    <row r="241" customFormat="false" ht="15" hidden="false" customHeight="false" outlineLevel="0" collapsed="false">
      <c r="A241" s="9" t="n">
        <v>237</v>
      </c>
      <c r="B241" s="9" t="s">
        <v>739</v>
      </c>
      <c r="C241" s="9" t="s">
        <v>723</v>
      </c>
      <c r="D241" s="9" t="s">
        <v>736</v>
      </c>
      <c r="E241" s="11" t="n">
        <v>46236</v>
      </c>
      <c r="F241" s="12" t="n">
        <v>-7210</v>
      </c>
      <c r="G241" s="13" t="n">
        <v>-3371.4681</v>
      </c>
      <c r="H241" s="12" t="n">
        <v>31770</v>
      </c>
      <c r="I241" s="13" t="n">
        <v>14855.9697</v>
      </c>
      <c r="J241" s="9"/>
    </row>
    <row r="242" customFormat="false" ht="15" hidden="false" customHeight="false" outlineLevel="0" collapsed="false">
      <c r="A242" s="9" t="n">
        <v>238</v>
      </c>
      <c r="B242" s="9" t="s">
        <v>337</v>
      </c>
      <c r="C242" s="9" t="s">
        <v>333</v>
      </c>
      <c r="D242" s="9" t="s">
        <v>334</v>
      </c>
      <c r="E242" s="11" t="n">
        <v>46230</v>
      </c>
      <c r="F242" s="12" t="n">
        <v>2080</v>
      </c>
      <c r="G242" s="13" t="n">
        <v>535.4752</v>
      </c>
      <c r="H242" s="12" t="n">
        <v>2080</v>
      </c>
      <c r="I242" s="13" t="n">
        <v>535.4752</v>
      </c>
      <c r="J242" s="9" t="s">
        <v>64</v>
      </c>
    </row>
    <row r="243" customFormat="false" ht="15" hidden="false" customHeight="false" outlineLevel="0" collapsed="false">
      <c r="A243" s="9" t="n">
        <v>239</v>
      </c>
      <c r="B243" s="9" t="s">
        <v>99</v>
      </c>
      <c r="C243" s="9" t="s">
        <v>95</v>
      </c>
      <c r="D243" s="9" t="s">
        <v>96</v>
      </c>
      <c r="E243" s="11" t="n">
        <v>46233</v>
      </c>
      <c r="F243" s="12" t="n">
        <v>3500</v>
      </c>
      <c r="G243" s="13" t="n">
        <v>1102.885</v>
      </c>
      <c r="H243" s="12" t="n">
        <v>3500</v>
      </c>
      <c r="I243" s="13" t="n">
        <v>1102.885</v>
      </c>
      <c r="J243" s="9"/>
    </row>
    <row r="244" customFormat="false" ht="15" hidden="false" customHeight="false" outlineLevel="0" collapsed="false">
      <c r="A244" s="9" t="n">
        <v>240</v>
      </c>
      <c r="B244" s="9" t="s">
        <v>537</v>
      </c>
      <c r="C244" s="9" t="s">
        <v>497</v>
      </c>
      <c r="D244" s="9" t="s">
        <v>534</v>
      </c>
      <c r="E244" s="11" t="n">
        <v>46227</v>
      </c>
      <c r="F244" s="12" t="n">
        <v>123</v>
      </c>
      <c r="G244" s="13" t="n">
        <v>141.21876</v>
      </c>
      <c r="H244" s="12" t="n">
        <v>123</v>
      </c>
      <c r="I244" s="13" t="n">
        <v>141.21876</v>
      </c>
      <c r="J244" s="9"/>
    </row>
    <row r="245" customFormat="false" ht="15" hidden="false" customHeight="false" outlineLevel="0" collapsed="false">
      <c r="A245" s="9" t="n">
        <v>241</v>
      </c>
      <c r="B245" s="9" t="s">
        <v>540</v>
      </c>
      <c r="C245" s="9" t="s">
        <v>497</v>
      </c>
      <c r="D245" s="9" t="s">
        <v>538</v>
      </c>
      <c r="E245" s="11" t="n">
        <v>46227</v>
      </c>
      <c r="F245" s="12" t="n">
        <v>290</v>
      </c>
      <c r="G245" s="13" t="n">
        <v>372.7515</v>
      </c>
      <c r="H245" s="12" t="n">
        <v>290</v>
      </c>
      <c r="I245" s="13" t="n">
        <v>372.7515</v>
      </c>
      <c r="J245" s="9"/>
    </row>
    <row r="246" customFormat="false" ht="15" hidden="false" customHeight="false" outlineLevel="0" collapsed="false">
      <c r="A246" s="9" t="n">
        <v>242</v>
      </c>
      <c r="B246" s="9" t="s">
        <v>861</v>
      </c>
      <c r="C246" s="9" t="s">
        <v>845</v>
      </c>
      <c r="D246" s="9" t="s">
        <v>858</v>
      </c>
      <c r="E246" s="11" t="n">
        <v>46228</v>
      </c>
      <c r="F246" s="12" t="n">
        <v>450</v>
      </c>
      <c r="G246" s="13" t="n">
        <v>305.0235</v>
      </c>
      <c r="H246" s="12" t="n">
        <v>450</v>
      </c>
      <c r="I246" s="13" t="n">
        <v>305.0235</v>
      </c>
      <c r="J246" s="9"/>
    </row>
    <row r="247" customFormat="false" ht="15" hidden="false" customHeight="false" outlineLevel="0" collapsed="false">
      <c r="A247" s="9" t="n">
        <v>243</v>
      </c>
      <c r="B247" s="9" t="s">
        <v>1316</v>
      </c>
      <c r="C247" s="9" t="s">
        <v>1312</v>
      </c>
      <c r="D247" s="9" t="s">
        <v>1313</v>
      </c>
      <c r="E247" s="11" t="n">
        <v>46234</v>
      </c>
      <c r="F247" s="12" t="n">
        <v>11000</v>
      </c>
      <c r="G247" s="13" t="n">
        <v>4167.24</v>
      </c>
      <c r="H247" s="12" t="n">
        <v>11000</v>
      </c>
      <c r="I247" s="13" t="n">
        <v>4167.24</v>
      </c>
      <c r="J247" s="9"/>
    </row>
    <row r="248" customFormat="false" ht="15" hidden="false" customHeight="false" outlineLevel="0" collapsed="false">
      <c r="A248" s="9" t="n">
        <v>244</v>
      </c>
      <c r="B248" s="9" t="s">
        <v>995</v>
      </c>
      <c r="C248" s="9" t="s">
        <v>943</v>
      </c>
      <c r="D248" s="9" t="s">
        <v>952</v>
      </c>
      <c r="E248" s="11" t="n">
        <v>46233</v>
      </c>
      <c r="F248" s="12" t="n">
        <v>975</v>
      </c>
      <c r="G248" s="13" t="n">
        <v>574.977</v>
      </c>
      <c r="H248" s="12" t="n">
        <v>975</v>
      </c>
      <c r="I248" s="13" t="n">
        <v>574.977</v>
      </c>
      <c r="J248" s="9"/>
    </row>
    <row r="249" customFormat="false" ht="15" hidden="false" customHeight="false" outlineLevel="0" collapsed="false">
      <c r="A249" s="9" t="n">
        <v>245</v>
      </c>
      <c r="B249" s="9" t="s">
        <v>417</v>
      </c>
      <c r="C249" s="9" t="s">
        <v>413</v>
      </c>
      <c r="D249" s="9" t="s">
        <v>414</v>
      </c>
      <c r="E249" s="11" t="n">
        <v>46234</v>
      </c>
      <c r="F249" s="12" t="n">
        <v>510</v>
      </c>
      <c r="G249" s="13" t="n">
        <v>568.7418</v>
      </c>
      <c r="H249" s="12" t="n">
        <v>0</v>
      </c>
      <c r="I249" s="13" t="n">
        <v>0</v>
      </c>
      <c r="J249" s="9"/>
    </row>
    <row r="250" customFormat="false" ht="15" hidden="false" customHeight="false" outlineLevel="0" collapsed="false">
      <c r="A250" s="9" t="n">
        <v>246</v>
      </c>
      <c r="B250" s="9" t="s">
        <v>421</v>
      </c>
      <c r="C250" s="9" t="s">
        <v>413</v>
      </c>
      <c r="D250" s="9" t="s">
        <v>418</v>
      </c>
      <c r="E250" s="11" t="n">
        <v>46231</v>
      </c>
      <c r="F250" s="12" t="n">
        <v>5040</v>
      </c>
      <c r="G250" s="13" t="n">
        <v>1079.6184</v>
      </c>
      <c r="H250" s="12" t="n">
        <v>0</v>
      </c>
      <c r="I250" s="13" t="n">
        <v>0</v>
      </c>
      <c r="J250" s="9"/>
    </row>
    <row r="251" customFormat="false" ht="15" hidden="false" customHeight="false" outlineLevel="0" collapsed="false">
      <c r="A251" s="9" t="n">
        <v>247</v>
      </c>
      <c r="B251" s="9" t="s">
        <v>189</v>
      </c>
      <c r="C251" s="9" t="s">
        <v>181</v>
      </c>
      <c r="D251" s="9" t="s">
        <v>186</v>
      </c>
      <c r="E251" s="11" t="n">
        <v>46233</v>
      </c>
      <c r="F251" s="12" t="n">
        <v>520</v>
      </c>
      <c r="G251" s="13" t="n">
        <v>485.4512</v>
      </c>
      <c r="H251" s="12" t="n">
        <v>520</v>
      </c>
      <c r="I251" s="13" t="n">
        <v>485.4512</v>
      </c>
      <c r="J251" s="9"/>
    </row>
    <row r="252" customFormat="false" ht="15" hidden="false" customHeight="false" outlineLevel="0" collapsed="false">
      <c r="A252" s="9" t="n">
        <v>248</v>
      </c>
      <c r="B252" s="9" t="s">
        <v>1110</v>
      </c>
      <c r="C252" s="9" t="s">
        <v>1037</v>
      </c>
      <c r="D252" s="9" t="s">
        <v>1107</v>
      </c>
      <c r="E252" s="11" t="n">
        <v>46234</v>
      </c>
      <c r="F252" s="12" t="n">
        <v>26040</v>
      </c>
      <c r="G252" s="13" t="n">
        <v>4853.3352</v>
      </c>
      <c r="H252" s="12" t="n">
        <v>840</v>
      </c>
      <c r="I252" s="13" t="n">
        <v>156.5592</v>
      </c>
      <c r="J252" s="9" t="s">
        <v>77</v>
      </c>
    </row>
    <row r="253" customFormat="false" ht="15" hidden="false" customHeight="false" outlineLevel="0" collapsed="false">
      <c r="A253" s="9" t="n">
        <v>249</v>
      </c>
      <c r="B253" s="9" t="s">
        <v>1114</v>
      </c>
      <c r="C253" s="9" t="s">
        <v>1037</v>
      </c>
      <c r="D253" s="9" t="s">
        <v>1111</v>
      </c>
      <c r="E253" s="11" t="n">
        <v>46235</v>
      </c>
      <c r="F253" s="12" t="n">
        <v>14060</v>
      </c>
      <c r="G253" s="13" t="n">
        <v>4111.144</v>
      </c>
      <c r="H253" s="12" t="n">
        <v>17640</v>
      </c>
      <c r="I253" s="13" t="n">
        <v>5157.936</v>
      </c>
      <c r="J253" s="9" t="s">
        <v>144</v>
      </c>
    </row>
    <row r="254" customFormat="false" ht="15" hidden="false" customHeight="false" outlineLevel="0" collapsed="false">
      <c r="A254" s="9" t="n">
        <v>250</v>
      </c>
      <c r="B254" s="9" t="s">
        <v>1118</v>
      </c>
      <c r="C254" s="9" t="s">
        <v>1037</v>
      </c>
      <c r="D254" s="9" t="s">
        <v>1115</v>
      </c>
      <c r="E254" s="11" t="n">
        <v>46234</v>
      </c>
      <c r="F254" s="12" t="n">
        <v>24620</v>
      </c>
      <c r="G254" s="13" t="n">
        <v>7951.7676</v>
      </c>
      <c r="H254" s="12" t="n">
        <v>860</v>
      </c>
      <c r="I254" s="13" t="n">
        <v>277.7628</v>
      </c>
      <c r="J254" s="9" t="s">
        <v>144</v>
      </c>
    </row>
    <row r="255" customFormat="false" ht="15" hidden="false" customHeight="false" outlineLevel="0" collapsed="false">
      <c r="A255" s="9" t="n">
        <v>251</v>
      </c>
      <c r="B255" s="9" t="s">
        <v>1122</v>
      </c>
      <c r="C255" s="9" t="s">
        <v>1037</v>
      </c>
      <c r="D255" s="9" t="s">
        <v>1119</v>
      </c>
      <c r="E255" s="11" t="n">
        <v>46234</v>
      </c>
      <c r="F255" s="12" t="n">
        <v>19735</v>
      </c>
      <c r="G255" s="13" t="n">
        <v>3748.26855</v>
      </c>
      <c r="H255" s="12" t="n">
        <v>19735</v>
      </c>
      <c r="I255" s="13" t="n">
        <v>3748.26855</v>
      </c>
      <c r="J255" s="9"/>
    </row>
    <row r="256" customFormat="false" ht="15" hidden="false" customHeight="false" outlineLevel="0" collapsed="false">
      <c r="A256" s="9" t="n">
        <v>252</v>
      </c>
      <c r="B256" s="9" t="s">
        <v>1126</v>
      </c>
      <c r="C256" s="9" t="s">
        <v>1037</v>
      </c>
      <c r="D256" s="9" t="s">
        <v>1123</v>
      </c>
      <c r="E256" s="11" t="n">
        <v>46235</v>
      </c>
      <c r="F256" s="12" t="n">
        <v>0</v>
      </c>
      <c r="G256" s="13" t="n">
        <v>0</v>
      </c>
      <c r="H256" s="12" t="n">
        <v>20480</v>
      </c>
      <c r="I256" s="13" t="n">
        <v>3623.1168</v>
      </c>
      <c r="J256" s="9"/>
    </row>
    <row r="257" customFormat="false" ht="15" hidden="false" customHeight="false" outlineLevel="0" collapsed="false">
      <c r="A257" s="9" t="n">
        <v>253</v>
      </c>
      <c r="B257" s="9" t="s">
        <v>1129</v>
      </c>
      <c r="C257" s="9" t="s">
        <v>1037</v>
      </c>
      <c r="D257" s="9" t="s">
        <v>1127</v>
      </c>
      <c r="E257" s="11" t="n">
        <v>46236</v>
      </c>
      <c r="F257" s="12" t="n">
        <v>0</v>
      </c>
      <c r="G257" s="13" t="n">
        <v>0</v>
      </c>
      <c r="H257" s="12" t="n">
        <v>9780</v>
      </c>
      <c r="I257" s="13" t="n">
        <v>1822.7964</v>
      </c>
      <c r="J257" s="9" t="s">
        <v>144</v>
      </c>
    </row>
    <row r="258" customFormat="false" ht="15" hidden="false" customHeight="false" outlineLevel="0" collapsed="false">
      <c r="A258" s="9" t="n">
        <v>254</v>
      </c>
      <c r="B258" s="9" t="s">
        <v>458</v>
      </c>
      <c r="C258" s="9" t="s">
        <v>455</v>
      </c>
      <c r="D258" s="9" t="s">
        <v>456</v>
      </c>
      <c r="E258" s="11" t="n">
        <v>46231</v>
      </c>
      <c r="F258" s="12" t="n">
        <v>2280</v>
      </c>
      <c r="G258" s="13" t="n">
        <v>666.9912</v>
      </c>
      <c r="H258" s="12" t="n">
        <v>2280</v>
      </c>
      <c r="I258" s="13" t="n">
        <v>666.9912</v>
      </c>
      <c r="J258" s="9" t="s">
        <v>51</v>
      </c>
    </row>
    <row r="259" customFormat="false" ht="15" hidden="false" customHeight="false" outlineLevel="0" collapsed="false">
      <c r="A259" s="9" t="n">
        <v>255</v>
      </c>
      <c r="B259" s="9" t="s">
        <v>56</v>
      </c>
      <c r="C259" s="9" t="s">
        <v>52</v>
      </c>
      <c r="D259" s="9" t="s">
        <v>53</v>
      </c>
      <c r="E259" s="11" t="n">
        <v>46231</v>
      </c>
      <c r="F259" s="12" t="n">
        <v>3100</v>
      </c>
      <c r="G259" s="13" t="n">
        <v>913.477</v>
      </c>
      <c r="H259" s="12" t="n">
        <v>3100</v>
      </c>
      <c r="I259" s="13" t="n">
        <v>913.477</v>
      </c>
      <c r="J259" s="9"/>
    </row>
    <row r="260" customFormat="false" ht="15" hidden="false" customHeight="false" outlineLevel="0" collapsed="false">
      <c r="A260" s="9" t="n">
        <v>256</v>
      </c>
      <c r="B260" s="9" t="s">
        <v>91</v>
      </c>
      <c r="C260" s="9" t="s">
        <v>83</v>
      </c>
      <c r="D260" s="9" t="s">
        <v>88</v>
      </c>
      <c r="E260" s="11" t="n">
        <v>46232</v>
      </c>
      <c r="F260" s="12" t="n">
        <v>2200</v>
      </c>
      <c r="G260" s="13" t="n">
        <v>1577.51</v>
      </c>
      <c r="H260" s="12" t="n">
        <v>2200</v>
      </c>
      <c r="I260" s="13" t="n">
        <v>1577.51</v>
      </c>
      <c r="J260" s="9"/>
    </row>
    <row r="261" customFormat="false" ht="15" hidden="false" customHeight="false" outlineLevel="0" collapsed="false">
      <c r="A261" s="9" t="n">
        <v>257</v>
      </c>
      <c r="B261" s="9" t="s">
        <v>1320</v>
      </c>
      <c r="C261" s="9" t="s">
        <v>1312</v>
      </c>
      <c r="D261" s="9" t="s">
        <v>1317</v>
      </c>
      <c r="E261" s="11" t="n">
        <v>46232</v>
      </c>
      <c r="F261" s="12" t="n">
        <v>2880</v>
      </c>
      <c r="G261" s="13" t="n">
        <v>1242.288</v>
      </c>
      <c r="H261" s="12" t="n">
        <v>2880</v>
      </c>
      <c r="I261" s="13" t="n">
        <v>1242.288</v>
      </c>
      <c r="J261" s="9"/>
    </row>
    <row r="262" customFormat="false" ht="15" hidden="false" customHeight="false" outlineLevel="0" collapsed="false">
      <c r="A262" s="9" t="n">
        <v>258</v>
      </c>
      <c r="B262" s="9" t="s">
        <v>866</v>
      </c>
      <c r="C262" s="9" t="s">
        <v>862</v>
      </c>
      <c r="D262" s="9" t="s">
        <v>863</v>
      </c>
      <c r="E262" s="11" t="n">
        <v>46227</v>
      </c>
      <c r="F262" s="12" t="n">
        <v>7222</v>
      </c>
      <c r="G262" s="13" t="n">
        <v>1490.18748</v>
      </c>
      <c r="H262" s="12" t="n">
        <v>7222</v>
      </c>
      <c r="I262" s="13" t="n">
        <v>1490.18748</v>
      </c>
      <c r="J262" s="9" t="s">
        <v>51</v>
      </c>
    </row>
    <row r="263" customFormat="false" ht="15" hidden="false" customHeight="false" outlineLevel="0" collapsed="false">
      <c r="A263" s="9" t="n">
        <v>259</v>
      </c>
      <c r="B263" s="9" t="s">
        <v>870</v>
      </c>
      <c r="C263" s="9" t="s">
        <v>862</v>
      </c>
      <c r="D263" s="9" t="s">
        <v>867</v>
      </c>
      <c r="E263" s="11" t="n">
        <v>46236</v>
      </c>
      <c r="F263" s="12" t="n">
        <v>13727</v>
      </c>
      <c r="G263" s="13" t="n">
        <v>3005.25211</v>
      </c>
      <c r="H263" s="12" t="n">
        <v>51602</v>
      </c>
      <c r="I263" s="13" t="n">
        <v>11297.22586</v>
      </c>
      <c r="J263" s="9" t="s">
        <v>51</v>
      </c>
    </row>
    <row r="264" customFormat="false" ht="15" hidden="false" customHeight="false" outlineLevel="0" collapsed="false">
      <c r="A264" s="9" t="n">
        <v>260</v>
      </c>
      <c r="B264" s="9" t="s">
        <v>553</v>
      </c>
      <c r="C264" s="9" t="s">
        <v>546</v>
      </c>
      <c r="D264" s="9" t="s">
        <v>551</v>
      </c>
      <c r="E264" s="11" t="n">
        <v>46233</v>
      </c>
      <c r="F264" s="12" t="n">
        <v>9950</v>
      </c>
      <c r="G264" s="13" t="n">
        <v>1738.5635</v>
      </c>
      <c r="H264" s="12" t="n">
        <v>9950</v>
      </c>
      <c r="I264" s="13" t="n">
        <v>1738.5635</v>
      </c>
      <c r="J264" s="9"/>
    </row>
    <row r="265" customFormat="false" ht="15" hidden="false" customHeight="false" outlineLevel="0" collapsed="false">
      <c r="A265" s="9" t="n">
        <v>261</v>
      </c>
      <c r="B265" s="9" t="s">
        <v>630</v>
      </c>
      <c r="C265" s="9" t="s">
        <v>623</v>
      </c>
      <c r="D265" s="9" t="s">
        <v>628</v>
      </c>
      <c r="E265" s="11" t="n">
        <v>46234</v>
      </c>
      <c r="F265" s="12" t="n">
        <v>4200</v>
      </c>
      <c r="G265" s="13" t="n">
        <v>484.386</v>
      </c>
      <c r="H265" s="12" t="n">
        <v>4200</v>
      </c>
      <c r="I265" s="13" t="n">
        <v>484.386</v>
      </c>
      <c r="J265" s="9"/>
    </row>
    <row r="266" customFormat="false" ht="15" hidden="false" customHeight="false" outlineLevel="0" collapsed="false">
      <c r="A266" s="9" t="n">
        <v>262</v>
      </c>
      <c r="B266" s="9" t="s">
        <v>692</v>
      </c>
      <c r="C266" s="9" t="s">
        <v>688</v>
      </c>
      <c r="D266" s="9" t="s">
        <v>689</v>
      </c>
      <c r="E266" s="11" t="n">
        <v>46234</v>
      </c>
      <c r="F266" s="12" t="n">
        <v>7000</v>
      </c>
      <c r="G266" s="13" t="n">
        <v>2278.08</v>
      </c>
      <c r="H266" s="12" t="n">
        <v>0</v>
      </c>
      <c r="I266" s="13" t="n">
        <v>0</v>
      </c>
      <c r="J266" s="9"/>
    </row>
    <row r="267" customFormat="false" ht="15" hidden="false" customHeight="false" outlineLevel="0" collapsed="false">
      <c r="A267" s="9" t="n">
        <v>263</v>
      </c>
      <c r="B267" s="9" t="s">
        <v>94</v>
      </c>
      <c r="C267" s="9" t="s">
        <v>83</v>
      </c>
      <c r="D267" s="9" t="s">
        <v>92</v>
      </c>
      <c r="E267" s="11" t="n">
        <v>46235</v>
      </c>
      <c r="F267" s="12" t="n">
        <v>11200</v>
      </c>
      <c r="G267" s="13" t="n">
        <v>3159.408</v>
      </c>
      <c r="H267" s="12" t="n">
        <v>14500</v>
      </c>
      <c r="I267" s="13" t="n">
        <v>4090.305</v>
      </c>
      <c r="J267" s="9"/>
    </row>
    <row r="268" customFormat="false" ht="15" hidden="false" customHeight="false" outlineLevel="0" collapsed="false">
      <c r="A268" s="9" t="n">
        <v>264</v>
      </c>
      <c r="B268" s="9" t="s">
        <v>654</v>
      </c>
      <c r="C268" s="9" t="s">
        <v>650</v>
      </c>
      <c r="D268" s="9" t="s">
        <v>651</v>
      </c>
      <c r="E268" s="11" t="n">
        <v>46235</v>
      </c>
      <c r="F268" s="12" t="n">
        <v>1940</v>
      </c>
      <c r="G268" s="13" t="n">
        <v>829.9708</v>
      </c>
      <c r="H268" s="12" t="n">
        <v>0</v>
      </c>
      <c r="I268" s="13" t="n">
        <v>0</v>
      </c>
      <c r="J268" s="9"/>
    </row>
    <row r="269" customFormat="false" ht="15" hidden="false" customHeight="false" outlineLevel="0" collapsed="false">
      <c r="A269" s="9" t="n">
        <v>265</v>
      </c>
      <c r="B269" s="9" t="s">
        <v>449</v>
      </c>
      <c r="C269" s="9" t="s">
        <v>441</v>
      </c>
      <c r="D269" s="9" t="s">
        <v>446</v>
      </c>
      <c r="E269" s="11" t="n">
        <v>46232</v>
      </c>
      <c r="F269" s="12" t="n">
        <v>10400</v>
      </c>
      <c r="G269" s="13" t="n">
        <v>1012.128</v>
      </c>
      <c r="H269" s="12" t="n">
        <v>0</v>
      </c>
      <c r="I269" s="13" t="n">
        <v>0</v>
      </c>
      <c r="J269" s="9"/>
    </row>
    <row r="270" customFormat="false" ht="15" hidden="false" customHeight="false" outlineLevel="0" collapsed="false">
      <c r="A270" s="9" t="n">
        <v>266</v>
      </c>
      <c r="B270" s="9" t="s">
        <v>324</v>
      </c>
      <c r="C270" s="9" t="s">
        <v>304</v>
      </c>
      <c r="D270" s="9" t="s">
        <v>321</v>
      </c>
      <c r="E270" s="11" t="n">
        <v>46236</v>
      </c>
      <c r="F270" s="12" t="n">
        <v>260</v>
      </c>
      <c r="G270" s="13" t="n">
        <v>121.1548</v>
      </c>
      <c r="H270" s="12" t="n">
        <v>760</v>
      </c>
      <c r="I270" s="13" t="n">
        <v>354.1448</v>
      </c>
      <c r="J270" s="9" t="s">
        <v>64</v>
      </c>
    </row>
    <row r="271" customFormat="false" ht="15" hidden="false" customHeight="false" outlineLevel="0" collapsed="false">
      <c r="A271" s="9" t="n">
        <v>267</v>
      </c>
      <c r="B271" s="9" t="s">
        <v>1133</v>
      </c>
      <c r="C271" s="9" t="s">
        <v>1037</v>
      </c>
      <c r="D271" s="9" t="s">
        <v>1130</v>
      </c>
      <c r="E271" s="11" t="n">
        <v>46231</v>
      </c>
      <c r="F271" s="12" t="n">
        <v>1780</v>
      </c>
      <c r="G271" s="13" t="n">
        <v>748.846</v>
      </c>
      <c r="H271" s="12" t="n">
        <v>1780</v>
      </c>
      <c r="I271" s="13" t="n">
        <v>748.846</v>
      </c>
      <c r="J271" s="9" t="s">
        <v>144</v>
      </c>
    </row>
    <row r="272" customFormat="false" ht="15" hidden="false" customHeight="false" outlineLevel="0" collapsed="false">
      <c r="A272" s="9" t="n">
        <v>268</v>
      </c>
      <c r="B272" s="9" t="s">
        <v>372</v>
      </c>
      <c r="C272" s="9" t="s">
        <v>368</v>
      </c>
      <c r="D272" s="9" t="s">
        <v>369</v>
      </c>
      <c r="E272" s="11" t="n">
        <v>46229</v>
      </c>
      <c r="F272" s="12" t="n">
        <v>125</v>
      </c>
      <c r="G272" s="13" t="n">
        <v>63.47</v>
      </c>
      <c r="H272" s="12" t="n">
        <v>125</v>
      </c>
      <c r="I272" s="13" t="n">
        <v>63.47</v>
      </c>
      <c r="J272" s="9"/>
    </row>
    <row r="273" customFormat="false" ht="15" hidden="false" customHeight="false" outlineLevel="0" collapsed="false">
      <c r="A273" s="9" t="n">
        <v>269</v>
      </c>
      <c r="B273" s="9" t="s">
        <v>237</v>
      </c>
      <c r="C273" s="9" t="s">
        <v>233</v>
      </c>
      <c r="D273" s="9" t="s">
        <v>234</v>
      </c>
      <c r="E273" s="11" t="n">
        <v>46234</v>
      </c>
      <c r="F273" s="12" t="n">
        <v>3150</v>
      </c>
      <c r="G273" s="13" t="n">
        <v>3549.1365</v>
      </c>
      <c r="H273" s="12" t="n">
        <v>0</v>
      </c>
      <c r="I273" s="13" t="n">
        <v>0</v>
      </c>
      <c r="J273" s="9"/>
    </row>
    <row r="274" customFormat="false" ht="15" hidden="false" customHeight="false" outlineLevel="0" collapsed="false">
      <c r="A274" s="9" t="n">
        <v>270</v>
      </c>
      <c r="B274" s="9" t="s">
        <v>1196</v>
      </c>
      <c r="C274" s="9" t="s">
        <v>1162</v>
      </c>
      <c r="D274" s="9" t="s">
        <v>1194</v>
      </c>
      <c r="E274" s="11" t="n">
        <v>46234</v>
      </c>
      <c r="F274" s="12" t="n">
        <v>5900</v>
      </c>
      <c r="G274" s="13" t="n">
        <v>1668.461</v>
      </c>
      <c r="H274" s="12" t="n">
        <v>2000</v>
      </c>
      <c r="I274" s="13" t="n">
        <v>565.58</v>
      </c>
      <c r="J274" s="9"/>
    </row>
    <row r="275" customFormat="false" ht="15" hidden="false" customHeight="false" outlineLevel="0" collapsed="false">
      <c r="A275" s="9" t="n">
        <v>271</v>
      </c>
      <c r="B275" s="9" t="s">
        <v>407</v>
      </c>
      <c r="C275" s="9" t="s">
        <v>391</v>
      </c>
      <c r="D275" s="9" t="s">
        <v>404</v>
      </c>
      <c r="E275" s="11" t="n">
        <v>46230</v>
      </c>
      <c r="F275" s="12" t="n">
        <v>1160</v>
      </c>
      <c r="G275" s="13" t="n">
        <v>363.0104</v>
      </c>
      <c r="H275" s="12" t="n">
        <v>1160</v>
      </c>
      <c r="I275" s="13" t="n">
        <v>363.0104</v>
      </c>
      <c r="J275" s="9" t="s">
        <v>64</v>
      </c>
    </row>
    <row r="276" customFormat="false" ht="15" hidden="false" customHeight="false" outlineLevel="0" collapsed="false">
      <c r="A276" s="9" t="n">
        <v>272</v>
      </c>
      <c r="B276" s="9" t="s">
        <v>491</v>
      </c>
      <c r="C276" s="9" t="s">
        <v>487</v>
      </c>
      <c r="D276" s="9" t="s">
        <v>488</v>
      </c>
      <c r="E276" s="11" t="n">
        <v>46235</v>
      </c>
      <c r="F276" s="12" t="n">
        <v>0</v>
      </c>
      <c r="G276" s="13" t="n">
        <v>0</v>
      </c>
      <c r="H276" s="12" t="n">
        <v>5000</v>
      </c>
      <c r="I276" s="13" t="n">
        <v>1091.1</v>
      </c>
      <c r="J276" s="9"/>
    </row>
    <row r="277" customFormat="false" ht="15" hidden="false" customHeight="false" outlineLevel="0" collapsed="false">
      <c r="A277" s="9" t="n">
        <v>273</v>
      </c>
      <c r="B277" s="9" t="s">
        <v>36</v>
      </c>
      <c r="C277" s="9" t="s">
        <v>32</v>
      </c>
      <c r="D277" s="9" t="s">
        <v>33</v>
      </c>
      <c r="E277" s="11" t="n">
        <v>46232</v>
      </c>
      <c r="F277" s="12" t="n">
        <v>1180</v>
      </c>
      <c r="G277" s="13" t="n">
        <v>255.3166</v>
      </c>
      <c r="H277" s="12" t="n">
        <v>1180</v>
      </c>
      <c r="I277" s="13" t="n">
        <v>255.3166</v>
      </c>
      <c r="J277" s="9"/>
    </row>
    <row r="278" customFormat="false" ht="15" hidden="false" customHeight="false" outlineLevel="0" collapsed="false">
      <c r="A278" s="9" t="n">
        <v>274</v>
      </c>
      <c r="B278" s="9" t="s">
        <v>743</v>
      </c>
      <c r="C278" s="9" t="s">
        <v>723</v>
      </c>
      <c r="D278" s="9" t="s">
        <v>740</v>
      </c>
      <c r="E278" s="11" t="n">
        <v>46235</v>
      </c>
      <c r="F278" s="12" t="n">
        <v>8700</v>
      </c>
      <c r="G278" s="13" t="n">
        <v>1711.116</v>
      </c>
      <c r="H278" s="12" t="n">
        <v>23880</v>
      </c>
      <c r="I278" s="13" t="n">
        <v>4696.7184</v>
      </c>
      <c r="J278" s="9"/>
    </row>
    <row r="279" customFormat="false" ht="15" hidden="false" customHeight="false" outlineLevel="0" collapsed="false">
      <c r="A279" s="9" t="n">
        <v>275</v>
      </c>
      <c r="B279" s="9" t="s">
        <v>746</v>
      </c>
      <c r="C279" s="9" t="s">
        <v>723</v>
      </c>
      <c r="D279" s="9" t="s">
        <v>744</v>
      </c>
      <c r="E279" s="11" t="n">
        <v>46235</v>
      </c>
      <c r="F279" s="12" t="n">
        <v>0</v>
      </c>
      <c r="G279" s="13" t="n">
        <v>0</v>
      </c>
      <c r="H279" s="12" t="n">
        <v>23480</v>
      </c>
      <c r="I279" s="13" t="n">
        <v>4618.0464</v>
      </c>
      <c r="J279" s="9"/>
    </row>
    <row r="280" customFormat="false" ht="15" hidden="false" customHeight="false" outlineLevel="0" collapsed="false">
      <c r="A280" s="9" t="n">
        <v>276</v>
      </c>
      <c r="B280" s="9" t="s">
        <v>486</v>
      </c>
      <c r="C280" s="9" t="s">
        <v>482</v>
      </c>
      <c r="D280" s="9" t="s">
        <v>483</v>
      </c>
      <c r="E280" s="11" t="n">
        <v>46233</v>
      </c>
      <c r="F280" s="12" t="n">
        <v>2260</v>
      </c>
      <c r="G280" s="13" t="n">
        <v>2248.3836</v>
      </c>
      <c r="H280" s="12" t="n">
        <v>450</v>
      </c>
      <c r="I280" s="13" t="n">
        <v>447.687</v>
      </c>
      <c r="J280" s="9"/>
    </row>
    <row r="281" customFormat="false" ht="15" hidden="false" customHeight="false" outlineLevel="0" collapsed="false">
      <c r="A281" s="9" t="n">
        <v>277</v>
      </c>
      <c r="B281" s="9" t="s">
        <v>1255</v>
      </c>
      <c r="C281" s="9" t="s">
        <v>1235</v>
      </c>
      <c r="D281" s="9" t="s">
        <v>1252</v>
      </c>
      <c r="E281" s="11" t="n">
        <v>46235</v>
      </c>
      <c r="F281" s="12" t="n">
        <v>0</v>
      </c>
      <c r="G281" s="13" t="n">
        <v>0</v>
      </c>
      <c r="H281" s="12" t="n">
        <v>5050</v>
      </c>
      <c r="I281" s="13" t="n">
        <v>4520.4065</v>
      </c>
      <c r="J281" s="9"/>
    </row>
    <row r="282" customFormat="false" ht="15" hidden="false" customHeight="false" outlineLevel="0" collapsed="false">
      <c r="A282" s="9" t="n">
        <v>278</v>
      </c>
      <c r="B282" s="9" t="s">
        <v>298</v>
      </c>
      <c r="C282" s="9" t="s">
        <v>294</v>
      </c>
      <c r="D282" s="9" t="s">
        <v>295</v>
      </c>
      <c r="E282" s="11" t="n">
        <v>46234</v>
      </c>
      <c r="F282" s="12" t="n">
        <v>0</v>
      </c>
      <c r="G282" s="13" t="n">
        <v>0</v>
      </c>
      <c r="H282" s="12" t="n">
        <v>900</v>
      </c>
      <c r="I282" s="13" t="n">
        <v>195.957</v>
      </c>
      <c r="J282" s="9"/>
    </row>
    <row r="283" customFormat="false" ht="15" hidden="false" customHeight="false" outlineLevel="0" collapsed="false">
      <c r="A283" s="9" t="n">
        <v>279</v>
      </c>
      <c r="B283" s="9" t="s">
        <v>82</v>
      </c>
      <c r="C283" s="9" t="s">
        <v>72</v>
      </c>
      <c r="D283" s="9" t="s">
        <v>79</v>
      </c>
      <c r="E283" s="11" t="n">
        <v>46235</v>
      </c>
      <c r="F283" s="12" t="n">
        <v>1420</v>
      </c>
      <c r="G283" s="13" t="n">
        <v>610.9124</v>
      </c>
      <c r="H283" s="12" t="n">
        <v>0</v>
      </c>
      <c r="I283" s="13" t="n">
        <v>0</v>
      </c>
      <c r="J283" s="9"/>
    </row>
    <row r="284" customFormat="false" ht="15" hidden="false" customHeight="false" outlineLevel="0" collapsed="false">
      <c r="A284" s="9" t="n">
        <v>280</v>
      </c>
      <c r="B284" s="9" t="s">
        <v>1214</v>
      </c>
      <c r="C284" s="9" t="s">
        <v>1210</v>
      </c>
      <c r="D284" s="9" t="s">
        <v>1211</v>
      </c>
      <c r="E284" s="11" t="n">
        <v>46233</v>
      </c>
      <c r="F284" s="12" t="n">
        <v>3150</v>
      </c>
      <c r="G284" s="13" t="n">
        <v>545.7375</v>
      </c>
      <c r="H284" s="12" t="n">
        <v>3150</v>
      </c>
      <c r="I284" s="13" t="n">
        <v>545.7375</v>
      </c>
      <c r="J284" s="9"/>
    </row>
    <row r="285" customFormat="false" ht="15" hidden="false" customHeight="false" outlineLevel="0" collapsed="false">
      <c r="A285" s="9" t="n">
        <v>281</v>
      </c>
      <c r="B285" s="9" t="s">
        <v>63</v>
      </c>
      <c r="C285" s="9" t="s">
        <v>59</v>
      </c>
      <c r="D285" s="9" t="s">
        <v>60</v>
      </c>
      <c r="E285" s="11" t="n">
        <v>46235</v>
      </c>
      <c r="F285" s="12" t="n">
        <v>1100</v>
      </c>
      <c r="G285" s="13" t="n">
        <v>849.255</v>
      </c>
      <c r="H285" s="12" t="n">
        <v>3140</v>
      </c>
      <c r="I285" s="13" t="n">
        <v>2424.237</v>
      </c>
      <c r="J285" s="9" t="s">
        <v>64</v>
      </c>
    </row>
    <row r="286" customFormat="false" ht="15" hidden="false" customHeight="false" outlineLevel="0" collapsed="false">
      <c r="A286" s="9" t="n">
        <v>282</v>
      </c>
      <c r="B286" s="9" t="s">
        <v>1137</v>
      </c>
      <c r="C286" s="9" t="s">
        <v>1037</v>
      </c>
      <c r="D286" s="9" t="s">
        <v>1134</v>
      </c>
      <c r="E286" s="11" t="n">
        <v>46235</v>
      </c>
      <c r="F286" s="12" t="n">
        <v>0</v>
      </c>
      <c r="G286" s="13" t="n">
        <v>0</v>
      </c>
      <c r="H286" s="12" t="n">
        <v>5100</v>
      </c>
      <c r="I286" s="13" t="n">
        <v>979.863</v>
      </c>
      <c r="J286" s="9"/>
    </row>
    <row r="287" customFormat="false" ht="15" hidden="false" customHeight="false" outlineLevel="0" collapsed="false">
      <c r="A287" s="9" t="n">
        <v>283</v>
      </c>
      <c r="B287" s="9" t="s">
        <v>1141</v>
      </c>
      <c r="C287" s="9" t="s">
        <v>1037</v>
      </c>
      <c r="D287" s="9" t="s">
        <v>1138</v>
      </c>
      <c r="E287" s="11" t="n">
        <v>46235</v>
      </c>
      <c r="F287" s="12" t="n">
        <v>1990</v>
      </c>
      <c r="G287" s="13" t="n">
        <v>356.3891</v>
      </c>
      <c r="H287" s="12" t="n">
        <v>8290</v>
      </c>
      <c r="I287" s="13" t="n">
        <v>1484.6561</v>
      </c>
      <c r="J287" s="9"/>
    </row>
    <row r="288" customFormat="false" ht="15" hidden="false" customHeight="false" outlineLevel="0" collapsed="false">
      <c r="A288" s="9" t="n">
        <v>284</v>
      </c>
      <c r="B288" s="9" t="s">
        <v>1145</v>
      </c>
      <c r="C288" s="9" t="s">
        <v>1037</v>
      </c>
      <c r="D288" s="9" t="s">
        <v>1142</v>
      </c>
      <c r="E288" s="11" t="n">
        <v>46235</v>
      </c>
      <c r="F288" s="12" t="n">
        <v>0</v>
      </c>
      <c r="G288" s="13" t="n">
        <v>0</v>
      </c>
      <c r="H288" s="12" t="n">
        <v>14</v>
      </c>
      <c r="I288" s="13" t="n">
        <v>1.90148</v>
      </c>
      <c r="J288" s="9"/>
    </row>
    <row r="289" customFormat="false" ht="15" hidden="false" customHeight="false" outlineLevel="0" collapsed="false">
      <c r="A289" s="9" t="n">
        <v>285</v>
      </c>
      <c r="B289" s="9" t="s">
        <v>1148</v>
      </c>
      <c r="C289" s="9" t="s">
        <v>1037</v>
      </c>
      <c r="D289" s="9" t="s">
        <v>1146</v>
      </c>
      <c r="E289" s="11" t="n">
        <v>46236</v>
      </c>
      <c r="F289" s="12" t="n">
        <v>1220</v>
      </c>
      <c r="G289" s="13" t="n">
        <v>227.3836</v>
      </c>
      <c r="H289" s="12" t="n">
        <v>5060</v>
      </c>
      <c r="I289" s="13" t="n">
        <v>943.0828</v>
      </c>
      <c r="J289" s="9"/>
    </row>
    <row r="290" customFormat="false" ht="15" hidden="false" customHeight="false" outlineLevel="0" collapsed="false">
      <c r="A290" s="9" t="n">
        <v>286</v>
      </c>
      <c r="B290" s="9" t="s">
        <v>1200</v>
      </c>
      <c r="C290" s="9" t="s">
        <v>1162</v>
      </c>
      <c r="D290" s="9" t="s">
        <v>1197</v>
      </c>
      <c r="E290" s="11" t="n">
        <v>46234</v>
      </c>
      <c r="F290" s="12" t="n">
        <v>4000</v>
      </c>
      <c r="G290" s="13" t="n">
        <v>1535.16</v>
      </c>
      <c r="H290" s="12" t="n">
        <v>2000</v>
      </c>
      <c r="I290" s="13" t="n">
        <v>767.58</v>
      </c>
      <c r="J290" s="9"/>
    </row>
    <row r="291" customFormat="false" ht="15" hidden="false" customHeight="false" outlineLevel="0" collapsed="false">
      <c r="A291" s="9" t="n">
        <v>287</v>
      </c>
      <c r="B291" s="9" t="s">
        <v>588</v>
      </c>
      <c r="C291" s="9" t="s">
        <v>568</v>
      </c>
      <c r="D291" s="9" t="s">
        <v>585</v>
      </c>
      <c r="E291" s="11" t="n">
        <v>46236</v>
      </c>
      <c r="F291" s="12" t="n">
        <v>0</v>
      </c>
      <c r="G291" s="13" t="n">
        <v>0</v>
      </c>
      <c r="H291" s="12" t="n">
        <v>4200</v>
      </c>
      <c r="I291" s="13" t="n">
        <v>2209.83</v>
      </c>
      <c r="J291" s="9"/>
    </row>
    <row r="292" customFormat="false" ht="15" hidden="false" customHeight="false" outlineLevel="0" collapsed="false">
      <c r="A292" s="9" t="n">
        <v>288</v>
      </c>
      <c r="B292" s="9" t="s">
        <v>942</v>
      </c>
      <c r="C292" s="9" t="s">
        <v>938</v>
      </c>
      <c r="D292" s="9" t="s">
        <v>939</v>
      </c>
      <c r="E292" s="11" t="n">
        <v>46234</v>
      </c>
      <c r="F292" s="12" t="n">
        <v>2617</v>
      </c>
      <c r="G292" s="13" t="n">
        <v>885.88067</v>
      </c>
      <c r="H292" s="12" t="n">
        <v>0</v>
      </c>
      <c r="I292" s="13" t="n">
        <v>0</v>
      </c>
      <c r="J292" s="9" t="s">
        <v>144</v>
      </c>
    </row>
    <row r="293" customFormat="false" ht="15" hidden="false" customHeight="false" outlineLevel="0" collapsed="false">
      <c r="A293" s="9" t="n">
        <v>289</v>
      </c>
      <c r="B293" s="9" t="s">
        <v>1270</v>
      </c>
      <c r="C293" s="9" t="s">
        <v>1266</v>
      </c>
      <c r="D293" s="9" t="s">
        <v>1267</v>
      </c>
      <c r="E293" s="11" t="n">
        <v>46235</v>
      </c>
      <c r="F293" s="12" t="n">
        <v>7440</v>
      </c>
      <c r="G293" s="13" t="n">
        <v>2844.1632</v>
      </c>
      <c r="H293" s="12" t="n">
        <v>0</v>
      </c>
      <c r="I293" s="13" t="n">
        <v>0</v>
      </c>
      <c r="J293" s="9" t="s">
        <v>64</v>
      </c>
    </row>
    <row r="294" customFormat="false" ht="15" hidden="false" customHeight="false" outlineLevel="0" collapsed="false">
      <c r="A294" s="9" t="n">
        <v>290</v>
      </c>
      <c r="B294" s="9" t="s">
        <v>328</v>
      </c>
      <c r="C294" s="9" t="s">
        <v>304</v>
      </c>
      <c r="D294" s="9" t="s">
        <v>325</v>
      </c>
      <c r="E294" s="11" t="n">
        <v>46235</v>
      </c>
      <c r="F294" s="12" t="n">
        <v>0</v>
      </c>
      <c r="G294" s="13" t="n">
        <v>0</v>
      </c>
      <c r="H294" s="12" t="n">
        <v>6080</v>
      </c>
      <c r="I294" s="13" t="n">
        <v>4470.624</v>
      </c>
      <c r="J294" s="9"/>
    </row>
    <row r="295" customFormat="false" ht="15" hidden="false" customHeight="false" outlineLevel="0" collapsed="false">
      <c r="A295" s="9" t="n">
        <v>291</v>
      </c>
      <c r="B295" s="9" t="s">
        <v>332</v>
      </c>
      <c r="C295" s="9" t="s">
        <v>304</v>
      </c>
      <c r="D295" s="9" t="s">
        <v>329</v>
      </c>
      <c r="E295" s="11" t="n">
        <v>46236</v>
      </c>
      <c r="F295" s="12" t="n">
        <v>0</v>
      </c>
      <c r="G295" s="13" t="n">
        <v>0</v>
      </c>
      <c r="H295" s="12" t="n">
        <v>980</v>
      </c>
      <c r="I295" s="13" t="n">
        <v>434.6202</v>
      </c>
      <c r="J295" s="9"/>
    </row>
    <row r="296" customFormat="false" ht="15" hidden="false" customHeight="false" outlineLevel="0" collapsed="false">
      <c r="A296" s="14"/>
      <c r="B296" s="14" t="s">
        <v>1331</v>
      </c>
      <c r="C296" s="14"/>
      <c r="D296" s="14"/>
      <c r="E296" s="14"/>
      <c r="F296" s="17" t="n">
        <f aca="false">SUM(F5:F295)</f>
        <v>758966</v>
      </c>
      <c r="G296" s="18" t="n">
        <f aca="false">SUM(G5:G295)</f>
        <v>240491.44189</v>
      </c>
      <c r="H296" s="17" t="n">
        <f aca="false">SUM(H5:H295)</f>
        <v>776500</v>
      </c>
      <c r="I296" s="18" t="n">
        <f aca="false">SUM(I5:I295)</f>
        <v>238658.73433</v>
      </c>
      <c r="J296" s="14"/>
    </row>
  </sheetData>
  <autoFilter ref="A4:J2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1"/>
  </cols>
  <sheetData>
    <row r="1" customFormat="false" ht="16.15" hidden="false" customHeight="false" outlineLevel="0" collapsed="false">
      <c r="A1" s="19" t="s">
        <v>1335</v>
      </c>
    </row>
    <row r="3" customFormat="false" ht="15" hidden="false" customHeight="false" outlineLevel="0" collapsed="false">
      <c r="A3" s="20" t="s">
        <v>1336</v>
      </c>
    </row>
    <row r="4" customFormat="false" ht="15" hidden="false" customHeight="false" outlineLevel="0" collapsed="false">
      <c r="A4" s="21" t="s">
        <v>1337</v>
      </c>
      <c r="B4" s="21" t="s">
        <v>1338</v>
      </c>
      <c r="C4" s="21" t="s">
        <v>1339</v>
      </c>
      <c r="D4" s="21" t="s">
        <v>1340</v>
      </c>
    </row>
    <row r="5" customFormat="false" ht="15" hidden="false" customHeight="false" outlineLevel="0" collapsed="false">
      <c r="A5" s="9" t="s">
        <v>1341</v>
      </c>
      <c r="B5" s="12" t="n">
        <f aca="false">SUMPRODUCT(('STOK STB BJ'!$O$6:$O$302=A5)*'STOK STB BJ'!$L$6:$L$302)</f>
        <v>532909</v>
      </c>
      <c r="C5" s="13" t="n">
        <f aca="false">SUMPRODUCT(('STOK STB BJ'!$O$6:$O$302=A5)*'STOK STB BJ'!$M$6:$M$302)</f>
        <v>161629.18496</v>
      </c>
      <c r="D5" s="9" t="n">
        <f aca="false">SUMPRODUCT(--('STOK STB BJ'!$O$6:$O$302=A5))</f>
        <v>88</v>
      </c>
    </row>
    <row r="6" customFormat="false" ht="15" hidden="false" customHeight="false" outlineLevel="0" collapsed="false">
      <c r="A6" s="9" t="s">
        <v>1342</v>
      </c>
      <c r="B6" s="12" t="n">
        <f aca="false">SUMPRODUCT(('STOK STB BJ'!$O$6:$O$302=A6)*'STOK STB BJ'!$L$6:$L$302)</f>
        <v>36949</v>
      </c>
      <c r="C6" s="13" t="n">
        <f aca="false">SUMPRODUCT(('STOK STB BJ'!$O$6:$O$302=A6)*'STOK STB BJ'!$M$6:$M$302)</f>
        <v>14536.38067</v>
      </c>
      <c r="D6" s="9" t="n">
        <f aca="false">SUMPRODUCT(--('STOK STB BJ'!$O$6:$O$302=A6))</f>
        <v>22</v>
      </c>
    </row>
    <row r="7" customFormat="false" ht="15" hidden="false" customHeight="false" outlineLevel="0" collapsed="false">
      <c r="A7" s="9" t="s">
        <v>1343</v>
      </c>
      <c r="B7" s="12" t="n">
        <f aca="false">SUMPRODUCT(('STOK STB BJ'!$O$6:$O$302=A7)*'STOK STB BJ'!$L$6:$L$302)</f>
        <v>54323</v>
      </c>
      <c r="C7" s="13" t="n">
        <f aca="false">SUMPRODUCT(('STOK STB BJ'!$O$6:$O$302=A7)*'STOK STB BJ'!$M$6:$M$302)</f>
        <v>19420.61563</v>
      </c>
      <c r="D7" s="9" t="n">
        <f aca="false">SUMPRODUCT(--('STOK STB BJ'!$O$6:$O$302=A7))</f>
        <v>39</v>
      </c>
    </row>
    <row r="8" customFormat="false" ht="15" hidden="false" customHeight="false" outlineLevel="0" collapsed="false">
      <c r="A8" s="9" t="s">
        <v>1344</v>
      </c>
      <c r="B8" s="12" t="n">
        <f aca="false">SUMPRODUCT(('STOK STB BJ'!$O$6:$O$302=A8)*'STOK STB BJ'!$L$6:$L$302)</f>
        <v>152305</v>
      </c>
      <c r="C8" s="13" t="n">
        <f aca="false">SUMPRODUCT(('STOK STB BJ'!$O$6:$O$302=A8)*'STOK STB BJ'!$M$6:$M$302)</f>
        <v>43070.65159</v>
      </c>
      <c r="D8" s="9" t="n">
        <f aca="false">SUMPRODUCT(--('STOK STB BJ'!$O$6:$O$302=A8))</f>
        <v>114</v>
      </c>
    </row>
    <row r="9" customFormat="false" ht="15" hidden="false" customHeight="false" outlineLevel="0" collapsed="false">
      <c r="A9" s="9" t="s">
        <v>1345</v>
      </c>
      <c r="B9" s="12" t="n">
        <f aca="false">SUMPRODUCT(('STOK STB BJ'!$O$6:$O$302=A9)*'STOK STB BJ'!$L$6:$L$302)</f>
        <v>14</v>
      </c>
      <c r="C9" s="13" t="n">
        <f aca="false">SUMPRODUCT(('STOK STB BJ'!$O$6:$O$302=A9)*'STOK STB BJ'!$M$6:$M$302)</f>
        <v>1.90148</v>
      </c>
      <c r="D9" s="9" t="n">
        <f aca="false">SUMPRODUCT(--('STOK STB BJ'!$O$6:$O$302=A9))</f>
        <v>34</v>
      </c>
    </row>
    <row r="10" customFormat="false" ht="15" hidden="false" customHeight="false" outlineLevel="0" collapsed="false">
      <c r="A10" s="9" t="s">
        <v>1346</v>
      </c>
      <c r="B10" s="12" t="n">
        <f aca="false">SUMPRODUCT(('STOK STB BJ'!$O$6:$O$302=A10)*'STOK STB BJ'!$L$6:$L$302)</f>
        <v>0</v>
      </c>
      <c r="C10" s="13" t="n">
        <f aca="false">SUMPRODUCT(('STOK STB BJ'!$O$6:$O$302=A10)*'STOK STB BJ'!$M$6:$M$302)</f>
        <v>0</v>
      </c>
      <c r="D10" s="9" t="n">
        <f aca="false">SUMPRODUCT(--('STOK STB BJ'!$O$6:$O$302=A10))</f>
        <v>0</v>
      </c>
    </row>
    <row r="11" customFormat="false" ht="15" hidden="false" customHeight="false" outlineLevel="0" collapsed="false">
      <c r="A11" s="14" t="s">
        <v>1331</v>
      </c>
      <c r="B11" s="17" t="n">
        <f aca="false">SUM(B5:B10)</f>
        <v>776500</v>
      </c>
      <c r="C11" s="18" t="n">
        <f aca="false">SUM(C5:C10)</f>
        <v>238658.73433</v>
      </c>
      <c r="D11" s="17" t="n">
        <f aca="false">SUM(D5:D10)</f>
        <v>297</v>
      </c>
    </row>
    <row r="13" customFormat="false" ht="15" hidden="false" customHeight="false" outlineLevel="0" collapsed="false">
      <c r="A13" s="20" t="s">
        <v>1347</v>
      </c>
    </row>
    <row r="14" customFormat="false" ht="15" hidden="false" customHeight="false" outlineLevel="0" collapsed="false">
      <c r="A14" s="21" t="s">
        <v>22</v>
      </c>
      <c r="B14" s="21" t="s">
        <v>1338</v>
      </c>
      <c r="C14" s="21" t="s">
        <v>1339</v>
      </c>
      <c r="D14" s="21" t="s">
        <v>1340</v>
      </c>
    </row>
    <row r="15" customFormat="false" ht="15" hidden="false" customHeight="false" outlineLevel="0" collapsed="false">
      <c r="A15" s="9" t="s">
        <v>396</v>
      </c>
      <c r="B15" s="12" t="n">
        <f aca="false">SUMIF('STOK STB BJ'!$P$6:$P$302,A15,'STOK STB BJ'!$L$6:$L$302)</f>
        <v>6260</v>
      </c>
      <c r="C15" s="13" t="n">
        <f aca="false">SUMIF('STOK STB BJ'!$P$6:$P$302,A15,'STOK STB BJ'!$M$6:$M$302)</f>
        <v>1307.7914</v>
      </c>
      <c r="D15" s="9" t="n">
        <f aca="false">COUNTIF('STOK STB BJ'!$P$6:$P$302,A15)</f>
        <v>4</v>
      </c>
    </row>
    <row r="16" customFormat="false" ht="15" hidden="false" customHeight="false" outlineLevel="0" collapsed="false">
      <c r="A16" s="9" t="s">
        <v>51</v>
      </c>
      <c r="B16" s="12" t="n">
        <f aca="false">SUMIF('STOK STB BJ'!$P$6:$P$302,A16,'STOK STB BJ'!$L$6:$L$302)</f>
        <v>119646</v>
      </c>
      <c r="C16" s="13" t="n">
        <f aca="false">SUMIF('STOK STB BJ'!$P$6:$P$302,A16,'STOK STB BJ'!$M$6:$M$302)</f>
        <v>27921.9991</v>
      </c>
      <c r="D16" s="9" t="n">
        <f aca="false">COUNTIF('STOK STB BJ'!$P$6:$P$302,A16)</f>
        <v>24</v>
      </c>
    </row>
    <row r="17" customFormat="false" ht="15" hidden="false" customHeight="false" outlineLevel="0" collapsed="false">
      <c r="A17" s="9" t="s">
        <v>1348</v>
      </c>
      <c r="B17" s="12" t="n">
        <f aca="false">SUMIF('STOK STB BJ'!$P$6:$P$302,A17,'STOK STB BJ'!$L$6:$L$302)</f>
        <v>0</v>
      </c>
      <c r="C17" s="13" t="n">
        <f aca="false">SUMIF('STOK STB BJ'!$P$6:$P$302,A17,'STOK STB BJ'!$M$6:$M$302)</f>
        <v>0</v>
      </c>
      <c r="D17" s="9" t="n">
        <f aca="false">COUNTIF('STOK STB BJ'!$P$6:$P$302,A17)</f>
        <v>0</v>
      </c>
    </row>
    <row r="18" customFormat="false" ht="15" hidden="false" customHeight="false" outlineLevel="0" collapsed="false">
      <c r="A18" s="9" t="s">
        <v>144</v>
      </c>
      <c r="B18" s="12" t="n">
        <f aca="false">SUMIF('STOK STB BJ'!$P$6:$P$302,A18,'STOK STB BJ'!$L$6:$L$302)</f>
        <v>48404</v>
      </c>
      <c r="C18" s="13" t="n">
        <f aca="false">SUMIF('STOK STB BJ'!$P$6:$P$302,A18,'STOK STB BJ'!$M$6:$M$302)</f>
        <v>18759.47392</v>
      </c>
      <c r="D18" s="9" t="n">
        <f aca="false">COUNTIF('STOK STB BJ'!$P$6:$P$302,A18)</f>
        <v>29</v>
      </c>
    </row>
    <row r="19" customFormat="false" ht="15" hidden="false" customHeight="false" outlineLevel="0" collapsed="false">
      <c r="A19" s="9" t="s">
        <v>77</v>
      </c>
      <c r="B19" s="12" t="n">
        <f aca="false">SUMIF('STOK STB BJ'!$P$6:$P$302,A19,'STOK STB BJ'!$L$6:$L$302)</f>
        <v>10090</v>
      </c>
      <c r="C19" s="13" t="n">
        <f aca="false">SUMIF('STOK STB BJ'!$P$6:$P$302,A19,'STOK STB BJ'!$M$6:$M$302)</f>
        <v>5002.1531</v>
      </c>
      <c r="D19" s="9" t="n">
        <f aca="false">COUNTIF('STOK STB BJ'!$P$6:$P$302,A19)</f>
        <v>12</v>
      </c>
    </row>
    <row r="20" customFormat="false" ht="15" hidden="false" customHeight="false" outlineLevel="0" collapsed="false">
      <c r="A20" s="9" t="s">
        <v>1349</v>
      </c>
      <c r="B20" s="12" t="n">
        <f aca="false">SUMIF('STOK STB BJ'!$P$6:$P$302,A20,'STOK STB BJ'!$L$6:$L$302)</f>
        <v>0</v>
      </c>
      <c r="C20" s="13" t="n">
        <f aca="false">SUMIF('STOK STB BJ'!$P$6:$P$302,A20,'STOK STB BJ'!$M$6:$M$302)</f>
        <v>0</v>
      </c>
      <c r="D20" s="9" t="n">
        <f aca="false">COUNTIF('STOK STB BJ'!$P$6:$P$302,A20)</f>
        <v>0</v>
      </c>
    </row>
    <row r="21" customFormat="false" ht="15" hidden="false" customHeight="false" outlineLevel="0" collapsed="false">
      <c r="A21" s="9" t="s">
        <v>64</v>
      </c>
      <c r="B21" s="12" t="n">
        <f aca="false">SUMIF('STOK STB BJ'!$P$6:$P$302,A21,'STOK STB BJ'!$L$6:$L$302)</f>
        <v>87224</v>
      </c>
      <c r="C21" s="13" t="n">
        <f aca="false">SUMIF('STOK STB BJ'!$P$6:$P$302,A21,'STOK STB BJ'!$M$6:$M$302)</f>
        <v>28674.0226</v>
      </c>
      <c r="D21" s="9" t="n">
        <f aca="false">COUNTIF('STOK STB BJ'!$P$6:$P$302,A21)</f>
        <v>68</v>
      </c>
    </row>
    <row r="22" customFormat="false" ht="15" hidden="false" customHeight="false" outlineLevel="0" collapsed="false">
      <c r="A22" s="9" t="s">
        <v>155</v>
      </c>
      <c r="B22" s="12" t="n">
        <f aca="false">SUMIF('STOK STB BJ'!$P$6:$P$302,A22,'STOK STB BJ'!$L$6:$L$302)</f>
        <v>4915</v>
      </c>
      <c r="C22" s="13" t="n">
        <f aca="false">SUMIF('STOK STB BJ'!$P$6:$P$302,A22,'STOK STB BJ'!$M$6:$M$302)</f>
        <v>4441.65046</v>
      </c>
      <c r="D22" s="9" t="n">
        <f aca="false">COUNTIF('STOK STB BJ'!$P$6:$P$302,A22)</f>
        <v>9</v>
      </c>
    </row>
    <row r="23" customFormat="false" ht="15" hidden="false" customHeight="false" outlineLevel="0" collapsed="false">
      <c r="A23" s="9" t="s">
        <v>161</v>
      </c>
      <c r="B23" s="12" t="n">
        <f aca="false">SUMIF('STOK STB BJ'!$P$6:$P$302,A23,'STOK STB BJ'!$L$6:$L$302)</f>
        <v>465</v>
      </c>
      <c r="C23" s="13" t="n">
        <f aca="false">SUMIF('STOK STB BJ'!$P$6:$P$302,A23,'STOK STB BJ'!$M$6:$M$302)</f>
        <v>319.463</v>
      </c>
      <c r="D23" s="9" t="n">
        <f aca="false">COUNTIF('STOK STB BJ'!$P$6:$P$302,A23)</f>
        <v>3</v>
      </c>
    </row>
    <row r="24" customFormat="false" ht="15" hidden="false" customHeight="false" outlineLevel="0" collapsed="false">
      <c r="A24" s="9" t="s">
        <v>1350</v>
      </c>
      <c r="B24" s="12" t="n">
        <f aca="false">SUM('STOK STB BJ'!$L$6:$L$302)-SUM(B15:B23)</f>
        <v>499496</v>
      </c>
      <c r="C24" s="13" t="n">
        <f aca="false">SUM('STOK STB BJ'!$M$6:$M$302)-SUM(C15:C23)</f>
        <v>152232.18075</v>
      </c>
      <c r="D24" s="9" t="n">
        <f aca="false">COUNTA('STOK STB BJ'!$B$6:$B$302)-SUM(D15:D23)</f>
        <v>148</v>
      </c>
    </row>
    <row r="25" customFormat="false" ht="15" hidden="false" customHeight="false" outlineLevel="0" collapsed="false">
      <c r="A25" s="14" t="s">
        <v>1331</v>
      </c>
      <c r="B25" s="17" t="n">
        <f aca="false">SUM(B15:B24)</f>
        <v>776500</v>
      </c>
      <c r="C25" s="18" t="n">
        <f aca="false">SUM(C15:C24)</f>
        <v>238658.73433</v>
      </c>
      <c r="D25" s="17" t="n">
        <f aca="false">SUM(D15:D24)</f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1351</v>
      </c>
      <c r="B1" s="22"/>
    </row>
    <row r="2" customFormat="false" ht="15" hidden="false" customHeight="false" outlineLevel="0" collapsed="false">
      <c r="A2" s="20"/>
      <c r="B2" s="22"/>
    </row>
    <row r="3" customFormat="false" ht="15" hidden="false" customHeight="false" outlineLevel="0" collapsed="false">
      <c r="A3" s="23" t="s">
        <v>1352</v>
      </c>
      <c r="B3" s="22" t="s">
        <v>1353</v>
      </c>
    </row>
    <row r="4" customFormat="false" ht="15" hidden="false" customHeight="false" outlineLevel="0" collapsed="false">
      <c r="A4" s="23" t="s">
        <v>1354</v>
      </c>
      <c r="B4" s="22" t="s">
        <v>1355</v>
      </c>
    </row>
    <row r="5" customFormat="false" ht="15" hidden="false" customHeight="false" outlineLevel="0" collapsed="false">
      <c r="A5" s="23" t="s">
        <v>1356</v>
      </c>
      <c r="B5" s="22" t="s">
        <v>1357</v>
      </c>
    </row>
    <row r="6" customFormat="false" ht="15" hidden="false" customHeight="false" outlineLevel="0" collapsed="false">
      <c r="A6" s="23" t="s">
        <v>1358</v>
      </c>
      <c r="B6" s="22" t="s">
        <v>1359</v>
      </c>
    </row>
    <row r="7" customFormat="false" ht="15" hidden="false" customHeight="false" outlineLevel="0" collapsed="false">
      <c r="A7" s="23" t="s">
        <v>1360</v>
      </c>
      <c r="B7" s="22" t="s">
        <v>1361</v>
      </c>
    </row>
    <row r="8" customFormat="false" ht="15" hidden="false" customHeight="false" outlineLevel="0" collapsed="false">
      <c r="A8" s="23" t="s">
        <v>1362</v>
      </c>
      <c r="B8" s="22" t="s">
        <v>1363</v>
      </c>
    </row>
    <row r="9" customFormat="false" ht="15" hidden="false" customHeight="false" outlineLevel="0" collapsed="false">
      <c r="A9" s="23" t="s">
        <v>13</v>
      </c>
      <c r="B9" s="22" t="s">
        <v>1364</v>
      </c>
    </row>
    <row r="10" customFormat="false" ht="15" hidden="false" customHeight="false" outlineLevel="0" collapsed="false">
      <c r="A10" s="23" t="s">
        <v>1365</v>
      </c>
      <c r="B10" s="22" t="s">
        <v>1366</v>
      </c>
    </row>
    <row r="11" customFormat="false" ht="15" hidden="false" customHeight="false" outlineLevel="0" collapsed="false">
      <c r="A11" s="23" t="s">
        <v>1367</v>
      </c>
      <c r="B11" s="22" t="s">
        <v>1368</v>
      </c>
    </row>
    <row r="12" customFormat="false" ht="23.85" hidden="false" customHeight="false" outlineLevel="0" collapsed="false">
      <c r="A12" s="23" t="s">
        <v>1369</v>
      </c>
      <c r="B12" s="22" t="s">
        <v>1370</v>
      </c>
    </row>
    <row r="13" customFormat="false" ht="15" hidden="false" customHeight="false" outlineLevel="0" collapsed="false">
      <c r="A13" s="23" t="s">
        <v>1371</v>
      </c>
      <c r="B13" s="22" t="s">
        <v>1372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2026-08-04T03:00:47Z</dcterms:created>
  <dc:creator>openpyxl</dc:creator>
  <dc:description/>
  <dc:language>en-US</dc:language>
  <cp:lastModifiedBy/>
  <dcterms:modified xsi:type="dcterms:W3CDTF">2026-08-04T03:00:48Z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